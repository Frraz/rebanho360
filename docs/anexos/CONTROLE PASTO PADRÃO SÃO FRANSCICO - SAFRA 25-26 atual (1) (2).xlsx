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D:\Jefeson\Desktop\Consultoria JC\Clientes\Facholi\A PASTO\"/>
    </mc:Choice>
  </mc:AlternateContent>
  <xr:revisionPtr revIDLastSave="0" documentId="13_ncr:1_{D58B405A-698F-458E-8F97-C0B555C25161}" xr6:coauthVersionLast="47" xr6:coauthVersionMax="47" xr10:uidLastSave="{00000000-0000-0000-0000-000000000000}"/>
  <bookViews>
    <workbookView minimized="1" xWindow="1464" yWindow="1464" windowWidth="17280" windowHeight="8880" tabRatio="734" xr2:uid="{00000000-000D-0000-FFFF-FFFF00000000}"/>
  </bookViews>
  <sheets>
    <sheet name="PAINEL ENTRADA" sheetId="34" r:id="rId1"/>
    <sheet name="SÃO FRANCISCO" sheetId="36" r:id="rId2"/>
    <sheet name="GOIANO" sheetId="18" state="hidden" r:id="rId3"/>
    <sheet name="BAIXÃO" sheetId="35" state="hidden" r:id="rId4"/>
    <sheet name="MORADA DO BOI" sheetId="37" state="hidden" r:id="rId5"/>
    <sheet name="SAO JOSE DO GROTAO" sheetId="38" state="hidden" r:id="rId6"/>
    <sheet name="GERAL" sheetId="54" state="hidden" r:id="rId7"/>
    <sheet name="COMPRA DE GADO" sheetId="59" r:id="rId8"/>
    <sheet name="CUSTOS" sheetId="60" r:id="rId9"/>
    <sheet name="VENDAS" sheetId="61" r:id="rId10"/>
    <sheet name="DASH VENDAS" sheetId="64" r:id="rId11"/>
    <sheet name="DASH COMPRAS" sheetId="62" r:id="rId12"/>
    <sheet name="DASH FINANCEIRO" sheetId="65" r:id="rId13"/>
    <sheet name="DASH CAIXA" sheetId="66" state="hidden" r:id="rId14"/>
    <sheet name="ADF E COMPRAS" sheetId="63" state="hidden" r:id="rId15"/>
    <sheet name="PESAGENS E CONFERENCIA" sheetId="67" r:id="rId16"/>
    <sheet name="Planilha9" sheetId="17" state="hidden" r:id="rId17"/>
  </sheets>
  <definedNames>
    <definedName name="_xlnm.Print_Area" localSheetId="14">'ADF E COMPRAS'!$A$1:$P$23</definedName>
    <definedName name="_xlnm.Print_Area" localSheetId="3">BAIXÃO!$A$1:$O$16</definedName>
    <definedName name="_xlnm.Print_Area" localSheetId="7">'COMPRA DE GADO'!$T$1:$AC$7</definedName>
    <definedName name="_xlnm.Print_Area" localSheetId="13">'DASH CAIXA'!$A$1:$G$34</definedName>
    <definedName name="_xlnm.Print_Area" localSheetId="11">'DASH COMPRAS'!$A$1:$G$34</definedName>
    <definedName name="_xlnm.Print_Area" localSheetId="12">'DASH FINANCEIRO'!$A$1:$G$36</definedName>
    <definedName name="_xlnm.Print_Area" localSheetId="10">'DASH VENDAS'!$A$1:$G$34</definedName>
    <definedName name="_xlnm.Print_Area" localSheetId="6">GERAL!$A$1:$O$16</definedName>
    <definedName name="_xlnm.Print_Area" localSheetId="2">GOIANO!$A$1:$O$16</definedName>
    <definedName name="_xlnm.Print_Area" localSheetId="4">'MORADA DO BOI'!$A$1:$O$16</definedName>
    <definedName name="_xlnm.Print_Area" localSheetId="1">'SÃO FRANCISCO'!$A$1:$O$16</definedName>
    <definedName name="_xlnm.Print_Area" localSheetId="5">'SAO JOSE DO GROTAO'!$A$1:$O$16</definedName>
  </definedNames>
  <calcPr calcId="191029"/>
  <pivotCaches>
    <pivotCache cacheId="0" r:id="rId18"/>
    <pivotCache cacheId="1" r:id="rId19"/>
    <pivotCache cacheId="2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9" l="1"/>
  <c r="P141" i="60"/>
  <c r="P140" i="60"/>
  <c r="P139" i="60"/>
  <c r="P138" i="60"/>
  <c r="P137" i="60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115" i="36"/>
  <c r="I116" i="36"/>
  <c r="I117" i="36"/>
  <c r="I118" i="36"/>
  <c r="I119" i="36"/>
  <c r="I120" i="36"/>
  <c r="I121" i="36"/>
  <c r="I122" i="36"/>
  <c r="I123" i="36"/>
  <c r="I124" i="36"/>
  <c r="I125" i="36"/>
  <c r="I126" i="36"/>
  <c r="I127" i="36"/>
  <c r="I128" i="36"/>
  <c r="I129" i="36"/>
  <c r="I130" i="36"/>
  <c r="I131" i="36"/>
  <c r="I132" i="36"/>
  <c r="I133" i="36"/>
  <c r="I134" i="36"/>
  <c r="I135" i="36"/>
  <c r="I136" i="36"/>
  <c r="I137" i="36"/>
  <c r="I138" i="36"/>
  <c r="I139" i="36"/>
  <c r="I140" i="36"/>
  <c r="I141" i="36"/>
  <c r="I142" i="36"/>
  <c r="I143" i="36"/>
  <c r="I144" i="36"/>
  <c r="I145" i="36"/>
  <c r="I146" i="36"/>
  <c r="I147" i="36"/>
  <c r="I148" i="36"/>
  <c r="I149" i="36"/>
  <c r="I150" i="36"/>
  <c r="I151" i="36"/>
  <c r="I152" i="36"/>
  <c r="I153" i="36"/>
  <c r="I154" i="36"/>
  <c r="I155" i="36"/>
  <c r="I156" i="36"/>
  <c r="I157" i="36"/>
  <c r="I158" i="36"/>
  <c r="I159" i="36"/>
  <c r="I160" i="36"/>
  <c r="I161" i="36"/>
  <c r="I162" i="36"/>
  <c r="I163" i="36"/>
  <c r="I164" i="36"/>
  <c r="I165" i="36"/>
  <c r="I166" i="36"/>
  <c r="I167" i="36"/>
  <c r="I168" i="36"/>
  <c r="I169" i="36"/>
  <c r="I170" i="36"/>
  <c r="I171" i="36"/>
  <c r="I172" i="36"/>
  <c r="I173" i="36"/>
  <c r="I174" i="36"/>
  <c r="I175" i="36"/>
  <c r="I176" i="36"/>
  <c r="I177" i="36"/>
  <c r="I178" i="36"/>
  <c r="I179" i="36"/>
  <c r="I180" i="36"/>
  <c r="I181" i="36"/>
  <c r="I182" i="36"/>
  <c r="I183" i="36"/>
  <c r="I184" i="36"/>
  <c r="I185" i="36"/>
  <c r="I186" i="36"/>
  <c r="I187" i="36"/>
  <c r="I188" i="36"/>
  <c r="I189" i="36"/>
  <c r="I190" i="36"/>
  <c r="I191" i="36"/>
  <c r="I192" i="36"/>
  <c r="I193" i="36"/>
  <c r="I194" i="36"/>
  <c r="I195" i="36"/>
  <c r="I196" i="36"/>
  <c r="I197" i="36"/>
  <c r="I198" i="36"/>
  <c r="I199" i="36"/>
  <c r="I200" i="36"/>
  <c r="I201" i="36"/>
  <c r="I202" i="36"/>
  <c r="I203" i="36"/>
  <c r="I204" i="36"/>
  <c r="I205" i="36"/>
  <c r="I206" i="36"/>
  <c r="I207" i="36"/>
  <c r="I208" i="36"/>
  <c r="I209" i="36"/>
  <c r="I210" i="36"/>
  <c r="I211" i="36"/>
  <c r="I212" i="36"/>
  <c r="I213" i="36"/>
  <c r="I214" i="36"/>
  <c r="I215" i="36"/>
  <c r="I216" i="36"/>
  <c r="I217" i="36"/>
  <c r="I218" i="36"/>
  <c r="I219" i="36"/>
  <c r="I220" i="36"/>
  <c r="I221" i="36"/>
  <c r="I222" i="36"/>
  <c r="I223" i="36"/>
  <c r="I224" i="36"/>
  <c r="I225" i="36"/>
  <c r="I226" i="36"/>
  <c r="I227" i="36"/>
  <c r="I228" i="36"/>
  <c r="I229" i="36"/>
  <c r="I230" i="36"/>
  <c r="I231" i="36"/>
  <c r="I232" i="36"/>
  <c r="I233" i="36"/>
  <c r="I234" i="36"/>
  <c r="I235" i="36"/>
  <c r="I236" i="36"/>
  <c r="I237" i="36"/>
  <c r="I238" i="36"/>
  <c r="I239" i="36"/>
  <c r="I240" i="36"/>
  <c r="I241" i="36"/>
  <c r="I242" i="36"/>
  <c r="I243" i="36"/>
  <c r="I244" i="36"/>
  <c r="I245" i="36"/>
  <c r="I246" i="36"/>
  <c r="I247" i="36"/>
  <c r="I248" i="36"/>
  <c r="I249" i="36"/>
  <c r="I250" i="36"/>
  <c r="I251" i="36"/>
  <c r="I252" i="36"/>
  <c r="I253" i="36"/>
  <c r="I254" i="36"/>
  <c r="I255" i="36"/>
  <c r="I256" i="36"/>
  <c r="I257" i="36"/>
  <c r="I258" i="36"/>
  <c r="I259" i="36"/>
  <c r="I260" i="36"/>
  <c r="I261" i="36"/>
  <c r="I262" i="36"/>
  <c r="I263" i="36"/>
  <c r="I264" i="36"/>
  <c r="I265" i="36"/>
  <c r="I266" i="36"/>
  <c r="I267" i="36"/>
  <c r="I268" i="36"/>
  <c r="I269" i="36"/>
  <c r="I270" i="36"/>
  <c r="I271" i="36"/>
  <c r="I272" i="36"/>
  <c r="I273" i="36"/>
  <c r="I274" i="36"/>
  <c r="I275" i="36"/>
  <c r="I276" i="36"/>
  <c r="I277" i="36"/>
  <c r="I278" i="36"/>
  <c r="I279" i="36"/>
  <c r="I280" i="36"/>
  <c r="I281" i="36"/>
  <c r="I282" i="36"/>
  <c r="I283" i="36"/>
  <c r="I284" i="36"/>
  <c r="I285" i="36"/>
  <c r="I286" i="36"/>
  <c r="I287" i="36"/>
  <c r="I288" i="36"/>
  <c r="I289" i="36"/>
  <c r="I290" i="36"/>
  <c r="I291" i="36"/>
  <c r="I292" i="36"/>
  <c r="I293" i="36"/>
  <c r="I294" i="36"/>
  <c r="I295" i="36"/>
  <c r="I296" i="36"/>
  <c r="I297" i="36"/>
  <c r="I298" i="36"/>
  <c r="I299" i="36"/>
  <c r="I300" i="36"/>
  <c r="I301" i="36"/>
  <c r="I302" i="36"/>
  <c r="I303" i="36"/>
  <c r="I304" i="36"/>
  <c r="I305" i="36"/>
  <c r="I306" i="36"/>
  <c r="I307" i="36"/>
  <c r="I308" i="36"/>
  <c r="I309" i="36"/>
  <c r="I310" i="36"/>
  <c r="I311" i="36"/>
  <c r="I312" i="36"/>
  <c r="I313" i="36"/>
  <c r="I314" i="36"/>
  <c r="I315" i="36"/>
  <c r="I316" i="36"/>
  <c r="I317" i="36"/>
  <c r="I318" i="36"/>
  <c r="I319" i="36"/>
  <c r="I320" i="36"/>
  <c r="I321" i="36"/>
  <c r="I322" i="36"/>
  <c r="I323" i="36"/>
  <c r="I324" i="36"/>
  <c r="I325" i="36"/>
  <c r="I326" i="36"/>
  <c r="I327" i="36"/>
  <c r="I328" i="36"/>
  <c r="I329" i="36"/>
  <c r="I330" i="36"/>
  <c r="I331" i="36"/>
  <c r="I332" i="36"/>
  <c r="I333" i="36"/>
  <c r="I334" i="36"/>
  <c r="I335" i="36"/>
  <c r="I336" i="36"/>
  <c r="I337" i="36"/>
  <c r="I338" i="36"/>
  <c r="I339" i="36"/>
  <c r="I340" i="36"/>
  <c r="I341" i="36"/>
  <c r="I342" i="36"/>
  <c r="I343" i="36"/>
  <c r="I344" i="36"/>
  <c r="I345" i="36"/>
  <c r="I346" i="36"/>
  <c r="I347" i="36"/>
  <c r="I348" i="36"/>
  <c r="I349" i="36"/>
  <c r="I350" i="36"/>
  <c r="I351" i="36"/>
  <c r="I352" i="36"/>
  <c r="I353" i="36"/>
  <c r="I354" i="36"/>
  <c r="I355" i="36"/>
  <c r="I356" i="36"/>
  <c r="I357" i="36"/>
  <c r="I358" i="36"/>
  <c r="I359" i="36"/>
  <c r="I360" i="36"/>
  <c r="I361" i="36"/>
  <c r="I362" i="36"/>
  <c r="I363" i="36"/>
  <c r="I364" i="36"/>
  <c r="I365" i="36"/>
  <c r="I366" i="36"/>
  <c r="I367" i="36"/>
  <c r="I368" i="36"/>
  <c r="I369" i="36"/>
  <c r="I370" i="36"/>
  <c r="I371" i="36"/>
  <c r="I372" i="36"/>
  <c r="I373" i="36"/>
  <c r="I374" i="36"/>
  <c r="I375" i="36"/>
  <c r="I376" i="36"/>
  <c r="I377" i="36"/>
  <c r="I378" i="36"/>
  <c r="I379" i="36"/>
  <c r="I380" i="36"/>
  <c r="I381" i="36"/>
  <c r="I382" i="36"/>
  <c r="I383" i="36"/>
  <c r="I384" i="36"/>
  <c r="I385" i="36"/>
  <c r="I386" i="36"/>
  <c r="I387" i="36"/>
  <c r="I388" i="36"/>
  <c r="I389" i="36"/>
  <c r="I390" i="36"/>
  <c r="I391" i="36"/>
  <c r="I392" i="36"/>
  <c r="I393" i="36"/>
  <c r="I394" i="36"/>
  <c r="I395" i="36"/>
  <c r="I396" i="36"/>
  <c r="I397" i="36"/>
  <c r="I398" i="36"/>
  <c r="I399" i="36"/>
  <c r="I400" i="36"/>
  <c r="I401" i="36"/>
  <c r="I402" i="36"/>
  <c r="I403" i="36"/>
  <c r="I404" i="36"/>
  <c r="I405" i="36"/>
  <c r="I406" i="36"/>
  <c r="I407" i="36"/>
  <c r="I408" i="36"/>
  <c r="I409" i="36"/>
  <c r="I410" i="36"/>
  <c r="I411" i="36"/>
  <c r="I412" i="36"/>
  <c r="I413" i="36"/>
  <c r="I414" i="36"/>
  <c r="I415" i="36"/>
  <c r="I416" i="36"/>
  <c r="I417" i="36"/>
  <c r="I418" i="36"/>
  <c r="I419" i="36"/>
  <c r="I420" i="36"/>
  <c r="I421" i="36"/>
  <c r="I422" i="36"/>
  <c r="I423" i="36"/>
  <c r="I424" i="36"/>
  <c r="I425" i="36"/>
  <c r="I426" i="36"/>
  <c r="I427" i="36"/>
  <c r="I428" i="36"/>
  <c r="I429" i="36"/>
  <c r="I430" i="36"/>
  <c r="I431" i="36"/>
  <c r="I432" i="36"/>
  <c r="I433" i="36"/>
  <c r="I434" i="36"/>
  <c r="I435" i="36"/>
  <c r="I436" i="36"/>
  <c r="I437" i="36"/>
  <c r="I438" i="36"/>
  <c r="I439" i="36"/>
  <c r="I440" i="36"/>
  <c r="I441" i="36"/>
  <c r="I442" i="36"/>
  <c r="I443" i="36"/>
  <c r="I444" i="36"/>
  <c r="I445" i="36"/>
  <c r="I446" i="36"/>
  <c r="I447" i="36"/>
  <c r="I448" i="36"/>
  <c r="I449" i="36"/>
  <c r="I450" i="36"/>
  <c r="I451" i="36"/>
  <c r="I452" i="36"/>
  <c r="I453" i="36"/>
  <c r="I454" i="36"/>
  <c r="I455" i="36"/>
  <c r="I456" i="36"/>
  <c r="I457" i="36"/>
  <c r="I458" i="36"/>
  <c r="I459" i="36"/>
  <c r="I460" i="36"/>
  <c r="I461" i="36"/>
  <c r="I462" i="36"/>
  <c r="I463" i="36"/>
  <c r="I464" i="36"/>
  <c r="I465" i="36"/>
  <c r="I466" i="36"/>
  <c r="I467" i="36"/>
  <c r="I468" i="36"/>
  <c r="I469" i="36"/>
  <c r="I470" i="36"/>
  <c r="I471" i="36"/>
  <c r="I472" i="36"/>
  <c r="I473" i="36"/>
  <c r="I474" i="36"/>
  <c r="I475" i="36"/>
  <c r="I476" i="36"/>
  <c r="I477" i="36"/>
  <c r="I478" i="36"/>
  <c r="I479" i="36"/>
  <c r="I480" i="36"/>
  <c r="I481" i="36"/>
  <c r="I482" i="36"/>
  <c r="I483" i="36"/>
  <c r="I484" i="36"/>
  <c r="I485" i="36"/>
  <c r="I486" i="36"/>
  <c r="I487" i="36"/>
  <c r="I488" i="36"/>
  <c r="I489" i="36"/>
  <c r="I490" i="36"/>
  <c r="I491" i="36"/>
  <c r="I492" i="36"/>
  <c r="I493" i="36"/>
  <c r="I494" i="36"/>
  <c r="I495" i="36"/>
  <c r="I496" i="36"/>
  <c r="I497" i="36"/>
  <c r="I498" i="36"/>
  <c r="I499" i="36"/>
  <c r="I500" i="36"/>
  <c r="I501" i="36"/>
  <c r="I502" i="36"/>
  <c r="I503" i="36"/>
  <c r="I504" i="36"/>
  <c r="I505" i="36"/>
  <c r="I506" i="36"/>
  <c r="I507" i="36"/>
  <c r="I508" i="36"/>
  <c r="I509" i="36"/>
  <c r="I510" i="36"/>
  <c r="I511" i="36"/>
  <c r="I512" i="36"/>
  <c r="I513" i="36"/>
  <c r="I514" i="36"/>
  <c r="I515" i="36"/>
  <c r="I516" i="36"/>
  <c r="I517" i="36"/>
  <c r="I518" i="36"/>
  <c r="I519" i="36"/>
  <c r="I520" i="36"/>
  <c r="I521" i="36"/>
  <c r="I522" i="36"/>
  <c r="I523" i="36"/>
  <c r="I524" i="36"/>
  <c r="I525" i="36"/>
  <c r="I526" i="36"/>
  <c r="I527" i="36"/>
  <c r="I528" i="36"/>
  <c r="I529" i="36"/>
  <c r="I530" i="36"/>
  <c r="I531" i="36"/>
  <c r="I532" i="36"/>
  <c r="I533" i="36"/>
  <c r="I534" i="36"/>
  <c r="I535" i="36"/>
  <c r="I536" i="36"/>
  <c r="I537" i="36"/>
  <c r="I538" i="36"/>
  <c r="I539" i="36"/>
  <c r="I540" i="36"/>
  <c r="I541" i="36"/>
  <c r="I542" i="36"/>
  <c r="I543" i="36"/>
  <c r="I544" i="36"/>
  <c r="I545" i="36"/>
  <c r="I546" i="36"/>
  <c r="I547" i="36"/>
  <c r="I548" i="36"/>
  <c r="I549" i="36"/>
  <c r="I550" i="36"/>
  <c r="I551" i="36"/>
  <c r="I552" i="36"/>
  <c r="I553" i="36"/>
  <c r="I554" i="36"/>
  <c r="I555" i="36"/>
  <c r="I556" i="36"/>
  <c r="I557" i="36"/>
  <c r="I558" i="36"/>
  <c r="I559" i="36"/>
  <c r="I560" i="36"/>
  <c r="I561" i="36"/>
  <c r="I562" i="36"/>
  <c r="I563" i="36"/>
  <c r="I564" i="36"/>
  <c r="I565" i="36"/>
  <c r="I566" i="36"/>
  <c r="I567" i="36"/>
  <c r="I166" i="63" l="1"/>
  <c r="H166" i="63" s="1"/>
  <c r="G166" i="63"/>
  <c r="D166" i="63"/>
  <c r="I165" i="63"/>
  <c r="H165" i="63"/>
  <c r="G165" i="63"/>
  <c r="D165" i="63"/>
  <c r="I164" i="63"/>
  <c r="H164" i="63" s="1"/>
  <c r="G164" i="63"/>
  <c r="D164" i="63"/>
  <c r="I163" i="63"/>
  <c r="H163" i="63"/>
  <c r="G163" i="63"/>
  <c r="D163" i="63"/>
  <c r="I162" i="63"/>
  <c r="H162" i="63" s="1"/>
  <c r="G162" i="63"/>
  <c r="D162" i="63"/>
  <c r="I161" i="63"/>
  <c r="H161" i="63"/>
  <c r="G161" i="63"/>
  <c r="D161" i="63"/>
  <c r="I160" i="63"/>
  <c r="H160" i="63" s="1"/>
  <c r="G160" i="63"/>
  <c r="D160" i="63"/>
  <c r="I159" i="63"/>
  <c r="H159" i="63"/>
  <c r="G159" i="63"/>
  <c r="D159" i="63"/>
  <c r="I158" i="63"/>
  <c r="H158" i="63" s="1"/>
  <c r="G158" i="63"/>
  <c r="D158" i="63"/>
  <c r="I157" i="63"/>
  <c r="H157" i="63"/>
  <c r="G157" i="63"/>
  <c r="D157" i="63"/>
  <c r="I156" i="63"/>
  <c r="H156" i="63" s="1"/>
  <c r="G156" i="63"/>
  <c r="D156" i="63"/>
  <c r="I155" i="63"/>
  <c r="H155" i="63"/>
  <c r="G155" i="63"/>
  <c r="D155" i="63"/>
  <c r="I154" i="63"/>
  <c r="H154" i="63" s="1"/>
  <c r="G154" i="63"/>
  <c r="D154" i="63"/>
  <c r="I153" i="63"/>
  <c r="H153" i="63"/>
  <c r="G153" i="63"/>
  <c r="D153" i="63"/>
  <c r="I152" i="63"/>
  <c r="H152" i="63" s="1"/>
  <c r="G152" i="63"/>
  <c r="D152" i="63"/>
  <c r="I151" i="63"/>
  <c r="H151" i="63"/>
  <c r="G151" i="63"/>
  <c r="D151" i="63"/>
  <c r="I150" i="63"/>
  <c r="H150" i="63" s="1"/>
  <c r="G150" i="63"/>
  <c r="D150" i="63"/>
  <c r="I149" i="63"/>
  <c r="H149" i="63"/>
  <c r="G149" i="63"/>
  <c r="D149" i="63"/>
  <c r="I148" i="63"/>
  <c r="H148" i="63" s="1"/>
  <c r="G148" i="63"/>
  <c r="D148" i="63"/>
  <c r="I147" i="63"/>
  <c r="H147" i="63"/>
  <c r="G147" i="63"/>
  <c r="D147" i="63"/>
  <c r="I146" i="63"/>
  <c r="H146" i="63" s="1"/>
  <c r="G146" i="63"/>
  <c r="D146" i="63"/>
  <c r="I145" i="63"/>
  <c r="H145" i="63"/>
  <c r="G145" i="63"/>
  <c r="D145" i="63"/>
  <c r="I144" i="63"/>
  <c r="H144" i="63" s="1"/>
  <c r="G144" i="63"/>
  <c r="D144" i="63"/>
  <c r="I143" i="63"/>
  <c r="H143" i="63"/>
  <c r="G143" i="63"/>
  <c r="D143" i="63"/>
  <c r="I142" i="63"/>
  <c r="H142" i="63" s="1"/>
  <c r="G142" i="63"/>
  <c r="D142" i="63"/>
  <c r="I141" i="63"/>
  <c r="H141" i="63"/>
  <c r="G141" i="63"/>
  <c r="D141" i="63"/>
  <c r="I140" i="63"/>
  <c r="H140" i="63" s="1"/>
  <c r="G140" i="63"/>
  <c r="D140" i="63"/>
  <c r="I139" i="63"/>
  <c r="H139" i="63"/>
  <c r="G139" i="63"/>
  <c r="D139" i="63"/>
  <c r="I138" i="63"/>
  <c r="H138" i="63" s="1"/>
  <c r="G138" i="63"/>
  <c r="D138" i="63"/>
  <c r="I137" i="63"/>
  <c r="H137" i="63"/>
  <c r="G137" i="63"/>
  <c r="D137" i="63"/>
  <c r="I136" i="63"/>
  <c r="H136" i="63" s="1"/>
  <c r="G136" i="63"/>
  <c r="D136" i="63"/>
  <c r="I135" i="63"/>
  <c r="H135" i="63"/>
  <c r="G135" i="63"/>
  <c r="D135" i="63"/>
  <c r="I134" i="63"/>
  <c r="H134" i="63" s="1"/>
  <c r="G134" i="63"/>
  <c r="D134" i="63"/>
  <c r="I133" i="63"/>
  <c r="H133" i="63"/>
  <c r="G133" i="63"/>
  <c r="D133" i="63"/>
  <c r="I132" i="63"/>
  <c r="H132" i="63" s="1"/>
  <c r="G132" i="63"/>
  <c r="D132" i="63"/>
  <c r="I131" i="63"/>
  <c r="H131" i="63"/>
  <c r="G131" i="63"/>
  <c r="D131" i="63"/>
  <c r="I130" i="63"/>
  <c r="H130" i="63" s="1"/>
  <c r="G130" i="63"/>
  <c r="D130" i="63"/>
  <c r="I129" i="63"/>
  <c r="H129" i="63"/>
  <c r="G129" i="63"/>
  <c r="D129" i="63"/>
  <c r="I128" i="63"/>
  <c r="H128" i="63" s="1"/>
  <c r="G128" i="63"/>
  <c r="D128" i="63"/>
  <c r="I127" i="63"/>
  <c r="H127" i="63"/>
  <c r="G127" i="63"/>
  <c r="D127" i="63"/>
  <c r="I126" i="63"/>
  <c r="H126" i="63" s="1"/>
  <c r="G126" i="63"/>
  <c r="D126" i="63"/>
  <c r="I125" i="63"/>
  <c r="H125" i="63"/>
  <c r="G125" i="63"/>
  <c r="D125" i="63"/>
  <c r="I124" i="63"/>
  <c r="H124" i="63" s="1"/>
  <c r="G124" i="63"/>
  <c r="D124" i="63"/>
  <c r="I123" i="63"/>
  <c r="H123" i="63"/>
  <c r="G123" i="63"/>
  <c r="D123" i="63"/>
  <c r="I122" i="63"/>
  <c r="H122" i="63" s="1"/>
  <c r="G122" i="63"/>
  <c r="D122" i="63"/>
  <c r="I121" i="63"/>
  <c r="H121" i="63"/>
  <c r="G121" i="63"/>
  <c r="D121" i="63"/>
  <c r="I120" i="63"/>
  <c r="H120" i="63" s="1"/>
  <c r="G120" i="63"/>
  <c r="D120" i="63"/>
  <c r="I119" i="63"/>
  <c r="H119" i="63"/>
  <c r="G119" i="63"/>
  <c r="D119" i="63"/>
  <c r="I118" i="63"/>
  <c r="H118" i="63" s="1"/>
  <c r="G118" i="63"/>
  <c r="D118" i="63"/>
  <c r="I117" i="63"/>
  <c r="H117" i="63"/>
  <c r="G117" i="63"/>
  <c r="D117" i="63"/>
  <c r="I116" i="63"/>
  <c r="H116" i="63" s="1"/>
  <c r="G116" i="63"/>
  <c r="D116" i="63"/>
  <c r="I115" i="63"/>
  <c r="H115" i="63"/>
  <c r="G115" i="63"/>
  <c r="D115" i="63"/>
  <c r="I114" i="63"/>
  <c r="H114" i="63"/>
  <c r="G114" i="63"/>
  <c r="D114" i="63"/>
  <c r="I113" i="63"/>
  <c r="H113" i="63"/>
  <c r="G113" i="63"/>
  <c r="D113" i="63"/>
  <c r="I112" i="63"/>
  <c r="H112" i="63" s="1"/>
  <c r="G112" i="63"/>
  <c r="D112" i="63"/>
  <c r="I111" i="63"/>
  <c r="H111" i="63"/>
  <c r="G111" i="63"/>
  <c r="D111" i="63"/>
  <c r="I110" i="63"/>
  <c r="H110" i="63"/>
  <c r="G110" i="63"/>
  <c r="D110" i="63"/>
  <c r="I109" i="63"/>
  <c r="H109" i="63"/>
  <c r="G109" i="63"/>
  <c r="D109" i="63"/>
  <c r="I108" i="63"/>
  <c r="H108" i="63" s="1"/>
  <c r="G108" i="63"/>
  <c r="D108" i="63"/>
  <c r="I107" i="63"/>
  <c r="H107" i="63"/>
  <c r="G107" i="63"/>
  <c r="D107" i="63"/>
  <c r="I106" i="63"/>
  <c r="H106" i="63"/>
  <c r="G106" i="63"/>
  <c r="D106" i="63"/>
  <c r="I105" i="63"/>
  <c r="H105" i="63"/>
  <c r="G105" i="63"/>
  <c r="D105" i="63"/>
  <c r="I104" i="63"/>
  <c r="H104" i="63" s="1"/>
  <c r="G104" i="63"/>
  <c r="D104" i="63"/>
  <c r="I103" i="63"/>
  <c r="H103" i="63"/>
  <c r="G103" i="63"/>
  <c r="D103" i="63"/>
  <c r="I102" i="63"/>
  <c r="H102" i="63"/>
  <c r="G102" i="63"/>
  <c r="D102" i="63"/>
  <c r="I101" i="63"/>
  <c r="H101" i="63"/>
  <c r="G101" i="63"/>
  <c r="D101" i="63"/>
  <c r="I100" i="63"/>
  <c r="H100" i="63" s="1"/>
  <c r="G100" i="63"/>
  <c r="D100" i="63"/>
  <c r="I99" i="63"/>
  <c r="H99" i="63"/>
  <c r="G99" i="63"/>
  <c r="D99" i="63"/>
  <c r="I98" i="63"/>
  <c r="H98" i="63"/>
  <c r="G98" i="63"/>
  <c r="D98" i="63"/>
  <c r="I97" i="63"/>
  <c r="H97" i="63"/>
  <c r="G97" i="63"/>
  <c r="D97" i="63"/>
  <c r="I96" i="63"/>
  <c r="H96" i="63" s="1"/>
  <c r="G96" i="63"/>
  <c r="D96" i="63"/>
  <c r="I95" i="63"/>
  <c r="H95" i="63"/>
  <c r="G95" i="63"/>
  <c r="D95" i="63"/>
  <c r="I94" i="63"/>
  <c r="H94" i="63"/>
  <c r="G94" i="63"/>
  <c r="D94" i="63"/>
  <c r="I93" i="63"/>
  <c r="H93" i="63"/>
  <c r="G93" i="63"/>
  <c r="D93" i="63"/>
  <c r="I92" i="63"/>
  <c r="H92" i="63" s="1"/>
  <c r="G92" i="63"/>
  <c r="D92" i="63"/>
  <c r="I91" i="63"/>
  <c r="H91" i="63"/>
  <c r="G91" i="63"/>
  <c r="D91" i="63"/>
  <c r="I90" i="63"/>
  <c r="H90" i="63"/>
  <c r="G90" i="63"/>
  <c r="D90" i="63"/>
  <c r="I89" i="63"/>
  <c r="H89" i="63"/>
  <c r="G89" i="63"/>
  <c r="D89" i="63"/>
  <c r="I88" i="63"/>
  <c r="H88" i="63" s="1"/>
  <c r="G88" i="63"/>
  <c r="D88" i="63"/>
  <c r="I87" i="63"/>
  <c r="H87" i="63"/>
  <c r="G87" i="63"/>
  <c r="D87" i="63"/>
  <c r="I86" i="63"/>
  <c r="H86" i="63"/>
  <c r="G86" i="63"/>
  <c r="D86" i="63"/>
  <c r="I85" i="63"/>
  <c r="H85" i="63"/>
  <c r="G85" i="63"/>
  <c r="D85" i="63"/>
  <c r="I84" i="63"/>
  <c r="H84" i="63" s="1"/>
  <c r="G84" i="63"/>
  <c r="D84" i="63"/>
  <c r="I83" i="63"/>
  <c r="H83" i="63"/>
  <c r="G83" i="63"/>
  <c r="D83" i="63"/>
  <c r="I82" i="63"/>
  <c r="H82" i="63"/>
  <c r="G82" i="63"/>
  <c r="D82" i="63"/>
  <c r="I81" i="63"/>
  <c r="H81" i="63"/>
  <c r="G81" i="63"/>
  <c r="D81" i="63"/>
  <c r="I80" i="63"/>
  <c r="H80" i="63" s="1"/>
  <c r="G80" i="63"/>
  <c r="D80" i="63"/>
  <c r="I79" i="63"/>
  <c r="H79" i="63"/>
  <c r="G79" i="63"/>
  <c r="D79" i="63"/>
  <c r="I78" i="63"/>
  <c r="H78" i="63"/>
  <c r="G78" i="63"/>
  <c r="D78" i="63"/>
  <c r="I77" i="63"/>
  <c r="H77" i="63"/>
  <c r="G77" i="63"/>
  <c r="D77" i="63"/>
  <c r="I76" i="63"/>
  <c r="H76" i="63" s="1"/>
  <c r="G76" i="63"/>
  <c r="D76" i="63"/>
  <c r="I75" i="63"/>
  <c r="H75" i="63"/>
  <c r="G75" i="63"/>
  <c r="D75" i="63"/>
  <c r="I74" i="63"/>
  <c r="H74" i="63"/>
  <c r="G74" i="63"/>
  <c r="D74" i="63"/>
  <c r="I73" i="63"/>
  <c r="H73" i="63"/>
  <c r="G73" i="63"/>
  <c r="D73" i="63"/>
  <c r="I72" i="63"/>
  <c r="H72" i="63" s="1"/>
  <c r="G72" i="63"/>
  <c r="D72" i="63"/>
  <c r="I71" i="63"/>
  <c r="H71" i="63"/>
  <c r="G71" i="63"/>
  <c r="D71" i="63"/>
  <c r="I70" i="63"/>
  <c r="H70" i="63"/>
  <c r="G70" i="63"/>
  <c r="D70" i="63"/>
  <c r="I69" i="63"/>
  <c r="H69" i="63"/>
  <c r="G69" i="63"/>
  <c r="D69" i="63"/>
  <c r="I68" i="63"/>
  <c r="H68" i="63" s="1"/>
  <c r="G68" i="63"/>
  <c r="D68" i="63"/>
  <c r="I67" i="63"/>
  <c r="H67" i="63"/>
  <c r="G67" i="63"/>
  <c r="D67" i="63"/>
  <c r="I66" i="63"/>
  <c r="H66" i="63"/>
  <c r="G66" i="63"/>
  <c r="D66" i="63"/>
  <c r="I65" i="63"/>
  <c r="H65" i="63"/>
  <c r="G65" i="63"/>
  <c r="D65" i="63"/>
  <c r="I64" i="63"/>
  <c r="H64" i="63" s="1"/>
  <c r="G64" i="63"/>
  <c r="D64" i="63"/>
  <c r="I63" i="63"/>
  <c r="H63" i="63"/>
  <c r="G63" i="63"/>
  <c r="D63" i="63"/>
  <c r="I62" i="63"/>
  <c r="H62" i="63"/>
  <c r="G62" i="63"/>
  <c r="D62" i="63"/>
  <c r="I61" i="63"/>
  <c r="H61" i="63"/>
  <c r="G61" i="63"/>
  <c r="D61" i="63"/>
  <c r="I60" i="63"/>
  <c r="H60" i="63" s="1"/>
  <c r="G60" i="63"/>
  <c r="D60" i="63"/>
  <c r="I59" i="63"/>
  <c r="H59" i="63"/>
  <c r="G59" i="63"/>
  <c r="D59" i="63"/>
  <c r="I58" i="63"/>
  <c r="H58" i="63"/>
  <c r="G58" i="63"/>
  <c r="D58" i="63"/>
  <c r="I57" i="63"/>
  <c r="H57" i="63"/>
  <c r="G57" i="63"/>
  <c r="D57" i="63"/>
  <c r="I56" i="63"/>
  <c r="H56" i="63" s="1"/>
  <c r="G56" i="63"/>
  <c r="D56" i="63"/>
  <c r="I55" i="63"/>
  <c r="H55" i="63"/>
  <c r="G55" i="63"/>
  <c r="D55" i="63"/>
  <c r="I54" i="63"/>
  <c r="H54" i="63"/>
  <c r="G54" i="63"/>
  <c r="D54" i="63"/>
  <c r="I53" i="63"/>
  <c r="H53" i="63"/>
  <c r="G53" i="63"/>
  <c r="D53" i="63"/>
  <c r="I52" i="63"/>
  <c r="H52" i="63" s="1"/>
  <c r="G52" i="63"/>
  <c r="D52" i="63"/>
  <c r="I51" i="63"/>
  <c r="H51" i="63"/>
  <c r="G51" i="63"/>
  <c r="D51" i="63"/>
  <c r="I50" i="63"/>
  <c r="H50" i="63"/>
  <c r="G50" i="63"/>
  <c r="D50" i="63"/>
  <c r="I49" i="63"/>
  <c r="H49" i="63"/>
  <c r="G49" i="63"/>
  <c r="D49" i="63"/>
  <c r="I48" i="63"/>
  <c r="H48" i="63" s="1"/>
  <c r="G48" i="63"/>
  <c r="D48" i="63"/>
  <c r="I47" i="63"/>
  <c r="H47" i="63"/>
  <c r="G47" i="63"/>
  <c r="D47" i="63"/>
  <c r="I46" i="63"/>
  <c r="H46" i="63"/>
  <c r="G46" i="63"/>
  <c r="D46" i="63"/>
  <c r="I45" i="63"/>
  <c r="H45" i="63"/>
  <c r="G45" i="63"/>
  <c r="D45" i="63"/>
  <c r="I44" i="63"/>
  <c r="H44" i="63" s="1"/>
  <c r="G44" i="63"/>
  <c r="D44" i="63"/>
  <c r="I43" i="63"/>
  <c r="H43" i="63"/>
  <c r="G43" i="63"/>
  <c r="D43" i="63"/>
  <c r="I42" i="63"/>
  <c r="H42" i="63"/>
  <c r="G42" i="63"/>
  <c r="D42" i="63"/>
  <c r="I41" i="63"/>
  <c r="H41" i="63"/>
  <c r="G41" i="63"/>
  <c r="D41" i="63"/>
  <c r="I40" i="63"/>
  <c r="H40" i="63" s="1"/>
  <c r="G40" i="63"/>
  <c r="D40" i="63"/>
  <c r="I39" i="63"/>
  <c r="H39" i="63"/>
  <c r="G39" i="63"/>
  <c r="D39" i="63"/>
  <c r="I38" i="63"/>
  <c r="H38" i="63"/>
  <c r="G38" i="63"/>
  <c r="D38" i="63"/>
  <c r="I37" i="63"/>
  <c r="H37" i="63"/>
  <c r="G37" i="63"/>
  <c r="D37" i="63"/>
  <c r="I36" i="63"/>
  <c r="H36" i="63" s="1"/>
  <c r="G36" i="63"/>
  <c r="D36" i="63"/>
  <c r="I35" i="63"/>
  <c r="H35" i="63"/>
  <c r="G35" i="63"/>
  <c r="D35" i="63"/>
  <c r="I34" i="63"/>
  <c r="H34" i="63"/>
  <c r="G34" i="63"/>
  <c r="D34" i="63"/>
  <c r="I33" i="63"/>
  <c r="H33" i="63"/>
  <c r="G33" i="63"/>
  <c r="D33" i="63"/>
  <c r="I32" i="63"/>
  <c r="H32" i="63" s="1"/>
  <c r="G32" i="63"/>
  <c r="D32" i="63"/>
  <c r="I31" i="63"/>
  <c r="H31" i="63"/>
  <c r="G31" i="63"/>
  <c r="D31" i="63"/>
  <c r="I30" i="63"/>
  <c r="H30" i="63"/>
  <c r="G30" i="63"/>
  <c r="D30" i="63"/>
  <c r="I29" i="63"/>
  <c r="H29" i="63"/>
  <c r="G29" i="63"/>
  <c r="D29" i="63"/>
  <c r="I28" i="63"/>
  <c r="H28" i="63" s="1"/>
  <c r="G28" i="63"/>
  <c r="D28" i="63"/>
  <c r="I27" i="63"/>
  <c r="H27" i="63"/>
  <c r="G27" i="63"/>
  <c r="D27" i="63"/>
  <c r="I26" i="63"/>
  <c r="H26" i="63"/>
  <c r="G26" i="63"/>
  <c r="D26" i="63"/>
  <c r="I25" i="63"/>
  <c r="H25" i="63"/>
  <c r="G25" i="63"/>
  <c r="D25" i="63"/>
  <c r="I24" i="63"/>
  <c r="H24" i="63" s="1"/>
  <c r="G24" i="63"/>
  <c r="D24" i="63"/>
  <c r="I23" i="63"/>
  <c r="H23" i="63"/>
  <c r="G23" i="63"/>
  <c r="D23" i="63"/>
  <c r="I22" i="63"/>
  <c r="H22" i="63"/>
  <c r="G22" i="63"/>
  <c r="D22" i="63"/>
  <c r="I21" i="63"/>
  <c r="H21" i="63"/>
  <c r="G21" i="63"/>
  <c r="D21" i="63"/>
  <c r="I20" i="63"/>
  <c r="H20" i="63" s="1"/>
  <c r="G20" i="63"/>
  <c r="D20" i="63"/>
  <c r="I19" i="63"/>
  <c r="H19" i="63"/>
  <c r="G19" i="63"/>
  <c r="D19" i="63"/>
  <c r="I18" i="63"/>
  <c r="H18" i="63"/>
  <c r="G18" i="63"/>
  <c r="D18" i="63"/>
  <c r="I17" i="63"/>
  <c r="H17" i="63"/>
  <c r="G17" i="63"/>
  <c r="D17" i="63"/>
  <c r="I16" i="63"/>
  <c r="H16" i="63" s="1"/>
  <c r="G16" i="63"/>
  <c r="D16" i="63"/>
  <c r="I15" i="63"/>
  <c r="H15" i="63"/>
  <c r="G15" i="63"/>
  <c r="D15" i="63"/>
  <c r="I14" i="63"/>
  <c r="H14" i="63"/>
  <c r="G14" i="63"/>
  <c r="D14" i="63"/>
  <c r="I13" i="63"/>
  <c r="H13" i="63"/>
  <c r="G13" i="63"/>
  <c r="D13" i="63"/>
  <c r="P5" i="63"/>
  <c r="L5" i="63"/>
  <c r="G5" i="63"/>
  <c r="D5" i="63"/>
  <c r="H5" i="63" s="1"/>
  <c r="B5" i="63"/>
  <c r="C5" i="63" s="1"/>
  <c r="A5" i="63"/>
  <c r="P4" i="63"/>
  <c r="L4" i="63"/>
  <c r="I11" i="66"/>
  <c r="D10" i="66"/>
  <c r="A10" i="66"/>
  <c r="D6" i="66"/>
  <c r="A6" i="66"/>
  <c r="G1" i="66"/>
  <c r="A6" i="65"/>
  <c r="G1" i="65"/>
  <c r="D6" i="62"/>
  <c r="A6" i="62"/>
  <c r="G1" i="62"/>
  <c r="D6" i="64"/>
  <c r="A6" i="64"/>
  <c r="G1" i="64"/>
  <c r="M68" i="61"/>
  <c r="L68" i="61"/>
  <c r="I68" i="61"/>
  <c r="J68" i="61" s="1"/>
  <c r="G68" i="61"/>
  <c r="L67" i="61"/>
  <c r="M67" i="61" s="1"/>
  <c r="I67" i="61"/>
  <c r="J67" i="61" s="1"/>
  <c r="G67" i="61"/>
  <c r="M66" i="61"/>
  <c r="L66" i="61"/>
  <c r="I66" i="61"/>
  <c r="J66" i="61" s="1"/>
  <c r="G66" i="61"/>
  <c r="L65" i="61"/>
  <c r="M65" i="61" s="1"/>
  <c r="I65" i="61"/>
  <c r="J65" i="61" s="1"/>
  <c r="G65" i="61"/>
  <c r="L64" i="61"/>
  <c r="M64" i="61" s="1"/>
  <c r="J64" i="61"/>
  <c r="I64" i="61"/>
  <c r="G64" i="61"/>
  <c r="L63" i="61"/>
  <c r="M63" i="61" s="1"/>
  <c r="I63" i="61"/>
  <c r="J63" i="61" s="1"/>
  <c r="G63" i="61"/>
  <c r="L62" i="61"/>
  <c r="M62" i="61" s="1"/>
  <c r="J62" i="61"/>
  <c r="I62" i="61"/>
  <c r="G62" i="61"/>
  <c r="L61" i="61"/>
  <c r="I61" i="61"/>
  <c r="M61" i="61" s="1"/>
  <c r="G61" i="61"/>
  <c r="M60" i="61"/>
  <c r="L60" i="61"/>
  <c r="J60" i="61"/>
  <c r="I60" i="61"/>
  <c r="G60" i="61"/>
  <c r="L59" i="61"/>
  <c r="I59" i="61"/>
  <c r="M59" i="61" s="1"/>
  <c r="G59" i="61"/>
  <c r="L58" i="61"/>
  <c r="M58" i="61" s="1"/>
  <c r="I58" i="61"/>
  <c r="J58" i="61" s="1"/>
  <c r="G58" i="61"/>
  <c r="L57" i="61"/>
  <c r="M57" i="61" s="1"/>
  <c r="I57" i="61"/>
  <c r="J57" i="61" s="1"/>
  <c r="G57" i="61"/>
  <c r="L56" i="61"/>
  <c r="M56" i="61" s="1"/>
  <c r="I56" i="61"/>
  <c r="J56" i="61" s="1"/>
  <c r="G56" i="61"/>
  <c r="L55" i="61"/>
  <c r="M55" i="61" s="1"/>
  <c r="J55" i="61"/>
  <c r="I55" i="61"/>
  <c r="G55" i="61"/>
  <c r="M54" i="61"/>
  <c r="L54" i="61"/>
  <c r="J54" i="61"/>
  <c r="I54" i="61"/>
  <c r="G54" i="61"/>
  <c r="L53" i="61"/>
  <c r="M53" i="61" s="1"/>
  <c r="J53" i="61"/>
  <c r="I53" i="61"/>
  <c r="G53" i="61"/>
  <c r="M52" i="61"/>
  <c r="L52" i="61"/>
  <c r="I52" i="61"/>
  <c r="J52" i="61" s="1"/>
  <c r="G52" i="61"/>
  <c r="L51" i="61"/>
  <c r="M51" i="61" s="1"/>
  <c r="I51" i="61"/>
  <c r="J51" i="61" s="1"/>
  <c r="G51" i="61"/>
  <c r="M50" i="61"/>
  <c r="L50" i="61"/>
  <c r="I50" i="61"/>
  <c r="J50" i="61" s="1"/>
  <c r="G50" i="61"/>
  <c r="L49" i="61"/>
  <c r="M49" i="61" s="1"/>
  <c r="I49" i="61"/>
  <c r="J49" i="61" s="1"/>
  <c r="G49" i="61"/>
  <c r="L48" i="61"/>
  <c r="M48" i="61" s="1"/>
  <c r="J48" i="61"/>
  <c r="I48" i="61"/>
  <c r="G48" i="61"/>
  <c r="L47" i="61"/>
  <c r="M47" i="61" s="1"/>
  <c r="I47" i="61"/>
  <c r="J47" i="61" s="1"/>
  <c r="G47" i="61"/>
  <c r="L46" i="61"/>
  <c r="J46" i="61"/>
  <c r="I46" i="61"/>
  <c r="M46" i="61" s="1"/>
  <c r="G46" i="61"/>
  <c r="L45" i="61"/>
  <c r="I45" i="61"/>
  <c r="M45" i="61" s="1"/>
  <c r="G45" i="61"/>
  <c r="M44" i="61"/>
  <c r="L44" i="61"/>
  <c r="J44" i="61"/>
  <c r="I44" i="61"/>
  <c r="G44" i="61"/>
  <c r="L43" i="61"/>
  <c r="I43" i="61"/>
  <c r="M43" i="61" s="1"/>
  <c r="G43" i="61"/>
  <c r="L42" i="61"/>
  <c r="M42" i="61" s="1"/>
  <c r="I42" i="61"/>
  <c r="J42" i="61" s="1"/>
  <c r="G42" i="61"/>
  <c r="L41" i="61"/>
  <c r="M41" i="61" s="1"/>
  <c r="I41" i="61"/>
  <c r="J41" i="61" s="1"/>
  <c r="G41" i="61"/>
  <c r="L40" i="61"/>
  <c r="M40" i="61" s="1"/>
  <c r="I40" i="61"/>
  <c r="J40" i="61" s="1"/>
  <c r="G40" i="61"/>
  <c r="L39" i="61"/>
  <c r="M39" i="61" s="1"/>
  <c r="J39" i="61"/>
  <c r="I39" i="61"/>
  <c r="G39" i="61"/>
  <c r="M38" i="61"/>
  <c r="L38" i="61"/>
  <c r="J38" i="61"/>
  <c r="I38" i="61"/>
  <c r="G38" i="61"/>
  <c r="L37" i="61"/>
  <c r="M37" i="61" s="1"/>
  <c r="J37" i="61"/>
  <c r="I37" i="61"/>
  <c r="G37" i="61"/>
  <c r="M36" i="61"/>
  <c r="L36" i="61"/>
  <c r="I36" i="61"/>
  <c r="J36" i="61" s="1"/>
  <c r="G36" i="61"/>
  <c r="L35" i="61"/>
  <c r="M35" i="61" s="1"/>
  <c r="I35" i="61"/>
  <c r="J35" i="61" s="1"/>
  <c r="G35" i="61"/>
  <c r="M34" i="61"/>
  <c r="L34" i="61"/>
  <c r="I34" i="61"/>
  <c r="J34" i="61" s="1"/>
  <c r="G34" i="61"/>
  <c r="L33" i="61"/>
  <c r="M33" i="61" s="1"/>
  <c r="I33" i="61"/>
  <c r="J33" i="61" s="1"/>
  <c r="G33" i="61"/>
  <c r="L32" i="61"/>
  <c r="M32" i="61" s="1"/>
  <c r="J32" i="61"/>
  <c r="I32" i="61"/>
  <c r="G32" i="61"/>
  <c r="L31" i="61"/>
  <c r="M31" i="61" s="1"/>
  <c r="I31" i="61"/>
  <c r="J31" i="61" s="1"/>
  <c r="G31" i="61"/>
  <c r="L30" i="61"/>
  <c r="M30" i="61" s="1"/>
  <c r="J30" i="61"/>
  <c r="I30" i="61"/>
  <c r="G30" i="61"/>
  <c r="L29" i="61"/>
  <c r="I29" i="61"/>
  <c r="M29" i="61" s="1"/>
  <c r="G29" i="61"/>
  <c r="M28" i="61"/>
  <c r="L28" i="61"/>
  <c r="J28" i="61"/>
  <c r="I28" i="61"/>
  <c r="G28" i="61"/>
  <c r="L27" i="61"/>
  <c r="I27" i="61"/>
  <c r="M27" i="61" s="1"/>
  <c r="G27" i="61"/>
  <c r="L26" i="61"/>
  <c r="M26" i="61" s="1"/>
  <c r="I26" i="61"/>
  <c r="J26" i="61" s="1"/>
  <c r="G26" i="61"/>
  <c r="L25" i="61"/>
  <c r="M25" i="61" s="1"/>
  <c r="I25" i="61"/>
  <c r="J25" i="61" s="1"/>
  <c r="G25" i="61"/>
  <c r="L24" i="61"/>
  <c r="M24" i="61" s="1"/>
  <c r="I24" i="61"/>
  <c r="J24" i="61" s="1"/>
  <c r="G24" i="61"/>
  <c r="L23" i="61"/>
  <c r="M23" i="61" s="1"/>
  <c r="J23" i="61"/>
  <c r="I23" i="61"/>
  <c r="G23" i="61"/>
  <c r="M22" i="61"/>
  <c r="L22" i="61"/>
  <c r="J22" i="61"/>
  <c r="I22" i="61"/>
  <c r="G22" i="61"/>
  <c r="L21" i="61"/>
  <c r="M21" i="61" s="1"/>
  <c r="J21" i="61"/>
  <c r="I21" i="61"/>
  <c r="G21" i="61"/>
  <c r="M20" i="61"/>
  <c r="L20" i="61"/>
  <c r="I20" i="61"/>
  <c r="J20" i="61" s="1"/>
  <c r="G20" i="61"/>
  <c r="L19" i="61"/>
  <c r="M19" i="61" s="1"/>
  <c r="I19" i="61"/>
  <c r="J19" i="61" s="1"/>
  <c r="G19" i="61"/>
  <c r="M18" i="61"/>
  <c r="L18" i="61"/>
  <c r="I18" i="61"/>
  <c r="J18" i="61" s="1"/>
  <c r="G18" i="61"/>
  <c r="L17" i="61"/>
  <c r="M17" i="61" s="1"/>
  <c r="I17" i="61"/>
  <c r="J17" i="61" s="1"/>
  <c r="G17" i="61"/>
  <c r="L16" i="61"/>
  <c r="M16" i="61" s="1"/>
  <c r="J16" i="61"/>
  <c r="I16" i="61"/>
  <c r="G16" i="61"/>
  <c r="L15" i="61"/>
  <c r="M15" i="61" s="1"/>
  <c r="I15" i="61"/>
  <c r="J15" i="61" s="1"/>
  <c r="G15" i="61"/>
  <c r="L14" i="61"/>
  <c r="J14" i="61"/>
  <c r="I14" i="61"/>
  <c r="M14" i="61" s="1"/>
  <c r="G14" i="61"/>
  <c r="L13" i="61"/>
  <c r="I13" i="61"/>
  <c r="M13" i="61" s="1"/>
  <c r="G13" i="61"/>
  <c r="M12" i="61"/>
  <c r="L12" i="61"/>
  <c r="J12" i="61"/>
  <c r="I12" i="61"/>
  <c r="G12" i="61"/>
  <c r="L11" i="61"/>
  <c r="I11" i="61"/>
  <c r="M11" i="61" s="1"/>
  <c r="G11" i="61"/>
  <c r="L10" i="61"/>
  <c r="M10" i="61" s="1"/>
  <c r="I10" i="61"/>
  <c r="J10" i="61" s="1"/>
  <c r="G10" i="61"/>
  <c r="L9" i="61"/>
  <c r="M9" i="61" s="1"/>
  <c r="I9" i="61"/>
  <c r="J9" i="61" s="1"/>
  <c r="G9" i="61"/>
  <c r="L8" i="61"/>
  <c r="M8" i="61" s="1"/>
  <c r="I8" i="61"/>
  <c r="G8" i="61"/>
  <c r="J8" i="61" s="1"/>
  <c r="L7" i="61"/>
  <c r="J7" i="61"/>
  <c r="I7" i="61"/>
  <c r="G7" i="61"/>
  <c r="M6" i="61"/>
  <c r="L6" i="61"/>
  <c r="I6" i="61"/>
  <c r="G6" i="61"/>
  <c r="L5" i="61"/>
  <c r="M5" i="61" s="1"/>
  <c r="I5" i="61"/>
  <c r="J5" i="61" s="1"/>
  <c r="R5" i="61" s="1"/>
  <c r="G5" i="61"/>
  <c r="F335" i="59"/>
  <c r="F334" i="59"/>
  <c r="F333" i="59"/>
  <c r="F332" i="59"/>
  <c r="F331" i="59"/>
  <c r="F330" i="59"/>
  <c r="F329" i="59"/>
  <c r="F328" i="59"/>
  <c r="F327" i="59"/>
  <c r="F326" i="59"/>
  <c r="F325" i="59"/>
  <c r="F324" i="59"/>
  <c r="F323" i="59"/>
  <c r="F322" i="59"/>
  <c r="F321" i="59"/>
  <c r="F320" i="59"/>
  <c r="F319" i="59"/>
  <c r="F318" i="59"/>
  <c r="F317" i="59"/>
  <c r="F316" i="59"/>
  <c r="F315" i="59"/>
  <c r="F314" i="59"/>
  <c r="F313" i="59"/>
  <c r="F312" i="59"/>
  <c r="F311" i="59"/>
  <c r="F310" i="59"/>
  <c r="F309" i="59"/>
  <c r="F308" i="59"/>
  <c r="F307" i="59"/>
  <c r="F306" i="59"/>
  <c r="F305" i="59"/>
  <c r="F304" i="59"/>
  <c r="F303" i="59"/>
  <c r="F302" i="59"/>
  <c r="F301" i="59"/>
  <c r="F300" i="59"/>
  <c r="F299" i="59"/>
  <c r="F298" i="59"/>
  <c r="F297" i="59"/>
  <c r="F296" i="59"/>
  <c r="F295" i="59"/>
  <c r="F294" i="59"/>
  <c r="F293" i="59"/>
  <c r="F292" i="59"/>
  <c r="F291" i="59"/>
  <c r="F290" i="59"/>
  <c r="F289" i="59"/>
  <c r="F288" i="59"/>
  <c r="F287" i="59"/>
  <c r="F286" i="59"/>
  <c r="F285" i="59"/>
  <c r="F284" i="59"/>
  <c r="F283" i="59"/>
  <c r="F282" i="59"/>
  <c r="F281" i="59"/>
  <c r="F280" i="59"/>
  <c r="F279" i="59"/>
  <c r="F278" i="59"/>
  <c r="F277" i="59"/>
  <c r="F276" i="59"/>
  <c r="F275" i="59"/>
  <c r="F274" i="59"/>
  <c r="F273" i="59"/>
  <c r="F272" i="59"/>
  <c r="F271" i="59"/>
  <c r="F270" i="59"/>
  <c r="F269" i="59"/>
  <c r="F268" i="59"/>
  <c r="F267" i="59"/>
  <c r="F266" i="59"/>
  <c r="F265" i="59"/>
  <c r="F264" i="59"/>
  <c r="F263" i="59"/>
  <c r="F262" i="59"/>
  <c r="F261" i="59"/>
  <c r="F260" i="59"/>
  <c r="F259" i="59"/>
  <c r="F258" i="59"/>
  <c r="F257" i="59"/>
  <c r="F256" i="59"/>
  <c r="F255" i="59"/>
  <c r="F254" i="59"/>
  <c r="F253" i="59"/>
  <c r="F252" i="59"/>
  <c r="F251" i="59"/>
  <c r="F250" i="59"/>
  <c r="F249" i="59"/>
  <c r="F248" i="59"/>
  <c r="F247" i="59"/>
  <c r="F246" i="59"/>
  <c r="F245" i="59"/>
  <c r="F244" i="59"/>
  <c r="F243" i="59"/>
  <c r="F242" i="59"/>
  <c r="F241" i="59"/>
  <c r="F240" i="59"/>
  <c r="F239" i="59"/>
  <c r="F238" i="59"/>
  <c r="F237" i="59"/>
  <c r="F236" i="59"/>
  <c r="F235" i="59"/>
  <c r="F234" i="59"/>
  <c r="F233" i="59"/>
  <c r="F232" i="59"/>
  <c r="F231" i="59"/>
  <c r="F230" i="59"/>
  <c r="F229" i="59"/>
  <c r="F228" i="59"/>
  <c r="F227" i="59"/>
  <c r="F226" i="59"/>
  <c r="F225" i="59"/>
  <c r="F224" i="59"/>
  <c r="F223" i="59"/>
  <c r="F222" i="59"/>
  <c r="F221" i="59"/>
  <c r="F220" i="59"/>
  <c r="F219" i="59"/>
  <c r="F218" i="59"/>
  <c r="F217" i="59"/>
  <c r="F216" i="59"/>
  <c r="F215" i="59"/>
  <c r="F214" i="59"/>
  <c r="F213" i="59"/>
  <c r="F212" i="59"/>
  <c r="F211" i="59"/>
  <c r="F210" i="59"/>
  <c r="F209" i="59"/>
  <c r="F208" i="59"/>
  <c r="F207" i="59"/>
  <c r="F206" i="59"/>
  <c r="F205" i="59"/>
  <c r="F204" i="59"/>
  <c r="F203" i="59"/>
  <c r="F202" i="59"/>
  <c r="F201" i="59"/>
  <c r="F200" i="59"/>
  <c r="F199" i="59"/>
  <c r="F198" i="59"/>
  <c r="F197" i="59"/>
  <c r="F196" i="59"/>
  <c r="F195" i="59"/>
  <c r="F194" i="59"/>
  <c r="F193" i="59"/>
  <c r="F192" i="59"/>
  <c r="F191" i="59"/>
  <c r="F190" i="59"/>
  <c r="F189" i="59"/>
  <c r="F188" i="59"/>
  <c r="F187" i="59"/>
  <c r="F186" i="59"/>
  <c r="F185" i="59"/>
  <c r="F184" i="59"/>
  <c r="F183" i="59"/>
  <c r="F182" i="59"/>
  <c r="F181" i="59"/>
  <c r="F180" i="59"/>
  <c r="F179" i="59"/>
  <c r="F178" i="59"/>
  <c r="F177" i="59"/>
  <c r="F176" i="59"/>
  <c r="F175" i="59"/>
  <c r="F174" i="59"/>
  <c r="F173" i="59"/>
  <c r="F172" i="59"/>
  <c r="F171" i="59"/>
  <c r="F170" i="59"/>
  <c r="F169" i="59"/>
  <c r="F168" i="59"/>
  <c r="F167" i="59"/>
  <c r="F166" i="59"/>
  <c r="F165" i="59"/>
  <c r="F164" i="59"/>
  <c r="F163" i="59"/>
  <c r="F162" i="59"/>
  <c r="F161" i="59"/>
  <c r="F160" i="59"/>
  <c r="F159" i="59"/>
  <c r="F158" i="59"/>
  <c r="F157" i="59"/>
  <c r="F156" i="59"/>
  <c r="F155" i="59"/>
  <c r="F154" i="59"/>
  <c r="F153" i="59"/>
  <c r="F152" i="59"/>
  <c r="F151" i="59"/>
  <c r="F150" i="59"/>
  <c r="F149" i="59"/>
  <c r="F148" i="59"/>
  <c r="F147" i="59"/>
  <c r="F146" i="59"/>
  <c r="F145" i="59"/>
  <c r="F144" i="59"/>
  <c r="F143" i="59"/>
  <c r="F142" i="59"/>
  <c r="F141" i="59"/>
  <c r="F140" i="59"/>
  <c r="F139" i="59"/>
  <c r="F138" i="59"/>
  <c r="F137" i="59"/>
  <c r="F136" i="59"/>
  <c r="F135" i="59"/>
  <c r="F134" i="59"/>
  <c r="F133" i="59"/>
  <c r="F132" i="59"/>
  <c r="F131" i="59"/>
  <c r="F130" i="59"/>
  <c r="F129" i="59"/>
  <c r="F128" i="59"/>
  <c r="F127" i="59"/>
  <c r="F126" i="59"/>
  <c r="F125" i="59"/>
  <c r="F124" i="59"/>
  <c r="F123" i="59"/>
  <c r="F122" i="59"/>
  <c r="F121" i="59"/>
  <c r="F120" i="59"/>
  <c r="F119" i="59"/>
  <c r="F118" i="59"/>
  <c r="F117" i="59"/>
  <c r="F116" i="59"/>
  <c r="F115" i="59"/>
  <c r="F114" i="59"/>
  <c r="F113" i="59"/>
  <c r="F112" i="59"/>
  <c r="F111" i="59"/>
  <c r="F110" i="59"/>
  <c r="F109" i="59"/>
  <c r="F108" i="59"/>
  <c r="F107" i="59"/>
  <c r="F106" i="59"/>
  <c r="F105" i="59"/>
  <c r="F104" i="59"/>
  <c r="F103" i="59"/>
  <c r="F102" i="59"/>
  <c r="F101" i="59"/>
  <c r="F100" i="59"/>
  <c r="F99" i="59"/>
  <c r="F98" i="59"/>
  <c r="F97" i="59"/>
  <c r="F96" i="59"/>
  <c r="F95" i="59"/>
  <c r="F94" i="59"/>
  <c r="F93" i="59"/>
  <c r="F92" i="59"/>
  <c r="F91" i="59"/>
  <c r="F90" i="59"/>
  <c r="F89" i="59"/>
  <c r="F88" i="59"/>
  <c r="F87" i="59"/>
  <c r="F86" i="59"/>
  <c r="F85" i="59"/>
  <c r="F84" i="59"/>
  <c r="F83" i="59"/>
  <c r="F82" i="59"/>
  <c r="F81" i="59"/>
  <c r="F80" i="59"/>
  <c r="F79" i="59"/>
  <c r="F78" i="59"/>
  <c r="F77" i="59"/>
  <c r="F76" i="59"/>
  <c r="F75" i="59"/>
  <c r="F74" i="59"/>
  <c r="F73" i="59"/>
  <c r="F72" i="59"/>
  <c r="F71" i="59"/>
  <c r="F70" i="59"/>
  <c r="F69" i="59"/>
  <c r="F68" i="59"/>
  <c r="F67" i="59"/>
  <c r="F66" i="59"/>
  <c r="F65" i="59"/>
  <c r="F64" i="59"/>
  <c r="F63" i="59"/>
  <c r="F62" i="59"/>
  <c r="F61" i="59"/>
  <c r="F60" i="59"/>
  <c r="F59" i="59"/>
  <c r="F58" i="59"/>
  <c r="F57" i="59"/>
  <c r="F56" i="59"/>
  <c r="F55" i="59"/>
  <c r="F54" i="59"/>
  <c r="F53" i="59"/>
  <c r="F52" i="59"/>
  <c r="F51" i="59"/>
  <c r="F50" i="59"/>
  <c r="F49" i="59"/>
  <c r="F48" i="59"/>
  <c r="F47" i="59"/>
  <c r="F46" i="59"/>
  <c r="F45" i="59"/>
  <c r="F44" i="59"/>
  <c r="F43" i="59"/>
  <c r="F42" i="59"/>
  <c r="F41" i="59"/>
  <c r="F40" i="59"/>
  <c r="F39" i="59"/>
  <c r="F38" i="59"/>
  <c r="F37" i="59"/>
  <c r="F36" i="59"/>
  <c r="F35" i="59"/>
  <c r="F34" i="59"/>
  <c r="F33" i="59"/>
  <c r="F32" i="59"/>
  <c r="F31" i="59"/>
  <c r="F30" i="59"/>
  <c r="F29" i="59"/>
  <c r="F28" i="59"/>
  <c r="F27" i="59"/>
  <c r="F26" i="59"/>
  <c r="F25" i="59"/>
  <c r="F24" i="59"/>
  <c r="F23" i="59"/>
  <c r="F22" i="59"/>
  <c r="F21" i="59"/>
  <c r="F20" i="59"/>
  <c r="F19" i="59"/>
  <c r="F18" i="59"/>
  <c r="F17" i="59"/>
  <c r="F16" i="59"/>
  <c r="F15" i="59"/>
  <c r="F14" i="59"/>
  <c r="F13" i="59"/>
  <c r="F12" i="59"/>
  <c r="F11" i="59"/>
  <c r="F10" i="59"/>
  <c r="F9" i="59"/>
  <c r="F8" i="59"/>
  <c r="D16" i="54"/>
  <c r="F15" i="54"/>
  <c r="D15" i="54"/>
  <c r="D14" i="54"/>
  <c r="J13" i="54"/>
  <c r="H13" i="54"/>
  <c r="D13" i="54"/>
  <c r="D12" i="54"/>
  <c r="H11" i="54"/>
  <c r="D11" i="54"/>
  <c r="D10" i="54"/>
  <c r="J9" i="54"/>
  <c r="H9" i="54"/>
  <c r="D9" i="54"/>
  <c r="L8" i="54"/>
  <c r="D8" i="54"/>
  <c r="H7" i="54"/>
  <c r="D7" i="54"/>
  <c r="D6" i="54"/>
  <c r="J5" i="54"/>
  <c r="H5" i="54"/>
  <c r="D5" i="54"/>
  <c r="I572" i="38"/>
  <c r="B572" i="38"/>
  <c r="I571" i="38"/>
  <c r="B571" i="38"/>
  <c r="I570" i="38"/>
  <c r="B570" i="38"/>
  <c r="I569" i="38"/>
  <c r="B569" i="38"/>
  <c r="I568" i="38"/>
  <c r="B568" i="38"/>
  <c r="I567" i="38"/>
  <c r="B567" i="38"/>
  <c r="I566" i="38"/>
  <c r="B566" i="38"/>
  <c r="I565" i="38"/>
  <c r="B565" i="38"/>
  <c r="I564" i="38"/>
  <c r="B564" i="38"/>
  <c r="I563" i="38"/>
  <c r="B563" i="38"/>
  <c r="I562" i="38"/>
  <c r="B562" i="38"/>
  <c r="I561" i="38"/>
  <c r="B561" i="38"/>
  <c r="I560" i="38"/>
  <c r="B560" i="38"/>
  <c r="I559" i="38"/>
  <c r="B559" i="38"/>
  <c r="I558" i="38"/>
  <c r="B558" i="38"/>
  <c r="I557" i="38"/>
  <c r="B557" i="38"/>
  <c r="I556" i="38"/>
  <c r="B556" i="38"/>
  <c r="I555" i="38"/>
  <c r="B555" i="38"/>
  <c r="I554" i="38"/>
  <c r="B554" i="38"/>
  <c r="I553" i="38"/>
  <c r="B553" i="38"/>
  <c r="I552" i="38"/>
  <c r="B552" i="38"/>
  <c r="I551" i="38"/>
  <c r="B551" i="38"/>
  <c r="I550" i="38"/>
  <c r="B550" i="38"/>
  <c r="I549" i="38"/>
  <c r="B549" i="38"/>
  <c r="I548" i="38"/>
  <c r="B548" i="38"/>
  <c r="I547" i="38"/>
  <c r="B547" i="38"/>
  <c r="I546" i="38"/>
  <c r="B546" i="38"/>
  <c r="I545" i="38"/>
  <c r="B545" i="38"/>
  <c r="I544" i="38"/>
  <c r="B544" i="38"/>
  <c r="I543" i="38"/>
  <c r="B543" i="38"/>
  <c r="I542" i="38"/>
  <c r="B542" i="38"/>
  <c r="I541" i="38"/>
  <c r="B541" i="38"/>
  <c r="I540" i="38"/>
  <c r="B540" i="38"/>
  <c r="I539" i="38"/>
  <c r="B539" i="38"/>
  <c r="I538" i="38"/>
  <c r="B538" i="38"/>
  <c r="I537" i="38"/>
  <c r="B537" i="38"/>
  <c r="I536" i="38"/>
  <c r="B536" i="38"/>
  <c r="I535" i="38"/>
  <c r="B535" i="38"/>
  <c r="I534" i="38"/>
  <c r="B534" i="38"/>
  <c r="I533" i="38"/>
  <c r="B533" i="38"/>
  <c r="I532" i="38"/>
  <c r="B532" i="38"/>
  <c r="I531" i="38"/>
  <c r="B531" i="38"/>
  <c r="I530" i="38"/>
  <c r="B530" i="38"/>
  <c r="I529" i="38"/>
  <c r="B529" i="38"/>
  <c r="I528" i="38"/>
  <c r="B528" i="38"/>
  <c r="I527" i="38"/>
  <c r="B527" i="38"/>
  <c r="I526" i="38"/>
  <c r="B526" i="38"/>
  <c r="I525" i="38"/>
  <c r="B525" i="38"/>
  <c r="I524" i="38"/>
  <c r="B524" i="38"/>
  <c r="I523" i="38"/>
  <c r="B523" i="38"/>
  <c r="I522" i="38"/>
  <c r="B522" i="38"/>
  <c r="I521" i="38"/>
  <c r="B521" i="38"/>
  <c r="I520" i="38"/>
  <c r="B520" i="38"/>
  <c r="I519" i="38"/>
  <c r="B519" i="38"/>
  <c r="I518" i="38"/>
  <c r="B518" i="38"/>
  <c r="I517" i="38"/>
  <c r="B517" i="38"/>
  <c r="I516" i="38"/>
  <c r="B516" i="38"/>
  <c r="I515" i="38"/>
  <c r="B515" i="38"/>
  <c r="I514" i="38"/>
  <c r="B514" i="38"/>
  <c r="I513" i="38"/>
  <c r="B513" i="38"/>
  <c r="I512" i="38"/>
  <c r="B512" i="38"/>
  <c r="I511" i="38"/>
  <c r="B511" i="38"/>
  <c r="I510" i="38"/>
  <c r="B510" i="38"/>
  <c r="I509" i="38"/>
  <c r="B509" i="38"/>
  <c r="I508" i="38"/>
  <c r="B508" i="38"/>
  <c r="I507" i="38"/>
  <c r="B507" i="38"/>
  <c r="I506" i="38"/>
  <c r="B506" i="38"/>
  <c r="I505" i="38"/>
  <c r="B505" i="38"/>
  <c r="I504" i="38"/>
  <c r="B504" i="38"/>
  <c r="I503" i="38"/>
  <c r="B503" i="38"/>
  <c r="I502" i="38"/>
  <c r="B502" i="38"/>
  <c r="I501" i="38"/>
  <c r="B501" i="38"/>
  <c r="I500" i="38"/>
  <c r="B500" i="38"/>
  <c r="I499" i="38"/>
  <c r="B499" i="38"/>
  <c r="I498" i="38"/>
  <c r="B498" i="38"/>
  <c r="I497" i="38"/>
  <c r="B497" i="38"/>
  <c r="I496" i="38"/>
  <c r="B496" i="38"/>
  <c r="I495" i="38"/>
  <c r="B495" i="38"/>
  <c r="I494" i="38"/>
  <c r="B494" i="38"/>
  <c r="I493" i="38"/>
  <c r="B493" i="38"/>
  <c r="I492" i="38"/>
  <c r="B492" i="38"/>
  <c r="I491" i="38"/>
  <c r="B491" i="38"/>
  <c r="I490" i="38"/>
  <c r="B490" i="38"/>
  <c r="I489" i="38"/>
  <c r="B489" i="38"/>
  <c r="I488" i="38"/>
  <c r="B488" i="38"/>
  <c r="I487" i="38"/>
  <c r="B487" i="38"/>
  <c r="I486" i="38"/>
  <c r="B486" i="38"/>
  <c r="I485" i="38"/>
  <c r="B485" i="38"/>
  <c r="I484" i="38"/>
  <c r="B484" i="38"/>
  <c r="I483" i="38"/>
  <c r="B483" i="38"/>
  <c r="I482" i="38"/>
  <c r="B482" i="38"/>
  <c r="I481" i="38"/>
  <c r="B481" i="38"/>
  <c r="I480" i="38"/>
  <c r="B480" i="38"/>
  <c r="I479" i="38"/>
  <c r="B479" i="38"/>
  <c r="I478" i="38"/>
  <c r="B478" i="38"/>
  <c r="I477" i="38"/>
  <c r="B477" i="38"/>
  <c r="I476" i="38"/>
  <c r="B476" i="38"/>
  <c r="I475" i="38"/>
  <c r="B475" i="38"/>
  <c r="I474" i="38"/>
  <c r="B474" i="38"/>
  <c r="I473" i="38"/>
  <c r="B473" i="38"/>
  <c r="I472" i="38"/>
  <c r="B472" i="38"/>
  <c r="I471" i="38"/>
  <c r="B471" i="38"/>
  <c r="I470" i="38"/>
  <c r="B470" i="38"/>
  <c r="I469" i="38"/>
  <c r="B469" i="38"/>
  <c r="I468" i="38"/>
  <c r="B468" i="38"/>
  <c r="I467" i="38"/>
  <c r="B467" i="38"/>
  <c r="I466" i="38"/>
  <c r="B466" i="38"/>
  <c r="I465" i="38"/>
  <c r="B465" i="38"/>
  <c r="I464" i="38"/>
  <c r="B464" i="38"/>
  <c r="I463" i="38"/>
  <c r="B463" i="38"/>
  <c r="I462" i="38"/>
  <c r="B462" i="38"/>
  <c r="I461" i="38"/>
  <c r="B461" i="38"/>
  <c r="I460" i="38"/>
  <c r="B460" i="38"/>
  <c r="I459" i="38"/>
  <c r="B459" i="38"/>
  <c r="I458" i="38"/>
  <c r="B458" i="38"/>
  <c r="I457" i="38"/>
  <c r="B457" i="38"/>
  <c r="I456" i="38"/>
  <c r="B456" i="38"/>
  <c r="I455" i="38"/>
  <c r="B455" i="38"/>
  <c r="I454" i="38"/>
  <c r="B454" i="38"/>
  <c r="I453" i="38"/>
  <c r="B453" i="38"/>
  <c r="I452" i="38"/>
  <c r="B452" i="38"/>
  <c r="I451" i="38"/>
  <c r="B451" i="38"/>
  <c r="I450" i="38"/>
  <c r="B450" i="38"/>
  <c r="I449" i="38"/>
  <c r="B449" i="38"/>
  <c r="I448" i="38"/>
  <c r="B448" i="38"/>
  <c r="I447" i="38"/>
  <c r="B447" i="38"/>
  <c r="I446" i="38"/>
  <c r="B446" i="38"/>
  <c r="I445" i="38"/>
  <c r="B445" i="38"/>
  <c r="I444" i="38"/>
  <c r="B444" i="38"/>
  <c r="I443" i="38"/>
  <c r="B443" i="38"/>
  <c r="I442" i="38"/>
  <c r="B442" i="38"/>
  <c r="I441" i="38"/>
  <c r="B441" i="38"/>
  <c r="I440" i="38"/>
  <c r="B440" i="38"/>
  <c r="I439" i="38"/>
  <c r="B439" i="38"/>
  <c r="I438" i="38"/>
  <c r="B438" i="38"/>
  <c r="I437" i="38"/>
  <c r="B437" i="38"/>
  <c r="I436" i="38"/>
  <c r="B436" i="38"/>
  <c r="I435" i="38"/>
  <c r="B435" i="38"/>
  <c r="I434" i="38"/>
  <c r="B434" i="38"/>
  <c r="I433" i="38"/>
  <c r="B433" i="38"/>
  <c r="I432" i="38"/>
  <c r="B432" i="38"/>
  <c r="I431" i="38"/>
  <c r="B431" i="38"/>
  <c r="I430" i="38"/>
  <c r="B430" i="38"/>
  <c r="I429" i="38"/>
  <c r="B429" i="38"/>
  <c r="I428" i="38"/>
  <c r="B428" i="38"/>
  <c r="I427" i="38"/>
  <c r="B427" i="38"/>
  <c r="I426" i="38"/>
  <c r="B426" i="38"/>
  <c r="I425" i="38"/>
  <c r="B425" i="38"/>
  <c r="I424" i="38"/>
  <c r="B424" i="38"/>
  <c r="I423" i="38"/>
  <c r="B423" i="38"/>
  <c r="I422" i="38"/>
  <c r="B422" i="38"/>
  <c r="I421" i="38"/>
  <c r="B421" i="38"/>
  <c r="I420" i="38"/>
  <c r="B420" i="38"/>
  <c r="I419" i="38"/>
  <c r="B419" i="38"/>
  <c r="I418" i="38"/>
  <c r="B418" i="38"/>
  <c r="I417" i="38"/>
  <c r="B417" i="38"/>
  <c r="I416" i="38"/>
  <c r="B416" i="38"/>
  <c r="I415" i="38"/>
  <c r="B415" i="38"/>
  <c r="I414" i="38"/>
  <c r="B414" i="38"/>
  <c r="I413" i="38"/>
  <c r="B413" i="38"/>
  <c r="I412" i="38"/>
  <c r="B412" i="38"/>
  <c r="I411" i="38"/>
  <c r="B411" i="38"/>
  <c r="I410" i="38"/>
  <c r="B410" i="38"/>
  <c r="I409" i="38"/>
  <c r="B409" i="38"/>
  <c r="I408" i="38"/>
  <c r="B408" i="38"/>
  <c r="I407" i="38"/>
  <c r="B407" i="38"/>
  <c r="I406" i="38"/>
  <c r="B406" i="38"/>
  <c r="I405" i="38"/>
  <c r="B405" i="38"/>
  <c r="I404" i="38"/>
  <c r="B404" i="38"/>
  <c r="I403" i="38"/>
  <c r="B403" i="38"/>
  <c r="I402" i="38"/>
  <c r="B402" i="38"/>
  <c r="I401" i="38"/>
  <c r="B401" i="38"/>
  <c r="I400" i="38"/>
  <c r="B400" i="38"/>
  <c r="I399" i="38"/>
  <c r="B399" i="38"/>
  <c r="I398" i="38"/>
  <c r="B398" i="38"/>
  <c r="I397" i="38"/>
  <c r="B397" i="38"/>
  <c r="I396" i="38"/>
  <c r="B396" i="38"/>
  <c r="I395" i="38"/>
  <c r="B395" i="38"/>
  <c r="I394" i="38"/>
  <c r="B394" i="38"/>
  <c r="I393" i="38"/>
  <c r="B393" i="38"/>
  <c r="I392" i="38"/>
  <c r="B392" i="38"/>
  <c r="I391" i="38"/>
  <c r="B391" i="38"/>
  <c r="I390" i="38"/>
  <c r="B390" i="38"/>
  <c r="I389" i="38"/>
  <c r="B389" i="38"/>
  <c r="I388" i="38"/>
  <c r="B388" i="38"/>
  <c r="I387" i="38"/>
  <c r="B387" i="38"/>
  <c r="I386" i="38"/>
  <c r="B386" i="38"/>
  <c r="I385" i="38"/>
  <c r="B385" i="38"/>
  <c r="I384" i="38"/>
  <c r="B384" i="38"/>
  <c r="I383" i="38"/>
  <c r="B383" i="38"/>
  <c r="I382" i="38"/>
  <c r="B382" i="38"/>
  <c r="I381" i="38"/>
  <c r="B381" i="38"/>
  <c r="I380" i="38"/>
  <c r="B380" i="38"/>
  <c r="I379" i="38"/>
  <c r="B379" i="38"/>
  <c r="I378" i="38"/>
  <c r="B378" i="38"/>
  <c r="I377" i="38"/>
  <c r="B377" i="38"/>
  <c r="I376" i="38"/>
  <c r="B376" i="38"/>
  <c r="I375" i="38"/>
  <c r="B375" i="38"/>
  <c r="I374" i="38"/>
  <c r="B374" i="38"/>
  <c r="I373" i="38"/>
  <c r="B373" i="38"/>
  <c r="I372" i="38"/>
  <c r="B372" i="38"/>
  <c r="I371" i="38"/>
  <c r="B371" i="38"/>
  <c r="I370" i="38"/>
  <c r="B370" i="38"/>
  <c r="I369" i="38"/>
  <c r="B369" i="38"/>
  <c r="I368" i="38"/>
  <c r="B368" i="38"/>
  <c r="I367" i="38"/>
  <c r="B367" i="38"/>
  <c r="I366" i="38"/>
  <c r="B366" i="38"/>
  <c r="I365" i="38"/>
  <c r="B365" i="38"/>
  <c r="I364" i="38"/>
  <c r="B364" i="38"/>
  <c r="I363" i="38"/>
  <c r="B363" i="38"/>
  <c r="I362" i="38"/>
  <c r="B362" i="38"/>
  <c r="I361" i="38"/>
  <c r="B361" i="38"/>
  <c r="I360" i="38"/>
  <c r="B360" i="38"/>
  <c r="I359" i="38"/>
  <c r="B359" i="38"/>
  <c r="I358" i="38"/>
  <c r="B358" i="38"/>
  <c r="I357" i="38"/>
  <c r="B357" i="38"/>
  <c r="I356" i="38"/>
  <c r="B356" i="38"/>
  <c r="I355" i="38"/>
  <c r="B355" i="38"/>
  <c r="I354" i="38"/>
  <c r="B354" i="38"/>
  <c r="I353" i="38"/>
  <c r="B353" i="38"/>
  <c r="I352" i="38"/>
  <c r="B352" i="38"/>
  <c r="I351" i="38"/>
  <c r="B351" i="38"/>
  <c r="I350" i="38"/>
  <c r="B350" i="38"/>
  <c r="I349" i="38"/>
  <c r="B349" i="38"/>
  <c r="I348" i="38"/>
  <c r="B348" i="38"/>
  <c r="I347" i="38"/>
  <c r="B347" i="38"/>
  <c r="I346" i="38"/>
  <c r="B346" i="38"/>
  <c r="I345" i="38"/>
  <c r="B345" i="38"/>
  <c r="I344" i="38"/>
  <c r="B344" i="38"/>
  <c r="I343" i="38"/>
  <c r="B343" i="38"/>
  <c r="I342" i="38"/>
  <c r="B342" i="38"/>
  <c r="I341" i="38"/>
  <c r="B341" i="38"/>
  <c r="I340" i="38"/>
  <c r="B340" i="38"/>
  <c r="I339" i="38"/>
  <c r="B339" i="38"/>
  <c r="I338" i="38"/>
  <c r="B338" i="38"/>
  <c r="I337" i="38"/>
  <c r="B337" i="38"/>
  <c r="I336" i="38"/>
  <c r="B336" i="38"/>
  <c r="I335" i="38"/>
  <c r="B335" i="38"/>
  <c r="I334" i="38"/>
  <c r="B334" i="38"/>
  <c r="I333" i="38"/>
  <c r="B333" i="38"/>
  <c r="I332" i="38"/>
  <c r="B332" i="38"/>
  <c r="I331" i="38"/>
  <c r="B331" i="38"/>
  <c r="I330" i="38"/>
  <c r="B330" i="38"/>
  <c r="I329" i="38"/>
  <c r="B329" i="38"/>
  <c r="I328" i="38"/>
  <c r="B328" i="38"/>
  <c r="I327" i="38"/>
  <c r="B327" i="38"/>
  <c r="I326" i="38"/>
  <c r="B326" i="38"/>
  <c r="I325" i="38"/>
  <c r="B325" i="38"/>
  <c r="I324" i="38"/>
  <c r="B324" i="38"/>
  <c r="I323" i="38"/>
  <c r="B323" i="38"/>
  <c r="I322" i="38"/>
  <c r="B322" i="38"/>
  <c r="I321" i="38"/>
  <c r="B321" i="38"/>
  <c r="I320" i="38"/>
  <c r="B320" i="38"/>
  <c r="I319" i="38"/>
  <c r="B319" i="38"/>
  <c r="I318" i="38"/>
  <c r="B318" i="38"/>
  <c r="I317" i="38"/>
  <c r="B317" i="38"/>
  <c r="I316" i="38"/>
  <c r="B316" i="38"/>
  <c r="I315" i="38"/>
  <c r="B315" i="38"/>
  <c r="I314" i="38"/>
  <c r="B314" i="38"/>
  <c r="I313" i="38"/>
  <c r="B313" i="38"/>
  <c r="I312" i="38"/>
  <c r="B312" i="38"/>
  <c r="I311" i="38"/>
  <c r="B311" i="38"/>
  <c r="I310" i="38"/>
  <c r="B310" i="38"/>
  <c r="I309" i="38"/>
  <c r="B309" i="38"/>
  <c r="I308" i="38"/>
  <c r="B308" i="38"/>
  <c r="I307" i="38"/>
  <c r="B307" i="38"/>
  <c r="I306" i="38"/>
  <c r="B306" i="38"/>
  <c r="I305" i="38"/>
  <c r="B305" i="38"/>
  <c r="I304" i="38"/>
  <c r="B304" i="38"/>
  <c r="I303" i="38"/>
  <c r="B303" i="38"/>
  <c r="I302" i="38"/>
  <c r="B302" i="38"/>
  <c r="I301" i="38"/>
  <c r="B301" i="38"/>
  <c r="I300" i="38"/>
  <c r="B300" i="38"/>
  <c r="I299" i="38"/>
  <c r="B299" i="38"/>
  <c r="I298" i="38"/>
  <c r="B298" i="38"/>
  <c r="I297" i="38"/>
  <c r="B297" i="38"/>
  <c r="I296" i="38"/>
  <c r="B296" i="38"/>
  <c r="I295" i="38"/>
  <c r="B295" i="38"/>
  <c r="I294" i="38"/>
  <c r="B294" i="38"/>
  <c r="I293" i="38"/>
  <c r="B293" i="38"/>
  <c r="I292" i="38"/>
  <c r="B292" i="38"/>
  <c r="I291" i="38"/>
  <c r="B291" i="38"/>
  <c r="I290" i="38"/>
  <c r="B290" i="38"/>
  <c r="I289" i="38"/>
  <c r="B289" i="38"/>
  <c r="I288" i="38"/>
  <c r="B288" i="38"/>
  <c r="I287" i="38"/>
  <c r="B287" i="38"/>
  <c r="I286" i="38"/>
  <c r="B286" i="38"/>
  <c r="I285" i="38"/>
  <c r="B285" i="38"/>
  <c r="I284" i="38"/>
  <c r="B284" i="38"/>
  <c r="I283" i="38"/>
  <c r="B283" i="38"/>
  <c r="I282" i="38"/>
  <c r="B282" i="38"/>
  <c r="I281" i="38"/>
  <c r="B281" i="38"/>
  <c r="I280" i="38"/>
  <c r="B280" i="38"/>
  <c r="I279" i="38"/>
  <c r="B279" i="38"/>
  <c r="I278" i="38"/>
  <c r="B278" i="38"/>
  <c r="I277" i="38"/>
  <c r="B277" i="38"/>
  <c r="I276" i="38"/>
  <c r="B276" i="38"/>
  <c r="I275" i="38"/>
  <c r="B275" i="38"/>
  <c r="I274" i="38"/>
  <c r="B274" i="38"/>
  <c r="I273" i="38"/>
  <c r="B273" i="38"/>
  <c r="I272" i="38"/>
  <c r="B272" i="38"/>
  <c r="I271" i="38"/>
  <c r="B271" i="38"/>
  <c r="I270" i="38"/>
  <c r="B270" i="38"/>
  <c r="I269" i="38"/>
  <c r="B269" i="38"/>
  <c r="I268" i="38"/>
  <c r="B268" i="38"/>
  <c r="I267" i="38"/>
  <c r="B267" i="38"/>
  <c r="I266" i="38"/>
  <c r="B266" i="38"/>
  <c r="I265" i="38"/>
  <c r="B265" i="38"/>
  <c r="I264" i="38"/>
  <c r="B264" i="38"/>
  <c r="I263" i="38"/>
  <c r="B263" i="38"/>
  <c r="I262" i="38"/>
  <c r="B262" i="38"/>
  <c r="I261" i="38"/>
  <c r="B261" i="38"/>
  <c r="I260" i="38"/>
  <c r="B260" i="38"/>
  <c r="I259" i="38"/>
  <c r="B259" i="38"/>
  <c r="I258" i="38"/>
  <c r="B258" i="38"/>
  <c r="I257" i="38"/>
  <c r="B257" i="38"/>
  <c r="I256" i="38"/>
  <c r="B256" i="38"/>
  <c r="I255" i="38"/>
  <c r="B255" i="38"/>
  <c r="I254" i="38"/>
  <c r="B254" i="38"/>
  <c r="I253" i="38"/>
  <c r="B253" i="38"/>
  <c r="I252" i="38"/>
  <c r="B252" i="38"/>
  <c r="I251" i="38"/>
  <c r="B251" i="38"/>
  <c r="I250" i="38"/>
  <c r="B250" i="38"/>
  <c r="I249" i="38"/>
  <c r="B249" i="38"/>
  <c r="I248" i="38"/>
  <c r="B248" i="38"/>
  <c r="I247" i="38"/>
  <c r="B247" i="38"/>
  <c r="I246" i="38"/>
  <c r="B246" i="38"/>
  <c r="I245" i="38"/>
  <c r="B245" i="38"/>
  <c r="I244" i="38"/>
  <c r="B244" i="38"/>
  <c r="I243" i="38"/>
  <c r="B243" i="38"/>
  <c r="I242" i="38"/>
  <c r="B242" i="38"/>
  <c r="I241" i="38"/>
  <c r="B241" i="38"/>
  <c r="I240" i="38"/>
  <c r="B240" i="38"/>
  <c r="I239" i="38"/>
  <c r="B239" i="38"/>
  <c r="I238" i="38"/>
  <c r="B238" i="38"/>
  <c r="I237" i="38"/>
  <c r="B237" i="38"/>
  <c r="I236" i="38"/>
  <c r="B236" i="38"/>
  <c r="I235" i="38"/>
  <c r="B235" i="38"/>
  <c r="I234" i="38"/>
  <c r="B234" i="38"/>
  <c r="I233" i="38"/>
  <c r="B233" i="38"/>
  <c r="I232" i="38"/>
  <c r="B232" i="38"/>
  <c r="I231" i="38"/>
  <c r="B231" i="38"/>
  <c r="I230" i="38"/>
  <c r="B230" i="38"/>
  <c r="I229" i="38"/>
  <c r="B229" i="38"/>
  <c r="I228" i="38"/>
  <c r="B228" i="38"/>
  <c r="I227" i="38"/>
  <c r="B227" i="38"/>
  <c r="I226" i="38"/>
  <c r="B226" i="38"/>
  <c r="I225" i="38"/>
  <c r="B225" i="38"/>
  <c r="I224" i="38"/>
  <c r="B224" i="38"/>
  <c r="I223" i="38"/>
  <c r="B223" i="38"/>
  <c r="I222" i="38"/>
  <c r="B222" i="38"/>
  <c r="I221" i="38"/>
  <c r="B221" i="38"/>
  <c r="I220" i="38"/>
  <c r="B220" i="38"/>
  <c r="I219" i="38"/>
  <c r="B219" i="38"/>
  <c r="I218" i="38"/>
  <c r="B218" i="38"/>
  <c r="I217" i="38"/>
  <c r="B217" i="38"/>
  <c r="I216" i="38"/>
  <c r="B216" i="38"/>
  <c r="I215" i="38"/>
  <c r="B215" i="38"/>
  <c r="I214" i="38"/>
  <c r="B214" i="38"/>
  <c r="I213" i="38"/>
  <c r="B213" i="38"/>
  <c r="I212" i="38"/>
  <c r="B212" i="38"/>
  <c r="I211" i="38"/>
  <c r="B211" i="38"/>
  <c r="I210" i="38"/>
  <c r="B210" i="38"/>
  <c r="I209" i="38"/>
  <c r="B209" i="38"/>
  <c r="I208" i="38"/>
  <c r="B208" i="38"/>
  <c r="I207" i="38"/>
  <c r="B207" i="38"/>
  <c r="I206" i="38"/>
  <c r="B206" i="38"/>
  <c r="I205" i="38"/>
  <c r="B205" i="38"/>
  <c r="I204" i="38"/>
  <c r="B204" i="38"/>
  <c r="I203" i="38"/>
  <c r="B203" i="38"/>
  <c r="I202" i="38"/>
  <c r="B202" i="38"/>
  <c r="I201" i="38"/>
  <c r="B201" i="38"/>
  <c r="I200" i="38"/>
  <c r="B200" i="38"/>
  <c r="I199" i="38"/>
  <c r="B199" i="38"/>
  <c r="I198" i="38"/>
  <c r="B198" i="38"/>
  <c r="I197" i="38"/>
  <c r="B197" i="38"/>
  <c r="I196" i="38"/>
  <c r="B196" i="38"/>
  <c r="I195" i="38"/>
  <c r="B195" i="38"/>
  <c r="I194" i="38"/>
  <c r="B194" i="38"/>
  <c r="I193" i="38"/>
  <c r="B193" i="38"/>
  <c r="I192" i="38"/>
  <c r="B192" i="38"/>
  <c r="I191" i="38"/>
  <c r="B191" i="38"/>
  <c r="I190" i="38"/>
  <c r="B190" i="38"/>
  <c r="I189" i="38"/>
  <c r="B189" i="38"/>
  <c r="I188" i="38"/>
  <c r="B188" i="38"/>
  <c r="I187" i="38"/>
  <c r="B187" i="38"/>
  <c r="I186" i="38"/>
  <c r="B186" i="38"/>
  <c r="I185" i="38"/>
  <c r="B185" i="38"/>
  <c r="I184" i="38"/>
  <c r="B184" i="38"/>
  <c r="I183" i="38"/>
  <c r="B183" i="38"/>
  <c r="I182" i="38"/>
  <c r="B182" i="38"/>
  <c r="I181" i="38"/>
  <c r="B181" i="38"/>
  <c r="I180" i="38"/>
  <c r="B180" i="38"/>
  <c r="I179" i="38"/>
  <c r="B179" i="38"/>
  <c r="I178" i="38"/>
  <c r="B178" i="38"/>
  <c r="I177" i="38"/>
  <c r="B177" i="38"/>
  <c r="I176" i="38"/>
  <c r="B176" i="38"/>
  <c r="I175" i="38"/>
  <c r="B175" i="38"/>
  <c r="I174" i="38"/>
  <c r="B174" i="38"/>
  <c r="I173" i="38"/>
  <c r="B173" i="38"/>
  <c r="I172" i="38"/>
  <c r="B172" i="38"/>
  <c r="I171" i="38"/>
  <c r="B171" i="38"/>
  <c r="I170" i="38"/>
  <c r="B170" i="38"/>
  <c r="I169" i="38"/>
  <c r="B169" i="38"/>
  <c r="I168" i="38"/>
  <c r="B168" i="38"/>
  <c r="I167" i="38"/>
  <c r="B167" i="38"/>
  <c r="I166" i="38"/>
  <c r="B166" i="38"/>
  <c r="I165" i="38"/>
  <c r="B165" i="38"/>
  <c r="I164" i="38"/>
  <c r="B164" i="38"/>
  <c r="I163" i="38"/>
  <c r="B163" i="38"/>
  <c r="I162" i="38"/>
  <c r="B162" i="38"/>
  <c r="I161" i="38"/>
  <c r="B161" i="38"/>
  <c r="I160" i="38"/>
  <c r="B160" i="38"/>
  <c r="I159" i="38"/>
  <c r="B159" i="38"/>
  <c r="I158" i="38"/>
  <c r="B158" i="38"/>
  <c r="I157" i="38"/>
  <c r="B157" i="38"/>
  <c r="I156" i="38"/>
  <c r="B156" i="38"/>
  <c r="I155" i="38"/>
  <c r="B155" i="38"/>
  <c r="I154" i="38"/>
  <c r="B154" i="38"/>
  <c r="I153" i="38"/>
  <c r="B153" i="38"/>
  <c r="I152" i="38"/>
  <c r="B152" i="38"/>
  <c r="I151" i="38"/>
  <c r="B151" i="38"/>
  <c r="I150" i="38"/>
  <c r="B150" i="38"/>
  <c r="I149" i="38"/>
  <c r="B149" i="38"/>
  <c r="I148" i="38"/>
  <c r="B148" i="38"/>
  <c r="I147" i="38"/>
  <c r="B147" i="38"/>
  <c r="I146" i="38"/>
  <c r="B146" i="38"/>
  <c r="I145" i="38"/>
  <c r="B145" i="38"/>
  <c r="I144" i="38"/>
  <c r="B144" i="38"/>
  <c r="I143" i="38"/>
  <c r="B143" i="38"/>
  <c r="I142" i="38"/>
  <c r="B142" i="38"/>
  <c r="I141" i="38"/>
  <c r="B141" i="38"/>
  <c r="I140" i="38"/>
  <c r="B140" i="38"/>
  <c r="I139" i="38"/>
  <c r="B139" i="38"/>
  <c r="I138" i="38"/>
  <c r="B138" i="38"/>
  <c r="I137" i="38"/>
  <c r="B137" i="38"/>
  <c r="I136" i="38"/>
  <c r="B136" i="38"/>
  <c r="I135" i="38"/>
  <c r="B135" i="38"/>
  <c r="I134" i="38"/>
  <c r="B134" i="38"/>
  <c r="I133" i="38"/>
  <c r="B133" i="38"/>
  <c r="I132" i="38"/>
  <c r="B132" i="38"/>
  <c r="I131" i="38"/>
  <c r="B131" i="38"/>
  <c r="I130" i="38"/>
  <c r="B130" i="38"/>
  <c r="I129" i="38"/>
  <c r="B129" i="38"/>
  <c r="I128" i="38"/>
  <c r="B128" i="38"/>
  <c r="I127" i="38"/>
  <c r="B127" i="38"/>
  <c r="I126" i="38"/>
  <c r="B126" i="38"/>
  <c r="I125" i="38"/>
  <c r="B125" i="38"/>
  <c r="I124" i="38"/>
  <c r="B124" i="38"/>
  <c r="I123" i="38"/>
  <c r="B123" i="38"/>
  <c r="I122" i="38"/>
  <c r="B122" i="38"/>
  <c r="I121" i="38"/>
  <c r="B121" i="38"/>
  <c r="I120" i="38"/>
  <c r="B120" i="38"/>
  <c r="I119" i="38"/>
  <c r="B119" i="38"/>
  <c r="I118" i="38"/>
  <c r="B118" i="38"/>
  <c r="I117" i="38"/>
  <c r="B117" i="38"/>
  <c r="I116" i="38"/>
  <c r="B116" i="38"/>
  <c r="I115" i="38"/>
  <c r="B115" i="38"/>
  <c r="I114" i="38"/>
  <c r="B114" i="38"/>
  <c r="I113" i="38"/>
  <c r="B113" i="38"/>
  <c r="I112" i="38"/>
  <c r="B112" i="38"/>
  <c r="I111" i="38"/>
  <c r="B111" i="38"/>
  <c r="I110" i="38"/>
  <c r="B110" i="38"/>
  <c r="I109" i="38"/>
  <c r="B109" i="38"/>
  <c r="I108" i="38"/>
  <c r="B108" i="38"/>
  <c r="I107" i="38"/>
  <c r="B107" i="38"/>
  <c r="I106" i="38"/>
  <c r="B106" i="38"/>
  <c r="I105" i="38"/>
  <c r="B105" i="38"/>
  <c r="I104" i="38"/>
  <c r="B104" i="38"/>
  <c r="I103" i="38"/>
  <c r="B103" i="38"/>
  <c r="I102" i="38"/>
  <c r="B102" i="38"/>
  <c r="I101" i="38"/>
  <c r="B101" i="38"/>
  <c r="I100" i="38"/>
  <c r="B100" i="38"/>
  <c r="I99" i="38"/>
  <c r="B99" i="38"/>
  <c r="I98" i="38"/>
  <c r="B98" i="38"/>
  <c r="I97" i="38"/>
  <c r="B97" i="38"/>
  <c r="I96" i="38"/>
  <c r="B96" i="38"/>
  <c r="I95" i="38"/>
  <c r="B95" i="38"/>
  <c r="I94" i="38"/>
  <c r="B94" i="38"/>
  <c r="I93" i="38"/>
  <c r="B93" i="38"/>
  <c r="I92" i="38"/>
  <c r="B92" i="38"/>
  <c r="I91" i="38"/>
  <c r="B91" i="38"/>
  <c r="I90" i="38"/>
  <c r="B90" i="38"/>
  <c r="I89" i="38"/>
  <c r="B89" i="38"/>
  <c r="I88" i="38"/>
  <c r="B88" i="38"/>
  <c r="I87" i="38"/>
  <c r="B87" i="38"/>
  <c r="I86" i="38"/>
  <c r="B86" i="38"/>
  <c r="I85" i="38"/>
  <c r="B85" i="38"/>
  <c r="I84" i="38"/>
  <c r="B84" i="38"/>
  <c r="I83" i="38"/>
  <c r="B83" i="38"/>
  <c r="I82" i="38"/>
  <c r="B82" i="38"/>
  <c r="I81" i="38"/>
  <c r="B81" i="38"/>
  <c r="I80" i="38"/>
  <c r="B80" i="38"/>
  <c r="I79" i="38"/>
  <c r="B79" i="38"/>
  <c r="I78" i="38"/>
  <c r="B78" i="38"/>
  <c r="I77" i="38"/>
  <c r="B77" i="38"/>
  <c r="I76" i="38"/>
  <c r="B76" i="38"/>
  <c r="I75" i="38"/>
  <c r="B75" i="38"/>
  <c r="I74" i="38"/>
  <c r="B74" i="38"/>
  <c r="I73" i="38"/>
  <c r="B73" i="38"/>
  <c r="I72" i="38"/>
  <c r="B72" i="38"/>
  <c r="I71" i="38"/>
  <c r="B71" i="38"/>
  <c r="I70" i="38"/>
  <c r="B70" i="38"/>
  <c r="I69" i="38"/>
  <c r="B69" i="38"/>
  <c r="I68" i="38"/>
  <c r="B68" i="38"/>
  <c r="I67" i="38"/>
  <c r="B67" i="38"/>
  <c r="I66" i="38"/>
  <c r="B66" i="38"/>
  <c r="I65" i="38"/>
  <c r="B65" i="38"/>
  <c r="I64" i="38"/>
  <c r="B64" i="38"/>
  <c r="I63" i="38"/>
  <c r="B63" i="38"/>
  <c r="I62" i="38"/>
  <c r="B62" i="38"/>
  <c r="I61" i="38"/>
  <c r="B61" i="38"/>
  <c r="I60" i="38"/>
  <c r="B60" i="38"/>
  <c r="I59" i="38"/>
  <c r="B59" i="38"/>
  <c r="I58" i="38"/>
  <c r="B58" i="38"/>
  <c r="I57" i="38"/>
  <c r="B57" i="38"/>
  <c r="I56" i="38"/>
  <c r="B56" i="38"/>
  <c r="I55" i="38"/>
  <c r="B55" i="38"/>
  <c r="I54" i="38"/>
  <c r="B54" i="38"/>
  <c r="I53" i="38"/>
  <c r="B53" i="38"/>
  <c r="I52" i="38"/>
  <c r="B52" i="38"/>
  <c r="I51" i="38"/>
  <c r="B51" i="38"/>
  <c r="I50" i="38"/>
  <c r="B50" i="38"/>
  <c r="I49" i="38"/>
  <c r="B49" i="38"/>
  <c r="I48" i="38"/>
  <c r="B48" i="38"/>
  <c r="I47" i="38"/>
  <c r="B47" i="38"/>
  <c r="I46" i="38"/>
  <c r="B46" i="38"/>
  <c r="I45" i="38"/>
  <c r="B45" i="38"/>
  <c r="I44" i="38"/>
  <c r="B44" i="38"/>
  <c r="I43" i="38"/>
  <c r="B43" i="38"/>
  <c r="I42" i="38"/>
  <c r="B42" i="38"/>
  <c r="I41" i="38"/>
  <c r="B41" i="38"/>
  <c r="I40" i="38"/>
  <c r="B40" i="38"/>
  <c r="I39" i="38"/>
  <c r="B39" i="38"/>
  <c r="I38" i="38"/>
  <c r="B38" i="38"/>
  <c r="I37" i="38"/>
  <c r="B37" i="38"/>
  <c r="I36" i="38"/>
  <c r="B36" i="38"/>
  <c r="I35" i="38"/>
  <c r="B35" i="38"/>
  <c r="I34" i="38"/>
  <c r="B34" i="38"/>
  <c r="I33" i="38"/>
  <c r="B33" i="38"/>
  <c r="I32" i="38"/>
  <c r="B32" i="38"/>
  <c r="I31" i="38"/>
  <c r="B31" i="38"/>
  <c r="I30" i="38"/>
  <c r="B30" i="38"/>
  <c r="I29" i="38"/>
  <c r="B29" i="38"/>
  <c r="I28" i="38"/>
  <c r="B28" i="38"/>
  <c r="I27" i="38"/>
  <c r="B27" i="38"/>
  <c r="I26" i="38"/>
  <c r="B26" i="38"/>
  <c r="I25" i="38"/>
  <c r="B25" i="38"/>
  <c r="I24" i="38"/>
  <c r="B24" i="38"/>
  <c r="I23" i="38"/>
  <c r="B23" i="38"/>
  <c r="I22" i="38"/>
  <c r="B22" i="38"/>
  <c r="I21" i="38"/>
  <c r="B21" i="38"/>
  <c r="I20" i="38"/>
  <c r="B20" i="38"/>
  <c r="F16" i="38"/>
  <c r="D16" i="38"/>
  <c r="M15" i="38"/>
  <c r="L15" i="38"/>
  <c r="K15" i="38"/>
  <c r="J15" i="38"/>
  <c r="N15" i="38" s="1"/>
  <c r="H15" i="38"/>
  <c r="G15" i="38"/>
  <c r="E15" i="38"/>
  <c r="I15" i="38" s="1"/>
  <c r="M14" i="38"/>
  <c r="L14" i="38"/>
  <c r="N14" i="38" s="1"/>
  <c r="K14" i="38"/>
  <c r="J14" i="38"/>
  <c r="H14" i="38"/>
  <c r="G14" i="38"/>
  <c r="F14" i="38"/>
  <c r="E14" i="38"/>
  <c r="I14" i="38" s="1"/>
  <c r="M13" i="38"/>
  <c r="L13" i="38"/>
  <c r="K13" i="38"/>
  <c r="J13" i="38"/>
  <c r="N13" i="38" s="1"/>
  <c r="H13" i="38"/>
  <c r="G13" i="38"/>
  <c r="I13" i="38" s="1"/>
  <c r="F13" i="38"/>
  <c r="E13" i="38"/>
  <c r="M12" i="38"/>
  <c r="L12" i="38"/>
  <c r="K12" i="38"/>
  <c r="J12" i="38"/>
  <c r="N12" i="38" s="1"/>
  <c r="H12" i="38"/>
  <c r="G12" i="38"/>
  <c r="F12" i="38"/>
  <c r="E12" i="38"/>
  <c r="I12" i="38" s="1"/>
  <c r="M11" i="38"/>
  <c r="L11" i="38"/>
  <c r="K11" i="38"/>
  <c r="N11" i="38" s="1"/>
  <c r="J11" i="38"/>
  <c r="H11" i="38"/>
  <c r="G11" i="38"/>
  <c r="F11" i="38"/>
  <c r="E11" i="38"/>
  <c r="I11" i="38" s="1"/>
  <c r="O11" i="38" s="1"/>
  <c r="M10" i="38"/>
  <c r="L10" i="38"/>
  <c r="K10" i="38"/>
  <c r="J10" i="38"/>
  <c r="N10" i="38" s="1"/>
  <c r="H10" i="38"/>
  <c r="H16" i="38" s="1"/>
  <c r="G10" i="38"/>
  <c r="F10" i="38"/>
  <c r="I10" i="38" s="1"/>
  <c r="O10" i="38" s="1"/>
  <c r="E10" i="38"/>
  <c r="M9" i="38"/>
  <c r="L9" i="38"/>
  <c r="K9" i="38"/>
  <c r="N9" i="38" s="1"/>
  <c r="J9" i="38"/>
  <c r="H9" i="38"/>
  <c r="G9" i="38"/>
  <c r="F9" i="38"/>
  <c r="E9" i="38"/>
  <c r="I9" i="38" s="1"/>
  <c r="O9" i="38" s="1"/>
  <c r="N8" i="38"/>
  <c r="M8" i="38"/>
  <c r="L8" i="38"/>
  <c r="K8" i="38"/>
  <c r="J8" i="38"/>
  <c r="J16" i="38" s="1"/>
  <c r="H8" i="38"/>
  <c r="G8" i="38"/>
  <c r="F8" i="38"/>
  <c r="I8" i="38" s="1"/>
  <c r="O8" i="38" s="1"/>
  <c r="E8" i="38"/>
  <c r="M7" i="38"/>
  <c r="L7" i="38"/>
  <c r="K7" i="38"/>
  <c r="N7" i="38" s="1"/>
  <c r="J7" i="38"/>
  <c r="I7" i="38"/>
  <c r="H7" i="38"/>
  <c r="G7" i="38"/>
  <c r="F7" i="38"/>
  <c r="E7" i="38"/>
  <c r="M6" i="38"/>
  <c r="L6" i="38"/>
  <c r="N6" i="38" s="1"/>
  <c r="K6" i="38"/>
  <c r="J6" i="38"/>
  <c r="H6" i="38"/>
  <c r="G6" i="38"/>
  <c r="F6" i="38"/>
  <c r="I6" i="38" s="1"/>
  <c r="E6" i="38"/>
  <c r="M5" i="38"/>
  <c r="M16" i="38" s="1"/>
  <c r="L5" i="38"/>
  <c r="K5" i="38"/>
  <c r="K16" i="38" s="1"/>
  <c r="J5" i="38"/>
  <c r="H5" i="38"/>
  <c r="G5" i="38"/>
  <c r="I5" i="38" s="1"/>
  <c r="F5" i="38"/>
  <c r="E5" i="38"/>
  <c r="E16" i="38" s="1"/>
  <c r="I571" i="37"/>
  <c r="B571" i="37"/>
  <c r="I570" i="37"/>
  <c r="B570" i="37"/>
  <c r="I569" i="37"/>
  <c r="B569" i="37"/>
  <c r="I568" i="37"/>
  <c r="B568" i="37"/>
  <c r="I567" i="37"/>
  <c r="B567" i="37"/>
  <c r="I566" i="37"/>
  <c r="B566" i="37"/>
  <c r="I565" i="37"/>
  <c r="B565" i="37"/>
  <c r="I564" i="37"/>
  <c r="B564" i="37"/>
  <c r="I563" i="37"/>
  <c r="B563" i="37"/>
  <c r="I562" i="37"/>
  <c r="B562" i="37"/>
  <c r="I561" i="37"/>
  <c r="B561" i="37"/>
  <c r="I560" i="37"/>
  <c r="B560" i="37"/>
  <c r="I559" i="37"/>
  <c r="B559" i="37"/>
  <c r="I558" i="37"/>
  <c r="B558" i="37"/>
  <c r="I557" i="37"/>
  <c r="B557" i="37"/>
  <c r="I556" i="37"/>
  <c r="B556" i="37"/>
  <c r="I555" i="37"/>
  <c r="B555" i="37"/>
  <c r="I554" i="37"/>
  <c r="B554" i="37"/>
  <c r="I553" i="37"/>
  <c r="B553" i="37"/>
  <c r="I552" i="37"/>
  <c r="B552" i="37"/>
  <c r="I551" i="37"/>
  <c r="B551" i="37"/>
  <c r="I550" i="37"/>
  <c r="B550" i="37"/>
  <c r="I549" i="37"/>
  <c r="B549" i="37"/>
  <c r="I548" i="37"/>
  <c r="B548" i="37"/>
  <c r="I547" i="37"/>
  <c r="B547" i="37"/>
  <c r="I546" i="37"/>
  <c r="B546" i="37"/>
  <c r="I545" i="37"/>
  <c r="B545" i="37"/>
  <c r="I544" i="37"/>
  <c r="B544" i="37"/>
  <c r="I543" i="37"/>
  <c r="B543" i="37"/>
  <c r="I542" i="37"/>
  <c r="B542" i="37"/>
  <c r="I541" i="37"/>
  <c r="B541" i="37"/>
  <c r="I540" i="37"/>
  <c r="B540" i="37"/>
  <c r="I539" i="37"/>
  <c r="B539" i="37"/>
  <c r="I538" i="37"/>
  <c r="B538" i="37"/>
  <c r="I537" i="37"/>
  <c r="B537" i="37"/>
  <c r="I536" i="37"/>
  <c r="B536" i="37"/>
  <c r="I535" i="37"/>
  <c r="B535" i="37"/>
  <c r="I534" i="37"/>
  <c r="B534" i="37"/>
  <c r="I533" i="37"/>
  <c r="B533" i="37"/>
  <c r="I532" i="37"/>
  <c r="B532" i="37"/>
  <c r="I531" i="37"/>
  <c r="B531" i="37"/>
  <c r="I530" i="37"/>
  <c r="B530" i="37"/>
  <c r="I529" i="37"/>
  <c r="B529" i="37"/>
  <c r="I528" i="37"/>
  <c r="B528" i="37"/>
  <c r="I527" i="37"/>
  <c r="B527" i="37"/>
  <c r="I526" i="37"/>
  <c r="B526" i="37"/>
  <c r="I525" i="37"/>
  <c r="B525" i="37"/>
  <c r="I524" i="37"/>
  <c r="B524" i="37"/>
  <c r="I523" i="37"/>
  <c r="B523" i="37"/>
  <c r="I522" i="37"/>
  <c r="B522" i="37"/>
  <c r="I521" i="37"/>
  <c r="B521" i="37"/>
  <c r="I520" i="37"/>
  <c r="B520" i="37"/>
  <c r="I519" i="37"/>
  <c r="B519" i="37"/>
  <c r="I518" i="37"/>
  <c r="B518" i="37"/>
  <c r="I517" i="37"/>
  <c r="B517" i="37"/>
  <c r="I516" i="37"/>
  <c r="B516" i="37"/>
  <c r="I515" i="37"/>
  <c r="B515" i="37"/>
  <c r="I514" i="37"/>
  <c r="B514" i="37"/>
  <c r="I513" i="37"/>
  <c r="B513" i="37"/>
  <c r="I512" i="37"/>
  <c r="B512" i="37"/>
  <c r="I511" i="37"/>
  <c r="B511" i="37"/>
  <c r="I510" i="37"/>
  <c r="B510" i="37"/>
  <c r="I509" i="37"/>
  <c r="B509" i="37"/>
  <c r="I508" i="37"/>
  <c r="B508" i="37"/>
  <c r="I507" i="37"/>
  <c r="B507" i="37"/>
  <c r="I506" i="37"/>
  <c r="B506" i="37"/>
  <c r="I505" i="37"/>
  <c r="B505" i="37"/>
  <c r="I504" i="37"/>
  <c r="B504" i="37"/>
  <c r="I503" i="37"/>
  <c r="B503" i="37"/>
  <c r="I502" i="37"/>
  <c r="B502" i="37"/>
  <c r="I501" i="37"/>
  <c r="B501" i="37"/>
  <c r="I500" i="37"/>
  <c r="B500" i="37"/>
  <c r="I499" i="37"/>
  <c r="B499" i="37"/>
  <c r="I498" i="37"/>
  <c r="B498" i="37"/>
  <c r="I497" i="37"/>
  <c r="B497" i="37"/>
  <c r="I496" i="37"/>
  <c r="B496" i="37"/>
  <c r="I495" i="37"/>
  <c r="B495" i="37"/>
  <c r="I494" i="37"/>
  <c r="B494" i="37"/>
  <c r="I493" i="37"/>
  <c r="B493" i="37"/>
  <c r="I492" i="37"/>
  <c r="B492" i="37"/>
  <c r="I491" i="37"/>
  <c r="B491" i="37"/>
  <c r="I490" i="37"/>
  <c r="B490" i="37"/>
  <c r="I489" i="37"/>
  <c r="B489" i="37"/>
  <c r="I488" i="37"/>
  <c r="B488" i="37"/>
  <c r="I487" i="37"/>
  <c r="B487" i="37"/>
  <c r="I486" i="37"/>
  <c r="B486" i="37"/>
  <c r="I485" i="37"/>
  <c r="B485" i="37"/>
  <c r="I484" i="37"/>
  <c r="B484" i="37"/>
  <c r="I483" i="37"/>
  <c r="B483" i="37"/>
  <c r="I482" i="37"/>
  <c r="B482" i="37"/>
  <c r="I481" i="37"/>
  <c r="B481" i="37"/>
  <c r="I480" i="37"/>
  <c r="B480" i="37"/>
  <c r="I479" i="37"/>
  <c r="B479" i="37"/>
  <c r="I478" i="37"/>
  <c r="B478" i="37"/>
  <c r="I477" i="37"/>
  <c r="B477" i="37"/>
  <c r="I476" i="37"/>
  <c r="B476" i="37"/>
  <c r="I475" i="37"/>
  <c r="B475" i="37"/>
  <c r="I474" i="37"/>
  <c r="B474" i="37"/>
  <c r="I473" i="37"/>
  <c r="B473" i="37"/>
  <c r="I472" i="37"/>
  <c r="B472" i="37"/>
  <c r="I471" i="37"/>
  <c r="B471" i="37"/>
  <c r="I470" i="37"/>
  <c r="B470" i="37"/>
  <c r="I469" i="37"/>
  <c r="B469" i="37"/>
  <c r="I468" i="37"/>
  <c r="B468" i="37"/>
  <c r="I467" i="37"/>
  <c r="B467" i="37"/>
  <c r="I466" i="37"/>
  <c r="B466" i="37"/>
  <c r="I465" i="37"/>
  <c r="B465" i="37"/>
  <c r="I464" i="37"/>
  <c r="B464" i="37"/>
  <c r="I463" i="37"/>
  <c r="B463" i="37"/>
  <c r="I462" i="37"/>
  <c r="B462" i="37"/>
  <c r="I461" i="37"/>
  <c r="B461" i="37"/>
  <c r="I460" i="37"/>
  <c r="B460" i="37"/>
  <c r="I459" i="37"/>
  <c r="B459" i="37"/>
  <c r="I458" i="37"/>
  <c r="B458" i="37"/>
  <c r="I457" i="37"/>
  <c r="B457" i="37"/>
  <c r="I456" i="37"/>
  <c r="B456" i="37"/>
  <c r="I455" i="37"/>
  <c r="B455" i="37"/>
  <c r="I454" i="37"/>
  <c r="B454" i="37"/>
  <c r="I453" i="37"/>
  <c r="B453" i="37"/>
  <c r="I452" i="37"/>
  <c r="B452" i="37"/>
  <c r="I451" i="37"/>
  <c r="B451" i="37"/>
  <c r="I450" i="37"/>
  <c r="B450" i="37"/>
  <c r="I449" i="37"/>
  <c r="B449" i="37"/>
  <c r="I448" i="37"/>
  <c r="B448" i="37"/>
  <c r="I447" i="37"/>
  <c r="B447" i="37"/>
  <c r="I446" i="37"/>
  <c r="B446" i="37"/>
  <c r="I445" i="37"/>
  <c r="B445" i="37"/>
  <c r="I444" i="37"/>
  <c r="B444" i="37"/>
  <c r="I443" i="37"/>
  <c r="B443" i="37"/>
  <c r="I442" i="37"/>
  <c r="B442" i="37"/>
  <c r="I441" i="37"/>
  <c r="B441" i="37"/>
  <c r="I440" i="37"/>
  <c r="B440" i="37"/>
  <c r="I439" i="37"/>
  <c r="B439" i="37"/>
  <c r="I438" i="37"/>
  <c r="B438" i="37"/>
  <c r="I437" i="37"/>
  <c r="B437" i="37"/>
  <c r="I436" i="37"/>
  <c r="B436" i="37"/>
  <c r="I435" i="37"/>
  <c r="B435" i="37"/>
  <c r="I434" i="37"/>
  <c r="B434" i="37"/>
  <c r="I433" i="37"/>
  <c r="B433" i="37"/>
  <c r="I432" i="37"/>
  <c r="B432" i="37"/>
  <c r="I431" i="37"/>
  <c r="B431" i="37"/>
  <c r="I430" i="37"/>
  <c r="B430" i="37"/>
  <c r="I429" i="37"/>
  <c r="B429" i="37"/>
  <c r="I428" i="37"/>
  <c r="B428" i="37"/>
  <c r="I427" i="37"/>
  <c r="B427" i="37"/>
  <c r="I426" i="37"/>
  <c r="B426" i="37"/>
  <c r="I425" i="37"/>
  <c r="B425" i="37"/>
  <c r="I424" i="37"/>
  <c r="B424" i="37"/>
  <c r="I423" i="37"/>
  <c r="B423" i="37"/>
  <c r="I422" i="37"/>
  <c r="B422" i="37"/>
  <c r="I421" i="37"/>
  <c r="B421" i="37"/>
  <c r="I420" i="37"/>
  <c r="B420" i="37"/>
  <c r="I419" i="37"/>
  <c r="B419" i="37"/>
  <c r="I418" i="37"/>
  <c r="B418" i="37"/>
  <c r="I417" i="37"/>
  <c r="B417" i="37"/>
  <c r="I416" i="37"/>
  <c r="B416" i="37"/>
  <c r="I415" i="37"/>
  <c r="B415" i="37"/>
  <c r="I414" i="37"/>
  <c r="B414" i="37"/>
  <c r="I413" i="37"/>
  <c r="B413" i="37"/>
  <c r="I412" i="37"/>
  <c r="B412" i="37"/>
  <c r="I411" i="37"/>
  <c r="B411" i="37"/>
  <c r="I410" i="37"/>
  <c r="B410" i="37"/>
  <c r="I409" i="37"/>
  <c r="B409" i="37"/>
  <c r="I408" i="37"/>
  <c r="B408" i="37"/>
  <c r="I407" i="37"/>
  <c r="B407" i="37"/>
  <c r="I406" i="37"/>
  <c r="B406" i="37"/>
  <c r="I405" i="37"/>
  <c r="B405" i="37"/>
  <c r="I404" i="37"/>
  <c r="B404" i="37"/>
  <c r="I403" i="37"/>
  <c r="B403" i="37"/>
  <c r="I402" i="37"/>
  <c r="B402" i="37"/>
  <c r="I401" i="37"/>
  <c r="B401" i="37"/>
  <c r="I400" i="37"/>
  <c r="B400" i="37"/>
  <c r="I399" i="37"/>
  <c r="B399" i="37"/>
  <c r="I398" i="37"/>
  <c r="B398" i="37"/>
  <c r="I397" i="37"/>
  <c r="B397" i="37"/>
  <c r="I396" i="37"/>
  <c r="B396" i="37"/>
  <c r="I395" i="37"/>
  <c r="B395" i="37"/>
  <c r="I394" i="37"/>
  <c r="B394" i="37"/>
  <c r="I393" i="37"/>
  <c r="B393" i="37"/>
  <c r="I392" i="37"/>
  <c r="B392" i="37"/>
  <c r="I391" i="37"/>
  <c r="B391" i="37"/>
  <c r="I390" i="37"/>
  <c r="B390" i="37"/>
  <c r="I389" i="37"/>
  <c r="B389" i="37"/>
  <c r="I388" i="37"/>
  <c r="B388" i="37"/>
  <c r="I387" i="37"/>
  <c r="B387" i="37"/>
  <c r="I386" i="37"/>
  <c r="B386" i="37"/>
  <c r="I385" i="37"/>
  <c r="B385" i="37"/>
  <c r="I384" i="37"/>
  <c r="B384" i="37"/>
  <c r="I383" i="37"/>
  <c r="B383" i="37"/>
  <c r="I382" i="37"/>
  <c r="B382" i="37"/>
  <c r="I381" i="37"/>
  <c r="B381" i="37"/>
  <c r="I380" i="37"/>
  <c r="B380" i="37"/>
  <c r="I379" i="37"/>
  <c r="B379" i="37"/>
  <c r="I378" i="37"/>
  <c r="B378" i="37"/>
  <c r="I377" i="37"/>
  <c r="B377" i="37"/>
  <c r="I376" i="37"/>
  <c r="B376" i="37"/>
  <c r="I375" i="37"/>
  <c r="B375" i="37"/>
  <c r="I374" i="37"/>
  <c r="B374" i="37"/>
  <c r="I373" i="37"/>
  <c r="B373" i="37"/>
  <c r="I372" i="37"/>
  <c r="B372" i="37"/>
  <c r="I371" i="37"/>
  <c r="B371" i="37"/>
  <c r="I370" i="37"/>
  <c r="B370" i="37"/>
  <c r="I369" i="37"/>
  <c r="B369" i="37"/>
  <c r="I368" i="37"/>
  <c r="B368" i="37"/>
  <c r="I367" i="37"/>
  <c r="B367" i="37"/>
  <c r="I366" i="37"/>
  <c r="B366" i="37"/>
  <c r="I365" i="37"/>
  <c r="B365" i="37"/>
  <c r="I364" i="37"/>
  <c r="B364" i="37"/>
  <c r="I363" i="37"/>
  <c r="B363" i="37"/>
  <c r="I362" i="37"/>
  <c r="B362" i="37"/>
  <c r="I361" i="37"/>
  <c r="B361" i="37"/>
  <c r="I360" i="37"/>
  <c r="B360" i="37"/>
  <c r="I359" i="37"/>
  <c r="B359" i="37"/>
  <c r="I358" i="37"/>
  <c r="B358" i="37"/>
  <c r="I357" i="37"/>
  <c r="B357" i="37"/>
  <c r="I356" i="37"/>
  <c r="B356" i="37"/>
  <c r="I355" i="37"/>
  <c r="B355" i="37"/>
  <c r="I354" i="37"/>
  <c r="B354" i="37"/>
  <c r="I353" i="37"/>
  <c r="B353" i="37"/>
  <c r="I352" i="37"/>
  <c r="B352" i="37"/>
  <c r="I351" i="37"/>
  <c r="B351" i="37"/>
  <c r="I350" i="37"/>
  <c r="B350" i="37"/>
  <c r="I349" i="37"/>
  <c r="B349" i="37"/>
  <c r="I348" i="37"/>
  <c r="B348" i="37"/>
  <c r="I347" i="37"/>
  <c r="B347" i="37"/>
  <c r="I346" i="37"/>
  <c r="B346" i="37"/>
  <c r="I345" i="37"/>
  <c r="B345" i="37"/>
  <c r="I344" i="37"/>
  <c r="B344" i="37"/>
  <c r="I343" i="37"/>
  <c r="B343" i="37"/>
  <c r="I342" i="37"/>
  <c r="B342" i="37"/>
  <c r="I341" i="37"/>
  <c r="B341" i="37"/>
  <c r="I340" i="37"/>
  <c r="B340" i="37"/>
  <c r="I339" i="37"/>
  <c r="B339" i="37"/>
  <c r="I338" i="37"/>
  <c r="B338" i="37"/>
  <c r="I337" i="37"/>
  <c r="B337" i="37"/>
  <c r="I336" i="37"/>
  <c r="B336" i="37"/>
  <c r="I335" i="37"/>
  <c r="B335" i="37"/>
  <c r="I334" i="37"/>
  <c r="B334" i="37"/>
  <c r="I333" i="37"/>
  <c r="B333" i="37"/>
  <c r="I332" i="37"/>
  <c r="B332" i="37"/>
  <c r="I331" i="37"/>
  <c r="B331" i="37"/>
  <c r="I330" i="37"/>
  <c r="B330" i="37"/>
  <c r="I329" i="37"/>
  <c r="B329" i="37"/>
  <c r="I328" i="37"/>
  <c r="B328" i="37"/>
  <c r="I327" i="37"/>
  <c r="B327" i="37"/>
  <c r="I326" i="37"/>
  <c r="B326" i="37"/>
  <c r="I325" i="37"/>
  <c r="B325" i="37"/>
  <c r="I324" i="37"/>
  <c r="B324" i="37"/>
  <c r="I323" i="37"/>
  <c r="B323" i="37"/>
  <c r="I322" i="37"/>
  <c r="B322" i="37"/>
  <c r="I321" i="37"/>
  <c r="B321" i="37"/>
  <c r="I320" i="37"/>
  <c r="B320" i="37"/>
  <c r="I319" i="37"/>
  <c r="B319" i="37"/>
  <c r="I318" i="37"/>
  <c r="B318" i="37"/>
  <c r="I317" i="37"/>
  <c r="B317" i="37"/>
  <c r="I316" i="37"/>
  <c r="B316" i="37"/>
  <c r="I315" i="37"/>
  <c r="B315" i="37"/>
  <c r="I314" i="37"/>
  <c r="B314" i="37"/>
  <c r="I313" i="37"/>
  <c r="B313" i="37"/>
  <c r="I312" i="37"/>
  <c r="B312" i="37"/>
  <c r="I311" i="37"/>
  <c r="B311" i="37"/>
  <c r="I310" i="37"/>
  <c r="B310" i="37"/>
  <c r="I309" i="37"/>
  <c r="B309" i="37"/>
  <c r="I308" i="37"/>
  <c r="B308" i="37"/>
  <c r="I307" i="37"/>
  <c r="B307" i="37"/>
  <c r="I306" i="37"/>
  <c r="B306" i="37"/>
  <c r="I305" i="37"/>
  <c r="B305" i="37"/>
  <c r="I304" i="37"/>
  <c r="B304" i="37"/>
  <c r="I303" i="37"/>
  <c r="B303" i="37"/>
  <c r="I302" i="37"/>
  <c r="B302" i="37"/>
  <c r="I301" i="37"/>
  <c r="B301" i="37"/>
  <c r="I300" i="37"/>
  <c r="B300" i="37"/>
  <c r="I299" i="37"/>
  <c r="B299" i="37"/>
  <c r="I298" i="37"/>
  <c r="B298" i="37"/>
  <c r="I297" i="37"/>
  <c r="B297" i="37"/>
  <c r="I296" i="37"/>
  <c r="B296" i="37"/>
  <c r="I295" i="37"/>
  <c r="B295" i="37"/>
  <c r="I294" i="37"/>
  <c r="B294" i="37"/>
  <c r="I293" i="37"/>
  <c r="B293" i="37"/>
  <c r="I292" i="37"/>
  <c r="B292" i="37"/>
  <c r="I291" i="37"/>
  <c r="B291" i="37"/>
  <c r="I290" i="37"/>
  <c r="B290" i="37"/>
  <c r="I289" i="37"/>
  <c r="B289" i="37"/>
  <c r="I288" i="37"/>
  <c r="B288" i="37"/>
  <c r="I287" i="37"/>
  <c r="B287" i="37"/>
  <c r="I286" i="37"/>
  <c r="B286" i="37"/>
  <c r="I285" i="37"/>
  <c r="B285" i="37"/>
  <c r="I284" i="37"/>
  <c r="B284" i="37"/>
  <c r="I283" i="37"/>
  <c r="B283" i="37"/>
  <c r="I282" i="37"/>
  <c r="B282" i="37"/>
  <c r="I281" i="37"/>
  <c r="B281" i="37"/>
  <c r="I280" i="37"/>
  <c r="B280" i="37"/>
  <c r="I279" i="37"/>
  <c r="B279" i="37"/>
  <c r="I278" i="37"/>
  <c r="B278" i="37"/>
  <c r="I277" i="37"/>
  <c r="B277" i="37"/>
  <c r="I276" i="37"/>
  <c r="B276" i="37"/>
  <c r="I275" i="37"/>
  <c r="B275" i="37"/>
  <c r="I274" i="37"/>
  <c r="B274" i="37"/>
  <c r="I273" i="37"/>
  <c r="B273" i="37"/>
  <c r="I272" i="37"/>
  <c r="B272" i="37"/>
  <c r="I271" i="37"/>
  <c r="B271" i="37"/>
  <c r="I270" i="37"/>
  <c r="B270" i="37"/>
  <c r="I269" i="37"/>
  <c r="B269" i="37"/>
  <c r="I268" i="37"/>
  <c r="B268" i="37"/>
  <c r="I267" i="37"/>
  <c r="B267" i="37"/>
  <c r="I266" i="37"/>
  <c r="B266" i="37"/>
  <c r="I265" i="37"/>
  <c r="B265" i="37"/>
  <c r="I264" i="37"/>
  <c r="B264" i="37"/>
  <c r="I263" i="37"/>
  <c r="B263" i="37"/>
  <c r="I262" i="37"/>
  <c r="B262" i="37"/>
  <c r="I261" i="37"/>
  <c r="B261" i="37"/>
  <c r="I260" i="37"/>
  <c r="B260" i="37"/>
  <c r="I259" i="37"/>
  <c r="B259" i="37"/>
  <c r="I258" i="37"/>
  <c r="B258" i="37"/>
  <c r="I257" i="37"/>
  <c r="B257" i="37"/>
  <c r="I256" i="37"/>
  <c r="B256" i="37"/>
  <c r="I255" i="37"/>
  <c r="B255" i="37"/>
  <c r="I254" i="37"/>
  <c r="B254" i="37"/>
  <c r="I253" i="37"/>
  <c r="B253" i="37"/>
  <c r="I252" i="37"/>
  <c r="B252" i="37"/>
  <c r="I251" i="37"/>
  <c r="B251" i="37"/>
  <c r="I250" i="37"/>
  <c r="B250" i="37"/>
  <c r="I249" i="37"/>
  <c r="B249" i="37"/>
  <c r="I248" i="37"/>
  <c r="B248" i="37"/>
  <c r="I247" i="37"/>
  <c r="B247" i="37"/>
  <c r="I246" i="37"/>
  <c r="B246" i="37"/>
  <c r="I245" i="37"/>
  <c r="B245" i="37"/>
  <c r="I244" i="37"/>
  <c r="B244" i="37"/>
  <c r="I243" i="37"/>
  <c r="B243" i="37"/>
  <c r="I242" i="37"/>
  <c r="B242" i="37"/>
  <c r="I241" i="37"/>
  <c r="B241" i="37"/>
  <c r="I240" i="37"/>
  <c r="B240" i="37"/>
  <c r="I239" i="37"/>
  <c r="B239" i="37"/>
  <c r="I238" i="37"/>
  <c r="B238" i="37"/>
  <c r="I237" i="37"/>
  <c r="B237" i="37"/>
  <c r="I236" i="37"/>
  <c r="B236" i="37"/>
  <c r="I235" i="37"/>
  <c r="B235" i="37"/>
  <c r="I234" i="37"/>
  <c r="B234" i="37"/>
  <c r="I233" i="37"/>
  <c r="B233" i="37"/>
  <c r="I232" i="37"/>
  <c r="B232" i="37"/>
  <c r="I231" i="37"/>
  <c r="B231" i="37"/>
  <c r="I230" i="37"/>
  <c r="B230" i="37"/>
  <c r="I229" i="37"/>
  <c r="B229" i="37"/>
  <c r="I228" i="37"/>
  <c r="B228" i="37"/>
  <c r="I227" i="37"/>
  <c r="B227" i="37"/>
  <c r="I226" i="37"/>
  <c r="B226" i="37"/>
  <c r="I225" i="37"/>
  <c r="B225" i="37"/>
  <c r="I224" i="37"/>
  <c r="B224" i="37"/>
  <c r="I223" i="37"/>
  <c r="B223" i="37"/>
  <c r="I222" i="37"/>
  <c r="B222" i="37"/>
  <c r="I221" i="37"/>
  <c r="B221" i="37"/>
  <c r="I220" i="37"/>
  <c r="B220" i="37"/>
  <c r="I219" i="37"/>
  <c r="B219" i="37"/>
  <c r="I218" i="37"/>
  <c r="B218" i="37"/>
  <c r="I217" i="37"/>
  <c r="B217" i="37"/>
  <c r="I216" i="37"/>
  <c r="B216" i="37"/>
  <c r="I215" i="37"/>
  <c r="B215" i="37"/>
  <c r="I214" i="37"/>
  <c r="B214" i="37"/>
  <c r="I213" i="37"/>
  <c r="B213" i="37"/>
  <c r="I212" i="37"/>
  <c r="B212" i="37"/>
  <c r="I211" i="37"/>
  <c r="B211" i="37"/>
  <c r="I210" i="37"/>
  <c r="B210" i="37"/>
  <c r="I209" i="37"/>
  <c r="B209" i="37"/>
  <c r="I208" i="37"/>
  <c r="B208" i="37"/>
  <c r="I207" i="37"/>
  <c r="B207" i="37"/>
  <c r="I206" i="37"/>
  <c r="B206" i="37"/>
  <c r="I205" i="37"/>
  <c r="B205" i="37"/>
  <c r="I204" i="37"/>
  <c r="B204" i="37"/>
  <c r="I203" i="37"/>
  <c r="B203" i="37"/>
  <c r="I202" i="37"/>
  <c r="B202" i="37"/>
  <c r="I201" i="37"/>
  <c r="B201" i="37"/>
  <c r="I200" i="37"/>
  <c r="B200" i="37"/>
  <c r="I199" i="37"/>
  <c r="B199" i="37"/>
  <c r="I198" i="37"/>
  <c r="B198" i="37"/>
  <c r="I197" i="37"/>
  <c r="B197" i="37"/>
  <c r="I196" i="37"/>
  <c r="B196" i="37"/>
  <c r="I195" i="37"/>
  <c r="B195" i="37"/>
  <c r="I194" i="37"/>
  <c r="B194" i="37"/>
  <c r="I193" i="37"/>
  <c r="B193" i="37"/>
  <c r="I192" i="37"/>
  <c r="B192" i="37"/>
  <c r="I191" i="37"/>
  <c r="B191" i="37"/>
  <c r="I190" i="37"/>
  <c r="B190" i="37"/>
  <c r="I189" i="37"/>
  <c r="B189" i="37"/>
  <c r="I188" i="37"/>
  <c r="B188" i="37"/>
  <c r="I187" i="37"/>
  <c r="B187" i="37"/>
  <c r="I186" i="37"/>
  <c r="B186" i="37"/>
  <c r="I185" i="37"/>
  <c r="B185" i="37"/>
  <c r="I184" i="37"/>
  <c r="B184" i="37"/>
  <c r="I183" i="37"/>
  <c r="B183" i="37"/>
  <c r="I182" i="37"/>
  <c r="B182" i="37"/>
  <c r="I181" i="37"/>
  <c r="B181" i="37"/>
  <c r="I180" i="37"/>
  <c r="B180" i="37"/>
  <c r="I179" i="37"/>
  <c r="B179" i="37"/>
  <c r="I178" i="37"/>
  <c r="B178" i="37"/>
  <c r="I177" i="37"/>
  <c r="B177" i="37"/>
  <c r="I176" i="37"/>
  <c r="B176" i="37"/>
  <c r="I175" i="37"/>
  <c r="B175" i="37"/>
  <c r="I174" i="37"/>
  <c r="B174" i="37"/>
  <c r="I173" i="37"/>
  <c r="B173" i="37"/>
  <c r="I172" i="37"/>
  <c r="B172" i="37"/>
  <c r="I171" i="37"/>
  <c r="B171" i="37"/>
  <c r="I170" i="37"/>
  <c r="B170" i="37"/>
  <c r="I169" i="37"/>
  <c r="B169" i="37"/>
  <c r="I168" i="37"/>
  <c r="B168" i="37"/>
  <c r="I167" i="37"/>
  <c r="B167" i="37"/>
  <c r="I166" i="37"/>
  <c r="B166" i="37"/>
  <c r="I165" i="37"/>
  <c r="B165" i="37"/>
  <c r="I164" i="37"/>
  <c r="B164" i="37"/>
  <c r="I163" i="37"/>
  <c r="B163" i="37"/>
  <c r="I162" i="37"/>
  <c r="B162" i="37"/>
  <c r="I161" i="37"/>
  <c r="B161" i="37"/>
  <c r="I160" i="37"/>
  <c r="B160" i="37"/>
  <c r="I159" i="37"/>
  <c r="B159" i="37"/>
  <c r="I158" i="37"/>
  <c r="B158" i="37"/>
  <c r="I157" i="37"/>
  <c r="B157" i="37"/>
  <c r="I156" i="37"/>
  <c r="B156" i="37"/>
  <c r="I155" i="37"/>
  <c r="B155" i="37"/>
  <c r="I154" i="37"/>
  <c r="B154" i="37"/>
  <c r="I153" i="37"/>
  <c r="B153" i="37"/>
  <c r="I152" i="37"/>
  <c r="B152" i="37"/>
  <c r="I151" i="37"/>
  <c r="B151" i="37"/>
  <c r="I150" i="37"/>
  <c r="B150" i="37"/>
  <c r="I149" i="37"/>
  <c r="B149" i="37"/>
  <c r="I148" i="37"/>
  <c r="B148" i="37"/>
  <c r="I147" i="37"/>
  <c r="B147" i="37"/>
  <c r="I146" i="37"/>
  <c r="B146" i="37"/>
  <c r="I145" i="37"/>
  <c r="B145" i="37"/>
  <c r="I144" i="37"/>
  <c r="B144" i="37"/>
  <c r="I143" i="37"/>
  <c r="B143" i="37"/>
  <c r="I142" i="37"/>
  <c r="B142" i="37"/>
  <c r="I141" i="37"/>
  <c r="B141" i="37"/>
  <c r="I140" i="37"/>
  <c r="B140" i="37"/>
  <c r="I139" i="37"/>
  <c r="B139" i="37"/>
  <c r="I138" i="37"/>
  <c r="B138" i="37"/>
  <c r="I137" i="37"/>
  <c r="B137" i="37"/>
  <c r="I136" i="37"/>
  <c r="B136" i="37"/>
  <c r="I135" i="37"/>
  <c r="B135" i="37"/>
  <c r="I134" i="37"/>
  <c r="B134" i="37"/>
  <c r="I133" i="37"/>
  <c r="B133" i="37"/>
  <c r="I132" i="37"/>
  <c r="B132" i="37"/>
  <c r="I131" i="37"/>
  <c r="B131" i="37"/>
  <c r="I130" i="37"/>
  <c r="B130" i="37"/>
  <c r="I129" i="37"/>
  <c r="B129" i="37"/>
  <c r="I128" i="37"/>
  <c r="B128" i="37"/>
  <c r="I127" i="37"/>
  <c r="B127" i="37"/>
  <c r="I126" i="37"/>
  <c r="B126" i="37"/>
  <c r="I125" i="37"/>
  <c r="B125" i="37"/>
  <c r="I124" i="37"/>
  <c r="B124" i="37"/>
  <c r="I123" i="37"/>
  <c r="B123" i="37"/>
  <c r="I122" i="37"/>
  <c r="B122" i="37"/>
  <c r="I121" i="37"/>
  <c r="B121" i="37"/>
  <c r="I120" i="37"/>
  <c r="B120" i="37"/>
  <c r="I119" i="37"/>
  <c r="B119" i="37"/>
  <c r="I118" i="37"/>
  <c r="B118" i="37"/>
  <c r="I117" i="37"/>
  <c r="B117" i="37"/>
  <c r="I116" i="37"/>
  <c r="B116" i="37"/>
  <c r="I115" i="37"/>
  <c r="B115" i="37"/>
  <c r="I114" i="37"/>
  <c r="B114" i="37"/>
  <c r="I113" i="37"/>
  <c r="B113" i="37"/>
  <c r="I112" i="37"/>
  <c r="B112" i="37"/>
  <c r="I111" i="37"/>
  <c r="B111" i="37"/>
  <c r="I110" i="37"/>
  <c r="B110" i="37"/>
  <c r="I109" i="37"/>
  <c r="B109" i="37"/>
  <c r="I108" i="37"/>
  <c r="B108" i="37"/>
  <c r="I107" i="37"/>
  <c r="B107" i="37"/>
  <c r="I106" i="37"/>
  <c r="B106" i="37"/>
  <c r="I105" i="37"/>
  <c r="B105" i="37"/>
  <c r="I104" i="37"/>
  <c r="B104" i="37"/>
  <c r="I103" i="37"/>
  <c r="B103" i="37"/>
  <c r="I102" i="37"/>
  <c r="B102" i="37"/>
  <c r="I101" i="37"/>
  <c r="B101" i="37"/>
  <c r="I100" i="37"/>
  <c r="B100" i="37"/>
  <c r="I99" i="37"/>
  <c r="B99" i="37"/>
  <c r="I98" i="37"/>
  <c r="B98" i="37"/>
  <c r="I97" i="37"/>
  <c r="B97" i="37"/>
  <c r="I96" i="37"/>
  <c r="B96" i="37"/>
  <c r="I95" i="37"/>
  <c r="B95" i="37"/>
  <c r="I94" i="37"/>
  <c r="B94" i="37"/>
  <c r="I93" i="37"/>
  <c r="B93" i="37"/>
  <c r="I92" i="37"/>
  <c r="B92" i="37"/>
  <c r="I91" i="37"/>
  <c r="B91" i="37"/>
  <c r="I90" i="37"/>
  <c r="B90" i="37"/>
  <c r="I89" i="37"/>
  <c r="B89" i="37"/>
  <c r="I88" i="37"/>
  <c r="B88" i="37"/>
  <c r="I87" i="37"/>
  <c r="B87" i="37"/>
  <c r="I86" i="37"/>
  <c r="B86" i="37"/>
  <c r="I85" i="37"/>
  <c r="B85" i="37"/>
  <c r="I84" i="37"/>
  <c r="B84" i="37"/>
  <c r="I83" i="37"/>
  <c r="B83" i="37"/>
  <c r="I82" i="37"/>
  <c r="B82" i="37"/>
  <c r="I81" i="37"/>
  <c r="B81" i="37"/>
  <c r="I80" i="37"/>
  <c r="B80" i="37"/>
  <c r="I79" i="37"/>
  <c r="B79" i="37"/>
  <c r="I78" i="37"/>
  <c r="B78" i="37"/>
  <c r="I77" i="37"/>
  <c r="B77" i="37"/>
  <c r="I76" i="37"/>
  <c r="B76" i="37"/>
  <c r="I75" i="37"/>
  <c r="B75" i="37"/>
  <c r="I74" i="37"/>
  <c r="B74" i="37"/>
  <c r="I73" i="37"/>
  <c r="B73" i="37"/>
  <c r="I72" i="37"/>
  <c r="B72" i="37"/>
  <c r="I71" i="37"/>
  <c r="B71" i="37"/>
  <c r="I70" i="37"/>
  <c r="B70" i="37"/>
  <c r="I69" i="37"/>
  <c r="B69" i="37"/>
  <c r="I68" i="37"/>
  <c r="B68" i="37"/>
  <c r="I67" i="37"/>
  <c r="B67" i="37"/>
  <c r="I66" i="37"/>
  <c r="B66" i="37"/>
  <c r="I65" i="37"/>
  <c r="B65" i="37"/>
  <c r="I64" i="37"/>
  <c r="B64" i="37"/>
  <c r="I63" i="37"/>
  <c r="B63" i="37"/>
  <c r="I62" i="37"/>
  <c r="B62" i="37"/>
  <c r="I61" i="37"/>
  <c r="B61" i="37"/>
  <c r="I60" i="37"/>
  <c r="B60" i="37"/>
  <c r="I59" i="37"/>
  <c r="B59" i="37"/>
  <c r="I58" i="37"/>
  <c r="B58" i="37"/>
  <c r="I57" i="37"/>
  <c r="B57" i="37"/>
  <c r="I56" i="37"/>
  <c r="B56" i="37"/>
  <c r="I55" i="37"/>
  <c r="B55" i="37"/>
  <c r="I54" i="37"/>
  <c r="B54" i="37"/>
  <c r="I53" i="37"/>
  <c r="B53" i="37"/>
  <c r="I52" i="37"/>
  <c r="B52" i="37"/>
  <c r="I51" i="37"/>
  <c r="B51" i="37"/>
  <c r="I50" i="37"/>
  <c r="B50" i="37"/>
  <c r="I49" i="37"/>
  <c r="B49" i="37"/>
  <c r="I48" i="37"/>
  <c r="B48" i="37"/>
  <c r="I47" i="37"/>
  <c r="B47" i="37"/>
  <c r="I46" i="37"/>
  <c r="B46" i="37"/>
  <c r="I45" i="37"/>
  <c r="B45" i="37"/>
  <c r="I44" i="37"/>
  <c r="B44" i="37"/>
  <c r="I43" i="37"/>
  <c r="B43" i="37"/>
  <c r="I42" i="37"/>
  <c r="B42" i="37"/>
  <c r="I41" i="37"/>
  <c r="B41" i="37"/>
  <c r="I40" i="37"/>
  <c r="B40" i="37"/>
  <c r="I39" i="37"/>
  <c r="B39" i="37"/>
  <c r="I38" i="37"/>
  <c r="B38" i="37"/>
  <c r="I37" i="37"/>
  <c r="B37" i="37"/>
  <c r="I36" i="37"/>
  <c r="B36" i="37"/>
  <c r="I35" i="37"/>
  <c r="B35" i="37"/>
  <c r="I34" i="37"/>
  <c r="B34" i="37"/>
  <c r="I33" i="37"/>
  <c r="B33" i="37"/>
  <c r="I32" i="37"/>
  <c r="B32" i="37"/>
  <c r="I31" i="37"/>
  <c r="B31" i="37"/>
  <c r="I30" i="37"/>
  <c r="B30" i="37"/>
  <c r="I29" i="37"/>
  <c r="B29" i="37"/>
  <c r="I28" i="37"/>
  <c r="B28" i="37"/>
  <c r="I27" i="37"/>
  <c r="B27" i="37"/>
  <c r="I26" i="37"/>
  <c r="B26" i="37"/>
  <c r="I25" i="37"/>
  <c r="B25" i="37"/>
  <c r="I24" i="37"/>
  <c r="B24" i="37"/>
  <c r="I23" i="37"/>
  <c r="B23" i="37"/>
  <c r="I22" i="37"/>
  <c r="B22" i="37"/>
  <c r="I21" i="37"/>
  <c r="B21" i="37"/>
  <c r="I20" i="37"/>
  <c r="B20" i="37"/>
  <c r="J16" i="37"/>
  <c r="D16" i="37"/>
  <c r="N15" i="37"/>
  <c r="M15" i="37"/>
  <c r="L15" i="37"/>
  <c r="K15" i="37"/>
  <c r="J15" i="37"/>
  <c r="H15" i="37"/>
  <c r="H15" i="54" s="1"/>
  <c r="G15" i="37"/>
  <c r="E15" i="37"/>
  <c r="I15" i="37" s="1"/>
  <c r="O15" i="37" s="1"/>
  <c r="M14" i="37"/>
  <c r="L14" i="37"/>
  <c r="K14" i="37"/>
  <c r="J14" i="37"/>
  <c r="N14" i="37" s="1"/>
  <c r="H14" i="37"/>
  <c r="G14" i="37"/>
  <c r="F14" i="37"/>
  <c r="E14" i="37"/>
  <c r="I14" i="37" s="1"/>
  <c r="M13" i="37"/>
  <c r="L13" i="37"/>
  <c r="K13" i="37"/>
  <c r="N13" i="37" s="1"/>
  <c r="J13" i="37"/>
  <c r="H13" i="37"/>
  <c r="G13" i="37"/>
  <c r="F13" i="37"/>
  <c r="E13" i="37"/>
  <c r="I13" i="37" s="1"/>
  <c r="O13" i="37" s="1"/>
  <c r="N12" i="37"/>
  <c r="M12" i="37"/>
  <c r="L12" i="37"/>
  <c r="K12" i="37"/>
  <c r="J12" i="37"/>
  <c r="H12" i="37"/>
  <c r="G12" i="37"/>
  <c r="F12" i="37"/>
  <c r="F12" i="54" s="1"/>
  <c r="E12" i="37"/>
  <c r="M11" i="37"/>
  <c r="L11" i="37"/>
  <c r="K11" i="37"/>
  <c r="N11" i="37" s="1"/>
  <c r="J11" i="37"/>
  <c r="I11" i="37"/>
  <c r="H11" i="37"/>
  <c r="G11" i="37"/>
  <c r="F11" i="37"/>
  <c r="E11" i="37"/>
  <c r="M10" i="37"/>
  <c r="L10" i="37"/>
  <c r="L16" i="37" s="1"/>
  <c r="K10" i="37"/>
  <c r="J10" i="37"/>
  <c r="H10" i="37"/>
  <c r="G10" i="37"/>
  <c r="F10" i="37"/>
  <c r="F16" i="37" s="1"/>
  <c r="E10" i="37"/>
  <c r="I10" i="37" s="1"/>
  <c r="M9" i="37"/>
  <c r="L9" i="37"/>
  <c r="K9" i="37"/>
  <c r="J9" i="37"/>
  <c r="N9" i="37" s="1"/>
  <c r="H9" i="37"/>
  <c r="G9" i="37"/>
  <c r="I9" i="37" s="1"/>
  <c r="O9" i="37" s="1"/>
  <c r="F9" i="37"/>
  <c r="E9" i="37"/>
  <c r="M8" i="37"/>
  <c r="L8" i="37"/>
  <c r="K8" i="37"/>
  <c r="J8" i="37"/>
  <c r="N8" i="37" s="1"/>
  <c r="H8" i="37"/>
  <c r="G8" i="37"/>
  <c r="F8" i="37"/>
  <c r="E8" i="37"/>
  <c r="I8" i="37" s="1"/>
  <c r="O8" i="37" s="1"/>
  <c r="M7" i="37"/>
  <c r="L7" i="37"/>
  <c r="K7" i="37"/>
  <c r="N7" i="37" s="1"/>
  <c r="J7" i="37"/>
  <c r="H7" i="37"/>
  <c r="G7" i="37"/>
  <c r="F7" i="37"/>
  <c r="E7" i="37"/>
  <c r="I7" i="37" s="1"/>
  <c r="O7" i="37" s="1"/>
  <c r="M6" i="37"/>
  <c r="L6" i="37"/>
  <c r="K6" i="37"/>
  <c r="J6" i="37"/>
  <c r="N6" i="37" s="1"/>
  <c r="H6" i="37"/>
  <c r="H16" i="37" s="1"/>
  <c r="G6" i="37"/>
  <c r="F6" i="37"/>
  <c r="I6" i="37" s="1"/>
  <c r="O6" i="37" s="1"/>
  <c r="E6" i="37"/>
  <c r="M5" i="37"/>
  <c r="M16" i="37" s="1"/>
  <c r="L5" i="37"/>
  <c r="K5" i="37"/>
  <c r="K16" i="37" s="1"/>
  <c r="J5" i="37"/>
  <c r="N5" i="37" s="1"/>
  <c r="H5" i="37"/>
  <c r="G5" i="37"/>
  <c r="G16" i="37" s="1"/>
  <c r="F5" i="37"/>
  <c r="E5" i="37"/>
  <c r="E16" i="37" s="1"/>
  <c r="I572" i="35"/>
  <c r="B572" i="35"/>
  <c r="I571" i="35"/>
  <c r="B571" i="35"/>
  <c r="I570" i="35"/>
  <c r="B570" i="35"/>
  <c r="I569" i="35"/>
  <c r="B569" i="35"/>
  <c r="I568" i="35"/>
  <c r="B568" i="35"/>
  <c r="I567" i="35"/>
  <c r="B567" i="35"/>
  <c r="I566" i="35"/>
  <c r="B566" i="35"/>
  <c r="I565" i="35"/>
  <c r="B565" i="35"/>
  <c r="I564" i="35"/>
  <c r="B564" i="35"/>
  <c r="I563" i="35"/>
  <c r="B563" i="35"/>
  <c r="I562" i="35"/>
  <c r="B562" i="35"/>
  <c r="I561" i="35"/>
  <c r="B561" i="35"/>
  <c r="I560" i="35"/>
  <c r="B560" i="35"/>
  <c r="I559" i="35"/>
  <c r="B559" i="35"/>
  <c r="I558" i="35"/>
  <c r="B558" i="35"/>
  <c r="I557" i="35"/>
  <c r="B557" i="35"/>
  <c r="I556" i="35"/>
  <c r="B556" i="35"/>
  <c r="I555" i="35"/>
  <c r="B555" i="35"/>
  <c r="I554" i="35"/>
  <c r="B554" i="35"/>
  <c r="I553" i="35"/>
  <c r="B553" i="35"/>
  <c r="I552" i="35"/>
  <c r="B552" i="35"/>
  <c r="I551" i="35"/>
  <c r="B551" i="35"/>
  <c r="I550" i="35"/>
  <c r="B550" i="35"/>
  <c r="I549" i="35"/>
  <c r="B549" i="35"/>
  <c r="I548" i="35"/>
  <c r="B548" i="35"/>
  <c r="I547" i="35"/>
  <c r="B547" i="35"/>
  <c r="I546" i="35"/>
  <c r="B546" i="35"/>
  <c r="I545" i="35"/>
  <c r="B545" i="35"/>
  <c r="I544" i="35"/>
  <c r="B544" i="35"/>
  <c r="I543" i="35"/>
  <c r="B543" i="35"/>
  <c r="I542" i="35"/>
  <c r="B542" i="35"/>
  <c r="I541" i="35"/>
  <c r="B541" i="35"/>
  <c r="I540" i="35"/>
  <c r="B540" i="35"/>
  <c r="I539" i="35"/>
  <c r="B539" i="35"/>
  <c r="I538" i="35"/>
  <c r="B538" i="35"/>
  <c r="I537" i="35"/>
  <c r="B537" i="35"/>
  <c r="I536" i="35"/>
  <c r="B536" i="35"/>
  <c r="I535" i="35"/>
  <c r="B535" i="35"/>
  <c r="I534" i="35"/>
  <c r="B534" i="35"/>
  <c r="I533" i="35"/>
  <c r="B533" i="35"/>
  <c r="I532" i="35"/>
  <c r="B532" i="35"/>
  <c r="I531" i="35"/>
  <c r="B531" i="35"/>
  <c r="I530" i="35"/>
  <c r="B530" i="35"/>
  <c r="I529" i="35"/>
  <c r="B529" i="35"/>
  <c r="I528" i="35"/>
  <c r="B528" i="35"/>
  <c r="I527" i="35"/>
  <c r="B527" i="35"/>
  <c r="I526" i="35"/>
  <c r="B526" i="35"/>
  <c r="I525" i="35"/>
  <c r="B525" i="35"/>
  <c r="I524" i="35"/>
  <c r="B524" i="35"/>
  <c r="I523" i="35"/>
  <c r="B523" i="35"/>
  <c r="I522" i="35"/>
  <c r="B522" i="35"/>
  <c r="I521" i="35"/>
  <c r="B521" i="35"/>
  <c r="I520" i="35"/>
  <c r="B520" i="35"/>
  <c r="I519" i="35"/>
  <c r="B519" i="35"/>
  <c r="I518" i="35"/>
  <c r="B518" i="35"/>
  <c r="I517" i="35"/>
  <c r="B517" i="35"/>
  <c r="I516" i="35"/>
  <c r="B516" i="35"/>
  <c r="I515" i="35"/>
  <c r="B515" i="35"/>
  <c r="I514" i="35"/>
  <c r="B514" i="35"/>
  <c r="I513" i="35"/>
  <c r="B513" i="35"/>
  <c r="I512" i="35"/>
  <c r="B512" i="35"/>
  <c r="I511" i="35"/>
  <c r="B511" i="35"/>
  <c r="I510" i="35"/>
  <c r="B510" i="35"/>
  <c r="I509" i="35"/>
  <c r="B509" i="35"/>
  <c r="I508" i="35"/>
  <c r="B508" i="35"/>
  <c r="I507" i="35"/>
  <c r="B507" i="35"/>
  <c r="I506" i="35"/>
  <c r="B506" i="35"/>
  <c r="I505" i="35"/>
  <c r="B505" i="35"/>
  <c r="I504" i="35"/>
  <c r="B504" i="35"/>
  <c r="I503" i="35"/>
  <c r="B503" i="35"/>
  <c r="I502" i="35"/>
  <c r="B502" i="35"/>
  <c r="I501" i="35"/>
  <c r="B501" i="35"/>
  <c r="I500" i="35"/>
  <c r="B500" i="35"/>
  <c r="I499" i="35"/>
  <c r="B499" i="35"/>
  <c r="I498" i="35"/>
  <c r="B498" i="35"/>
  <c r="I497" i="35"/>
  <c r="B497" i="35"/>
  <c r="I496" i="35"/>
  <c r="B496" i="35"/>
  <c r="I495" i="35"/>
  <c r="B495" i="35"/>
  <c r="I494" i="35"/>
  <c r="B494" i="35"/>
  <c r="I493" i="35"/>
  <c r="B493" i="35"/>
  <c r="I492" i="35"/>
  <c r="B492" i="35"/>
  <c r="I491" i="35"/>
  <c r="B491" i="35"/>
  <c r="I490" i="35"/>
  <c r="B490" i="35"/>
  <c r="I489" i="35"/>
  <c r="B489" i="35"/>
  <c r="I488" i="35"/>
  <c r="B488" i="35"/>
  <c r="I487" i="35"/>
  <c r="B487" i="35"/>
  <c r="I486" i="35"/>
  <c r="B486" i="35"/>
  <c r="I485" i="35"/>
  <c r="B485" i="35"/>
  <c r="I484" i="35"/>
  <c r="B484" i="35"/>
  <c r="I483" i="35"/>
  <c r="B483" i="35"/>
  <c r="I482" i="35"/>
  <c r="B482" i="35"/>
  <c r="I481" i="35"/>
  <c r="B481" i="35"/>
  <c r="I480" i="35"/>
  <c r="B480" i="35"/>
  <c r="I479" i="35"/>
  <c r="B479" i="35"/>
  <c r="I478" i="35"/>
  <c r="B478" i="35"/>
  <c r="I477" i="35"/>
  <c r="B477" i="35"/>
  <c r="I476" i="35"/>
  <c r="B476" i="35"/>
  <c r="I475" i="35"/>
  <c r="B475" i="35"/>
  <c r="I474" i="35"/>
  <c r="B474" i="35"/>
  <c r="I473" i="35"/>
  <c r="B473" i="35"/>
  <c r="I472" i="35"/>
  <c r="B472" i="35"/>
  <c r="I471" i="35"/>
  <c r="B471" i="35"/>
  <c r="I470" i="35"/>
  <c r="B470" i="35"/>
  <c r="I469" i="35"/>
  <c r="B469" i="35"/>
  <c r="I468" i="35"/>
  <c r="B468" i="35"/>
  <c r="I467" i="35"/>
  <c r="B467" i="35"/>
  <c r="I466" i="35"/>
  <c r="B466" i="35"/>
  <c r="I465" i="35"/>
  <c r="B465" i="35"/>
  <c r="I464" i="35"/>
  <c r="B464" i="35"/>
  <c r="I463" i="35"/>
  <c r="B463" i="35"/>
  <c r="I462" i="35"/>
  <c r="B462" i="35"/>
  <c r="I461" i="35"/>
  <c r="B461" i="35"/>
  <c r="I460" i="35"/>
  <c r="B460" i="35"/>
  <c r="I459" i="35"/>
  <c r="B459" i="35"/>
  <c r="I458" i="35"/>
  <c r="B458" i="35"/>
  <c r="I457" i="35"/>
  <c r="B457" i="35"/>
  <c r="I456" i="35"/>
  <c r="B456" i="35"/>
  <c r="I455" i="35"/>
  <c r="B455" i="35"/>
  <c r="I454" i="35"/>
  <c r="B454" i="35"/>
  <c r="I453" i="35"/>
  <c r="B453" i="35"/>
  <c r="I452" i="35"/>
  <c r="B452" i="35"/>
  <c r="I451" i="35"/>
  <c r="B451" i="35"/>
  <c r="I450" i="35"/>
  <c r="B450" i="35"/>
  <c r="I449" i="35"/>
  <c r="B449" i="35"/>
  <c r="I448" i="35"/>
  <c r="B448" i="35"/>
  <c r="I447" i="35"/>
  <c r="B447" i="35"/>
  <c r="I446" i="35"/>
  <c r="B446" i="35"/>
  <c r="I445" i="35"/>
  <c r="B445" i="35"/>
  <c r="I444" i="35"/>
  <c r="B444" i="35"/>
  <c r="I443" i="35"/>
  <c r="B443" i="35"/>
  <c r="I442" i="35"/>
  <c r="B442" i="35"/>
  <c r="I441" i="35"/>
  <c r="B441" i="35"/>
  <c r="I440" i="35"/>
  <c r="B440" i="35"/>
  <c r="I439" i="35"/>
  <c r="B439" i="35"/>
  <c r="I438" i="35"/>
  <c r="B438" i="35"/>
  <c r="I437" i="35"/>
  <c r="B437" i="35"/>
  <c r="I436" i="35"/>
  <c r="B436" i="35"/>
  <c r="I435" i="35"/>
  <c r="B435" i="35"/>
  <c r="I434" i="35"/>
  <c r="B434" i="35"/>
  <c r="I433" i="35"/>
  <c r="B433" i="35"/>
  <c r="I432" i="35"/>
  <c r="B432" i="35"/>
  <c r="I431" i="35"/>
  <c r="B431" i="35"/>
  <c r="I430" i="35"/>
  <c r="B430" i="35"/>
  <c r="I429" i="35"/>
  <c r="B429" i="35"/>
  <c r="I428" i="35"/>
  <c r="B428" i="35"/>
  <c r="I427" i="35"/>
  <c r="B427" i="35"/>
  <c r="I426" i="35"/>
  <c r="B426" i="35"/>
  <c r="I425" i="35"/>
  <c r="B425" i="35"/>
  <c r="I424" i="35"/>
  <c r="B424" i="35"/>
  <c r="I423" i="35"/>
  <c r="B423" i="35"/>
  <c r="I422" i="35"/>
  <c r="B422" i="35"/>
  <c r="I421" i="35"/>
  <c r="B421" i="35"/>
  <c r="I420" i="35"/>
  <c r="B420" i="35"/>
  <c r="I419" i="35"/>
  <c r="B419" i="35"/>
  <c r="I418" i="35"/>
  <c r="B418" i="35"/>
  <c r="I417" i="35"/>
  <c r="B417" i="35"/>
  <c r="I416" i="35"/>
  <c r="B416" i="35"/>
  <c r="I415" i="35"/>
  <c r="B415" i="35"/>
  <c r="I414" i="35"/>
  <c r="B414" i="35"/>
  <c r="I413" i="35"/>
  <c r="B413" i="35"/>
  <c r="I412" i="35"/>
  <c r="B412" i="35"/>
  <c r="I411" i="35"/>
  <c r="B411" i="35"/>
  <c r="I410" i="35"/>
  <c r="B410" i="35"/>
  <c r="I409" i="35"/>
  <c r="B409" i="35"/>
  <c r="I408" i="35"/>
  <c r="B408" i="35"/>
  <c r="I407" i="35"/>
  <c r="B407" i="35"/>
  <c r="I406" i="35"/>
  <c r="B406" i="35"/>
  <c r="I405" i="35"/>
  <c r="B405" i="35"/>
  <c r="I404" i="35"/>
  <c r="B404" i="35"/>
  <c r="I403" i="35"/>
  <c r="B403" i="35"/>
  <c r="I402" i="35"/>
  <c r="B402" i="35"/>
  <c r="I401" i="35"/>
  <c r="B401" i="35"/>
  <c r="I400" i="35"/>
  <c r="B400" i="35"/>
  <c r="I399" i="35"/>
  <c r="B399" i="35"/>
  <c r="I398" i="35"/>
  <c r="B398" i="35"/>
  <c r="I397" i="35"/>
  <c r="B397" i="35"/>
  <c r="I396" i="35"/>
  <c r="B396" i="35"/>
  <c r="I395" i="35"/>
  <c r="B395" i="35"/>
  <c r="I394" i="35"/>
  <c r="B394" i="35"/>
  <c r="I393" i="35"/>
  <c r="B393" i="35"/>
  <c r="I392" i="35"/>
  <c r="B392" i="35"/>
  <c r="I391" i="35"/>
  <c r="B391" i="35"/>
  <c r="I390" i="35"/>
  <c r="B390" i="35"/>
  <c r="I389" i="35"/>
  <c r="B389" i="35"/>
  <c r="I388" i="35"/>
  <c r="B388" i="35"/>
  <c r="I387" i="35"/>
  <c r="B387" i="35"/>
  <c r="I386" i="35"/>
  <c r="B386" i="35"/>
  <c r="I385" i="35"/>
  <c r="B385" i="35"/>
  <c r="I384" i="35"/>
  <c r="B384" i="35"/>
  <c r="I383" i="35"/>
  <c r="B383" i="35"/>
  <c r="I382" i="35"/>
  <c r="B382" i="35"/>
  <c r="I381" i="35"/>
  <c r="B381" i="35"/>
  <c r="I380" i="35"/>
  <c r="B380" i="35"/>
  <c r="I379" i="35"/>
  <c r="B379" i="35"/>
  <c r="I378" i="35"/>
  <c r="B378" i="35"/>
  <c r="I377" i="35"/>
  <c r="B377" i="35"/>
  <c r="I376" i="35"/>
  <c r="B376" i="35"/>
  <c r="I375" i="35"/>
  <c r="B375" i="35"/>
  <c r="I374" i="35"/>
  <c r="B374" i="35"/>
  <c r="I373" i="35"/>
  <c r="B373" i="35"/>
  <c r="I372" i="35"/>
  <c r="B372" i="35"/>
  <c r="I371" i="35"/>
  <c r="B371" i="35"/>
  <c r="I370" i="35"/>
  <c r="B370" i="35"/>
  <c r="I369" i="35"/>
  <c r="B369" i="35"/>
  <c r="I368" i="35"/>
  <c r="B368" i="35"/>
  <c r="I367" i="35"/>
  <c r="B367" i="35"/>
  <c r="I366" i="35"/>
  <c r="B366" i="35"/>
  <c r="I365" i="35"/>
  <c r="B365" i="35"/>
  <c r="I364" i="35"/>
  <c r="B364" i="35"/>
  <c r="I363" i="35"/>
  <c r="B363" i="35"/>
  <c r="I362" i="35"/>
  <c r="B362" i="35"/>
  <c r="I361" i="35"/>
  <c r="B361" i="35"/>
  <c r="I360" i="35"/>
  <c r="B360" i="35"/>
  <c r="I359" i="35"/>
  <c r="B359" i="35"/>
  <c r="I358" i="35"/>
  <c r="B358" i="35"/>
  <c r="I357" i="35"/>
  <c r="B357" i="35"/>
  <c r="I356" i="35"/>
  <c r="B356" i="35"/>
  <c r="I355" i="35"/>
  <c r="B355" i="35"/>
  <c r="I354" i="35"/>
  <c r="B354" i="35"/>
  <c r="I353" i="35"/>
  <c r="B353" i="35"/>
  <c r="I352" i="35"/>
  <c r="B352" i="35"/>
  <c r="I351" i="35"/>
  <c r="B351" i="35"/>
  <c r="I350" i="35"/>
  <c r="B350" i="35"/>
  <c r="I349" i="35"/>
  <c r="B349" i="35"/>
  <c r="I348" i="35"/>
  <c r="B348" i="35"/>
  <c r="I347" i="35"/>
  <c r="B347" i="35"/>
  <c r="I346" i="35"/>
  <c r="B346" i="35"/>
  <c r="I345" i="35"/>
  <c r="B345" i="35"/>
  <c r="I344" i="35"/>
  <c r="B344" i="35"/>
  <c r="I343" i="35"/>
  <c r="B343" i="35"/>
  <c r="I342" i="35"/>
  <c r="B342" i="35"/>
  <c r="I341" i="35"/>
  <c r="B341" i="35"/>
  <c r="I340" i="35"/>
  <c r="B340" i="35"/>
  <c r="I339" i="35"/>
  <c r="B339" i="35"/>
  <c r="I338" i="35"/>
  <c r="B338" i="35"/>
  <c r="I337" i="35"/>
  <c r="B337" i="35"/>
  <c r="I336" i="35"/>
  <c r="B336" i="35"/>
  <c r="I335" i="35"/>
  <c r="B335" i="35"/>
  <c r="I334" i="35"/>
  <c r="B334" i="35"/>
  <c r="I333" i="35"/>
  <c r="B333" i="35"/>
  <c r="I332" i="35"/>
  <c r="B332" i="35"/>
  <c r="I331" i="35"/>
  <c r="B331" i="35"/>
  <c r="I330" i="35"/>
  <c r="B330" i="35"/>
  <c r="I329" i="35"/>
  <c r="B329" i="35"/>
  <c r="I328" i="35"/>
  <c r="B328" i="35"/>
  <c r="I327" i="35"/>
  <c r="B327" i="35"/>
  <c r="I326" i="35"/>
  <c r="B326" i="35"/>
  <c r="I325" i="35"/>
  <c r="B325" i="35"/>
  <c r="I324" i="35"/>
  <c r="B324" i="35"/>
  <c r="I323" i="35"/>
  <c r="B323" i="35"/>
  <c r="I322" i="35"/>
  <c r="B322" i="35"/>
  <c r="I321" i="35"/>
  <c r="B321" i="35"/>
  <c r="I320" i="35"/>
  <c r="B320" i="35"/>
  <c r="I319" i="35"/>
  <c r="B319" i="35"/>
  <c r="I318" i="35"/>
  <c r="B318" i="35"/>
  <c r="I317" i="35"/>
  <c r="B317" i="35"/>
  <c r="I316" i="35"/>
  <c r="B316" i="35"/>
  <c r="I315" i="35"/>
  <c r="B315" i="35"/>
  <c r="I314" i="35"/>
  <c r="B314" i="35"/>
  <c r="I313" i="35"/>
  <c r="B313" i="35"/>
  <c r="I312" i="35"/>
  <c r="B312" i="35"/>
  <c r="I311" i="35"/>
  <c r="B311" i="35"/>
  <c r="I310" i="35"/>
  <c r="B310" i="35"/>
  <c r="I309" i="35"/>
  <c r="B309" i="35"/>
  <c r="I308" i="35"/>
  <c r="B308" i="35"/>
  <c r="I307" i="35"/>
  <c r="B307" i="35"/>
  <c r="I306" i="35"/>
  <c r="B306" i="35"/>
  <c r="I305" i="35"/>
  <c r="B305" i="35"/>
  <c r="I304" i="35"/>
  <c r="B304" i="35"/>
  <c r="I303" i="35"/>
  <c r="B303" i="35"/>
  <c r="I302" i="35"/>
  <c r="B302" i="35"/>
  <c r="I301" i="35"/>
  <c r="B301" i="35"/>
  <c r="I300" i="35"/>
  <c r="B300" i="35"/>
  <c r="I299" i="35"/>
  <c r="B299" i="35"/>
  <c r="I298" i="35"/>
  <c r="B298" i="35"/>
  <c r="I297" i="35"/>
  <c r="B297" i="35"/>
  <c r="I296" i="35"/>
  <c r="B296" i="35"/>
  <c r="I295" i="35"/>
  <c r="B295" i="35"/>
  <c r="I294" i="35"/>
  <c r="B294" i="35"/>
  <c r="I293" i="35"/>
  <c r="B293" i="35"/>
  <c r="I292" i="35"/>
  <c r="B292" i="35"/>
  <c r="I291" i="35"/>
  <c r="B291" i="35"/>
  <c r="I290" i="35"/>
  <c r="B290" i="35"/>
  <c r="I289" i="35"/>
  <c r="B289" i="35"/>
  <c r="I288" i="35"/>
  <c r="B288" i="35"/>
  <c r="I287" i="35"/>
  <c r="B287" i="35"/>
  <c r="I286" i="35"/>
  <c r="B286" i="35"/>
  <c r="I285" i="35"/>
  <c r="B285" i="35"/>
  <c r="I284" i="35"/>
  <c r="B284" i="35"/>
  <c r="I283" i="35"/>
  <c r="B283" i="35"/>
  <c r="I282" i="35"/>
  <c r="B282" i="35"/>
  <c r="I281" i="35"/>
  <c r="B281" i="35"/>
  <c r="I280" i="35"/>
  <c r="B280" i="35"/>
  <c r="I279" i="35"/>
  <c r="B279" i="35"/>
  <c r="I278" i="35"/>
  <c r="B278" i="35"/>
  <c r="I277" i="35"/>
  <c r="B277" i="35"/>
  <c r="I276" i="35"/>
  <c r="B276" i="35"/>
  <c r="I275" i="35"/>
  <c r="B275" i="35"/>
  <c r="I274" i="35"/>
  <c r="B274" i="35"/>
  <c r="I273" i="35"/>
  <c r="B273" i="35"/>
  <c r="I272" i="35"/>
  <c r="B272" i="35"/>
  <c r="I271" i="35"/>
  <c r="B271" i="35"/>
  <c r="I270" i="35"/>
  <c r="B270" i="35"/>
  <c r="I269" i="35"/>
  <c r="B269" i="35"/>
  <c r="I268" i="35"/>
  <c r="B268" i="35"/>
  <c r="I267" i="35"/>
  <c r="B267" i="35"/>
  <c r="I266" i="35"/>
  <c r="B266" i="35"/>
  <c r="I265" i="35"/>
  <c r="B265" i="35"/>
  <c r="I264" i="35"/>
  <c r="B264" i="35"/>
  <c r="I263" i="35"/>
  <c r="B263" i="35"/>
  <c r="I262" i="35"/>
  <c r="B262" i="35"/>
  <c r="I261" i="35"/>
  <c r="B261" i="35"/>
  <c r="I260" i="35"/>
  <c r="B260" i="35"/>
  <c r="I259" i="35"/>
  <c r="B259" i="35"/>
  <c r="I258" i="35"/>
  <c r="B258" i="35"/>
  <c r="I257" i="35"/>
  <c r="B257" i="35"/>
  <c r="I256" i="35"/>
  <c r="B256" i="35"/>
  <c r="I255" i="35"/>
  <c r="B255" i="35"/>
  <c r="I254" i="35"/>
  <c r="B254" i="35"/>
  <c r="I253" i="35"/>
  <c r="B253" i="35"/>
  <c r="I252" i="35"/>
  <c r="B252" i="35"/>
  <c r="I251" i="35"/>
  <c r="B251" i="35"/>
  <c r="I250" i="35"/>
  <c r="B250" i="35"/>
  <c r="I249" i="35"/>
  <c r="B249" i="35"/>
  <c r="I248" i="35"/>
  <c r="B248" i="35"/>
  <c r="I247" i="35"/>
  <c r="B247" i="35"/>
  <c r="I246" i="35"/>
  <c r="B246" i="35"/>
  <c r="I245" i="35"/>
  <c r="B245" i="35"/>
  <c r="I244" i="35"/>
  <c r="B244" i="35"/>
  <c r="I243" i="35"/>
  <c r="B243" i="35"/>
  <c r="I242" i="35"/>
  <c r="B242" i="35"/>
  <c r="I241" i="35"/>
  <c r="B241" i="35"/>
  <c r="I240" i="35"/>
  <c r="B240" i="35"/>
  <c r="I239" i="35"/>
  <c r="B239" i="35"/>
  <c r="I238" i="35"/>
  <c r="B238" i="35"/>
  <c r="I237" i="35"/>
  <c r="B237" i="35"/>
  <c r="I236" i="35"/>
  <c r="B236" i="35"/>
  <c r="I235" i="35"/>
  <c r="B235" i="35"/>
  <c r="I234" i="35"/>
  <c r="B234" i="35"/>
  <c r="I233" i="35"/>
  <c r="B233" i="35"/>
  <c r="I232" i="35"/>
  <c r="B232" i="35"/>
  <c r="I231" i="35"/>
  <c r="B231" i="35"/>
  <c r="I230" i="35"/>
  <c r="B230" i="35"/>
  <c r="I229" i="35"/>
  <c r="B229" i="35"/>
  <c r="I228" i="35"/>
  <c r="B228" i="35"/>
  <c r="I227" i="35"/>
  <c r="B227" i="35"/>
  <c r="I226" i="35"/>
  <c r="B226" i="35"/>
  <c r="I225" i="35"/>
  <c r="B225" i="35"/>
  <c r="I224" i="35"/>
  <c r="B224" i="35"/>
  <c r="I223" i="35"/>
  <c r="B223" i="35"/>
  <c r="I222" i="35"/>
  <c r="B222" i="35"/>
  <c r="I221" i="35"/>
  <c r="B221" i="35"/>
  <c r="I220" i="35"/>
  <c r="B220" i="35"/>
  <c r="I219" i="35"/>
  <c r="B219" i="35"/>
  <c r="I218" i="35"/>
  <c r="B218" i="35"/>
  <c r="I217" i="35"/>
  <c r="B217" i="35"/>
  <c r="I216" i="35"/>
  <c r="B216" i="35"/>
  <c r="I215" i="35"/>
  <c r="B215" i="35"/>
  <c r="I214" i="35"/>
  <c r="B214" i="35"/>
  <c r="I213" i="35"/>
  <c r="B213" i="35"/>
  <c r="I212" i="35"/>
  <c r="B212" i="35"/>
  <c r="I211" i="35"/>
  <c r="B211" i="35"/>
  <c r="I210" i="35"/>
  <c r="B210" i="35"/>
  <c r="I209" i="35"/>
  <c r="B209" i="35"/>
  <c r="I208" i="35"/>
  <c r="B208" i="35"/>
  <c r="I207" i="35"/>
  <c r="B207" i="35"/>
  <c r="I206" i="35"/>
  <c r="B206" i="35"/>
  <c r="I205" i="35"/>
  <c r="B205" i="35"/>
  <c r="I204" i="35"/>
  <c r="B204" i="35"/>
  <c r="I203" i="35"/>
  <c r="B203" i="35"/>
  <c r="I202" i="35"/>
  <c r="B202" i="35"/>
  <c r="I201" i="35"/>
  <c r="B201" i="35"/>
  <c r="I200" i="35"/>
  <c r="B200" i="35"/>
  <c r="I199" i="35"/>
  <c r="B199" i="35"/>
  <c r="I198" i="35"/>
  <c r="B198" i="35"/>
  <c r="I197" i="35"/>
  <c r="B197" i="35"/>
  <c r="I196" i="35"/>
  <c r="B196" i="35"/>
  <c r="I195" i="35"/>
  <c r="B195" i="35"/>
  <c r="I194" i="35"/>
  <c r="B194" i="35"/>
  <c r="I193" i="35"/>
  <c r="B193" i="35"/>
  <c r="I192" i="35"/>
  <c r="B192" i="35"/>
  <c r="I191" i="35"/>
  <c r="B191" i="35"/>
  <c r="I190" i="35"/>
  <c r="B190" i="35"/>
  <c r="I189" i="35"/>
  <c r="B189" i="35"/>
  <c r="I188" i="35"/>
  <c r="B188" i="35"/>
  <c r="I187" i="35"/>
  <c r="B187" i="35"/>
  <c r="I186" i="35"/>
  <c r="B186" i="35"/>
  <c r="I185" i="35"/>
  <c r="B185" i="35"/>
  <c r="I184" i="35"/>
  <c r="B184" i="35"/>
  <c r="I183" i="35"/>
  <c r="B183" i="35"/>
  <c r="I182" i="35"/>
  <c r="B182" i="35"/>
  <c r="I181" i="35"/>
  <c r="B181" i="35"/>
  <c r="I180" i="35"/>
  <c r="B180" i="35"/>
  <c r="I179" i="35"/>
  <c r="B179" i="35"/>
  <c r="I178" i="35"/>
  <c r="B178" i="35"/>
  <c r="I177" i="35"/>
  <c r="B177" i="35"/>
  <c r="I176" i="35"/>
  <c r="B176" i="35"/>
  <c r="I175" i="35"/>
  <c r="B175" i="35"/>
  <c r="I174" i="35"/>
  <c r="B174" i="35"/>
  <c r="I173" i="35"/>
  <c r="B173" i="35"/>
  <c r="I172" i="35"/>
  <c r="B172" i="35"/>
  <c r="I171" i="35"/>
  <c r="B171" i="35"/>
  <c r="I170" i="35"/>
  <c r="B170" i="35"/>
  <c r="I169" i="35"/>
  <c r="B169" i="35"/>
  <c r="I168" i="35"/>
  <c r="B168" i="35"/>
  <c r="I167" i="35"/>
  <c r="B167" i="35"/>
  <c r="I166" i="35"/>
  <c r="B166" i="35"/>
  <c r="I165" i="35"/>
  <c r="B165" i="35"/>
  <c r="I164" i="35"/>
  <c r="B164" i="35"/>
  <c r="I163" i="35"/>
  <c r="B163" i="35"/>
  <c r="I162" i="35"/>
  <c r="B162" i="35"/>
  <c r="I161" i="35"/>
  <c r="B161" i="35"/>
  <c r="I160" i="35"/>
  <c r="B160" i="35"/>
  <c r="I159" i="35"/>
  <c r="B159" i="35"/>
  <c r="I158" i="35"/>
  <c r="B158" i="35"/>
  <c r="I157" i="35"/>
  <c r="B157" i="35"/>
  <c r="I156" i="35"/>
  <c r="B156" i="35"/>
  <c r="I155" i="35"/>
  <c r="B155" i="35"/>
  <c r="I154" i="35"/>
  <c r="B154" i="35"/>
  <c r="I153" i="35"/>
  <c r="B153" i="35"/>
  <c r="I152" i="35"/>
  <c r="B152" i="35"/>
  <c r="I151" i="35"/>
  <c r="B151" i="35"/>
  <c r="I150" i="35"/>
  <c r="B150" i="35"/>
  <c r="I149" i="35"/>
  <c r="B149" i="35"/>
  <c r="I148" i="35"/>
  <c r="B148" i="35"/>
  <c r="I147" i="35"/>
  <c r="B147" i="35"/>
  <c r="I146" i="35"/>
  <c r="B146" i="35"/>
  <c r="I145" i="35"/>
  <c r="B145" i="35"/>
  <c r="I144" i="35"/>
  <c r="B144" i="35"/>
  <c r="I143" i="35"/>
  <c r="B143" i="35"/>
  <c r="I142" i="35"/>
  <c r="B142" i="35"/>
  <c r="I141" i="35"/>
  <c r="B141" i="35"/>
  <c r="I140" i="35"/>
  <c r="B140" i="35"/>
  <c r="I139" i="35"/>
  <c r="B139" i="35"/>
  <c r="I138" i="35"/>
  <c r="B138" i="35"/>
  <c r="I137" i="35"/>
  <c r="B137" i="35"/>
  <c r="I136" i="35"/>
  <c r="B136" i="35"/>
  <c r="I135" i="35"/>
  <c r="B135" i="35"/>
  <c r="I134" i="35"/>
  <c r="B134" i="35"/>
  <c r="I133" i="35"/>
  <c r="B133" i="35"/>
  <c r="I132" i="35"/>
  <c r="B132" i="35"/>
  <c r="I131" i="35"/>
  <c r="B131" i="35"/>
  <c r="I130" i="35"/>
  <c r="B130" i="35"/>
  <c r="I129" i="35"/>
  <c r="B129" i="35"/>
  <c r="I128" i="35"/>
  <c r="B128" i="35"/>
  <c r="I127" i="35"/>
  <c r="B127" i="35"/>
  <c r="I126" i="35"/>
  <c r="B126" i="35"/>
  <c r="I125" i="35"/>
  <c r="B125" i="35"/>
  <c r="I124" i="35"/>
  <c r="B124" i="35"/>
  <c r="I123" i="35"/>
  <c r="B123" i="35"/>
  <c r="I122" i="35"/>
  <c r="B122" i="35"/>
  <c r="I121" i="35"/>
  <c r="B121" i="35"/>
  <c r="I120" i="35"/>
  <c r="B120" i="35"/>
  <c r="I119" i="35"/>
  <c r="B119" i="35"/>
  <c r="I118" i="35"/>
  <c r="B118" i="35"/>
  <c r="I117" i="35"/>
  <c r="B117" i="35"/>
  <c r="I116" i="35"/>
  <c r="B116" i="35"/>
  <c r="I115" i="35"/>
  <c r="B115" i="35"/>
  <c r="I114" i="35"/>
  <c r="B114" i="35"/>
  <c r="I113" i="35"/>
  <c r="B113" i="35"/>
  <c r="I112" i="35"/>
  <c r="B112" i="35"/>
  <c r="I111" i="35"/>
  <c r="B111" i="35"/>
  <c r="I110" i="35"/>
  <c r="B110" i="35"/>
  <c r="I109" i="35"/>
  <c r="B109" i="35"/>
  <c r="I108" i="35"/>
  <c r="B108" i="35"/>
  <c r="I107" i="35"/>
  <c r="B107" i="35"/>
  <c r="I106" i="35"/>
  <c r="B106" i="35"/>
  <c r="I105" i="35"/>
  <c r="B105" i="35"/>
  <c r="I104" i="35"/>
  <c r="B104" i="35"/>
  <c r="I103" i="35"/>
  <c r="B103" i="35"/>
  <c r="I102" i="35"/>
  <c r="B102" i="35"/>
  <c r="I101" i="35"/>
  <c r="B101" i="35"/>
  <c r="I100" i="35"/>
  <c r="B100" i="35"/>
  <c r="I99" i="35"/>
  <c r="B99" i="35"/>
  <c r="I98" i="35"/>
  <c r="B98" i="35"/>
  <c r="I97" i="35"/>
  <c r="B97" i="35"/>
  <c r="I96" i="35"/>
  <c r="B96" i="35"/>
  <c r="I95" i="35"/>
  <c r="B95" i="35"/>
  <c r="I94" i="35"/>
  <c r="B94" i="35"/>
  <c r="I93" i="35"/>
  <c r="B93" i="35"/>
  <c r="I92" i="35"/>
  <c r="B92" i="35"/>
  <c r="I91" i="35"/>
  <c r="B91" i="35"/>
  <c r="I90" i="35"/>
  <c r="B90" i="35"/>
  <c r="I89" i="35"/>
  <c r="B89" i="35"/>
  <c r="I88" i="35"/>
  <c r="B88" i="35"/>
  <c r="I87" i="35"/>
  <c r="B87" i="35"/>
  <c r="I86" i="35"/>
  <c r="B86" i="35"/>
  <c r="I85" i="35"/>
  <c r="B85" i="35"/>
  <c r="I84" i="35"/>
  <c r="B84" i="35"/>
  <c r="I83" i="35"/>
  <c r="B83" i="35"/>
  <c r="I82" i="35"/>
  <c r="B82" i="35"/>
  <c r="I81" i="35"/>
  <c r="B81" i="35"/>
  <c r="I80" i="35"/>
  <c r="B80" i="35"/>
  <c r="I79" i="35"/>
  <c r="B79" i="35"/>
  <c r="I78" i="35"/>
  <c r="B78" i="35"/>
  <c r="I77" i="35"/>
  <c r="B77" i="35"/>
  <c r="I76" i="35"/>
  <c r="B76" i="35"/>
  <c r="I75" i="35"/>
  <c r="B75" i="35"/>
  <c r="I74" i="35"/>
  <c r="B74" i="35"/>
  <c r="I73" i="35"/>
  <c r="B73" i="35"/>
  <c r="I72" i="35"/>
  <c r="B72" i="35"/>
  <c r="I71" i="35"/>
  <c r="B71" i="35"/>
  <c r="I70" i="35"/>
  <c r="B70" i="35"/>
  <c r="I69" i="35"/>
  <c r="B69" i="35"/>
  <c r="I68" i="35"/>
  <c r="B68" i="35"/>
  <c r="I67" i="35"/>
  <c r="B67" i="35"/>
  <c r="I66" i="35"/>
  <c r="B66" i="35"/>
  <c r="I65" i="35"/>
  <c r="B65" i="35"/>
  <c r="I64" i="35"/>
  <c r="B64" i="35"/>
  <c r="I63" i="35"/>
  <c r="B63" i="35"/>
  <c r="I62" i="35"/>
  <c r="B62" i="35"/>
  <c r="I61" i="35"/>
  <c r="B61" i="35"/>
  <c r="I60" i="35"/>
  <c r="B60" i="35"/>
  <c r="I59" i="35"/>
  <c r="B59" i="35"/>
  <c r="I58" i="35"/>
  <c r="B58" i="35"/>
  <c r="I57" i="35"/>
  <c r="B57" i="35"/>
  <c r="I56" i="35"/>
  <c r="B56" i="35"/>
  <c r="I55" i="35"/>
  <c r="B55" i="35"/>
  <c r="I54" i="35"/>
  <c r="B54" i="35"/>
  <c r="I53" i="35"/>
  <c r="B53" i="35"/>
  <c r="I52" i="35"/>
  <c r="B52" i="35"/>
  <c r="I51" i="35"/>
  <c r="B51" i="35"/>
  <c r="I50" i="35"/>
  <c r="B50" i="35"/>
  <c r="I49" i="35"/>
  <c r="B49" i="35"/>
  <c r="I48" i="35"/>
  <c r="B48" i="35"/>
  <c r="I47" i="35"/>
  <c r="B47" i="35"/>
  <c r="I46" i="35"/>
  <c r="B46" i="35"/>
  <c r="I45" i="35"/>
  <c r="B45" i="35"/>
  <c r="I44" i="35"/>
  <c r="B44" i="35"/>
  <c r="I43" i="35"/>
  <c r="B43" i="35"/>
  <c r="I42" i="35"/>
  <c r="B42" i="35"/>
  <c r="I41" i="35"/>
  <c r="B41" i="35"/>
  <c r="I40" i="35"/>
  <c r="B40" i="35"/>
  <c r="I39" i="35"/>
  <c r="B39" i="35"/>
  <c r="I38" i="35"/>
  <c r="B38" i="35"/>
  <c r="I37" i="35"/>
  <c r="B37" i="35"/>
  <c r="I36" i="35"/>
  <c r="B36" i="35"/>
  <c r="I35" i="35"/>
  <c r="B35" i="35"/>
  <c r="I34" i="35"/>
  <c r="B34" i="35"/>
  <c r="I33" i="35"/>
  <c r="B33" i="35"/>
  <c r="I32" i="35"/>
  <c r="B32" i="35"/>
  <c r="I31" i="35"/>
  <c r="B31" i="35"/>
  <c r="I30" i="35"/>
  <c r="B30" i="35"/>
  <c r="I29" i="35"/>
  <c r="B29" i="35"/>
  <c r="I28" i="35"/>
  <c r="B28" i="35"/>
  <c r="I27" i="35"/>
  <c r="B27" i="35"/>
  <c r="I26" i="35"/>
  <c r="B26" i="35"/>
  <c r="I25" i="35"/>
  <c r="B25" i="35"/>
  <c r="I24" i="35"/>
  <c r="B24" i="35"/>
  <c r="I23" i="35"/>
  <c r="B23" i="35"/>
  <c r="I22" i="35"/>
  <c r="B22" i="35"/>
  <c r="I21" i="35"/>
  <c r="B21" i="35"/>
  <c r="I20" i="35"/>
  <c r="B20" i="35"/>
  <c r="D16" i="35"/>
  <c r="M15" i="35"/>
  <c r="L15" i="35"/>
  <c r="N15" i="35" s="1"/>
  <c r="K15" i="35"/>
  <c r="J15" i="35"/>
  <c r="H15" i="35"/>
  <c r="G15" i="35"/>
  <c r="E15" i="35"/>
  <c r="I15" i="35" s="1"/>
  <c r="O15" i="35" s="1"/>
  <c r="N14" i="35"/>
  <c r="M14" i="35"/>
  <c r="L14" i="35"/>
  <c r="K14" i="35"/>
  <c r="J14" i="35"/>
  <c r="H14" i="35"/>
  <c r="G14" i="35"/>
  <c r="F14" i="35"/>
  <c r="I14" i="35" s="1"/>
  <c r="O14" i="35" s="1"/>
  <c r="E14" i="35"/>
  <c r="M13" i="35"/>
  <c r="L13" i="35"/>
  <c r="K13" i="35"/>
  <c r="J13" i="35"/>
  <c r="N13" i="35" s="1"/>
  <c r="I13" i="35"/>
  <c r="H13" i="35"/>
  <c r="G13" i="35"/>
  <c r="F13" i="35"/>
  <c r="E13" i="35"/>
  <c r="M12" i="35"/>
  <c r="L12" i="35"/>
  <c r="L12" i="54" s="1"/>
  <c r="K12" i="35"/>
  <c r="J12" i="35"/>
  <c r="H12" i="35"/>
  <c r="G12" i="35"/>
  <c r="F12" i="35"/>
  <c r="E12" i="35"/>
  <c r="I12" i="35" s="1"/>
  <c r="M11" i="35"/>
  <c r="L11" i="35"/>
  <c r="K11" i="35"/>
  <c r="J11" i="35"/>
  <c r="N11" i="35" s="1"/>
  <c r="H11" i="35"/>
  <c r="G11" i="35"/>
  <c r="I11" i="35" s="1"/>
  <c r="F11" i="35"/>
  <c r="E11" i="35"/>
  <c r="M10" i="35"/>
  <c r="L10" i="35"/>
  <c r="K10" i="35"/>
  <c r="J10" i="35"/>
  <c r="N10" i="35" s="1"/>
  <c r="H10" i="35"/>
  <c r="G10" i="35"/>
  <c r="F10" i="35"/>
  <c r="E10" i="35"/>
  <c r="I10" i="35" s="1"/>
  <c r="M9" i="35"/>
  <c r="L9" i="35"/>
  <c r="K9" i="35"/>
  <c r="N9" i="35" s="1"/>
  <c r="J9" i="35"/>
  <c r="H9" i="35"/>
  <c r="G9" i="35"/>
  <c r="F9" i="35"/>
  <c r="E9" i="35"/>
  <c r="I9" i="35" s="1"/>
  <c r="M8" i="35"/>
  <c r="L8" i="35"/>
  <c r="K8" i="35"/>
  <c r="J8" i="35"/>
  <c r="J16" i="35" s="1"/>
  <c r="H8" i="35"/>
  <c r="H16" i="35" s="1"/>
  <c r="G8" i="35"/>
  <c r="F8" i="35"/>
  <c r="I8" i="35" s="1"/>
  <c r="E8" i="35"/>
  <c r="M7" i="35"/>
  <c r="L7" i="35"/>
  <c r="K7" i="35"/>
  <c r="N7" i="35" s="1"/>
  <c r="J7" i="35"/>
  <c r="H7" i="35"/>
  <c r="G7" i="35"/>
  <c r="F7" i="35"/>
  <c r="E7" i="35"/>
  <c r="I7" i="35" s="1"/>
  <c r="N6" i="35"/>
  <c r="M6" i="35"/>
  <c r="L6" i="35"/>
  <c r="L16" i="35" s="1"/>
  <c r="K6" i="35"/>
  <c r="J6" i="35"/>
  <c r="H6" i="35"/>
  <c r="G6" i="35"/>
  <c r="F6" i="35"/>
  <c r="F16" i="35" s="1"/>
  <c r="E6" i="35"/>
  <c r="I6" i="35" s="1"/>
  <c r="O6" i="35" s="1"/>
  <c r="M5" i="35"/>
  <c r="M16" i="35" s="1"/>
  <c r="L5" i="35"/>
  <c r="K5" i="35"/>
  <c r="K16" i="35" s="1"/>
  <c r="J5" i="35"/>
  <c r="N5" i="35" s="1"/>
  <c r="I5" i="35"/>
  <c r="H5" i="35"/>
  <c r="G5" i="35"/>
  <c r="G16" i="35" s="1"/>
  <c r="F5" i="35"/>
  <c r="E5" i="35"/>
  <c r="E16" i="35" s="1"/>
  <c r="I572" i="18"/>
  <c r="B572" i="18"/>
  <c r="I571" i="18"/>
  <c r="B571" i="18"/>
  <c r="I570" i="18"/>
  <c r="B570" i="18"/>
  <c r="I569" i="18"/>
  <c r="B569" i="18"/>
  <c r="I568" i="18"/>
  <c r="B568" i="18"/>
  <c r="I567" i="18"/>
  <c r="B567" i="18"/>
  <c r="I566" i="18"/>
  <c r="B566" i="18"/>
  <c r="I565" i="18"/>
  <c r="B565" i="18"/>
  <c r="I564" i="18"/>
  <c r="B564" i="18"/>
  <c r="I563" i="18"/>
  <c r="B563" i="18"/>
  <c r="I562" i="18"/>
  <c r="B562" i="18"/>
  <c r="I561" i="18"/>
  <c r="B561" i="18"/>
  <c r="I560" i="18"/>
  <c r="B560" i="18"/>
  <c r="I559" i="18"/>
  <c r="B559" i="18"/>
  <c r="I558" i="18"/>
  <c r="B558" i="18"/>
  <c r="I557" i="18"/>
  <c r="B557" i="18"/>
  <c r="I556" i="18"/>
  <c r="B556" i="18"/>
  <c r="I555" i="18"/>
  <c r="B555" i="18"/>
  <c r="I554" i="18"/>
  <c r="B554" i="18"/>
  <c r="I553" i="18"/>
  <c r="B553" i="18"/>
  <c r="I552" i="18"/>
  <c r="B552" i="18"/>
  <c r="I551" i="18"/>
  <c r="B551" i="18"/>
  <c r="I550" i="18"/>
  <c r="B550" i="18"/>
  <c r="I549" i="18"/>
  <c r="B549" i="18"/>
  <c r="I548" i="18"/>
  <c r="B548" i="18"/>
  <c r="I547" i="18"/>
  <c r="B547" i="18"/>
  <c r="I546" i="18"/>
  <c r="B546" i="18"/>
  <c r="I545" i="18"/>
  <c r="B545" i="18"/>
  <c r="I544" i="18"/>
  <c r="B544" i="18"/>
  <c r="I543" i="18"/>
  <c r="B543" i="18"/>
  <c r="I542" i="18"/>
  <c r="B542" i="18"/>
  <c r="I541" i="18"/>
  <c r="B541" i="18"/>
  <c r="I540" i="18"/>
  <c r="B540" i="18"/>
  <c r="I539" i="18"/>
  <c r="B539" i="18"/>
  <c r="I538" i="18"/>
  <c r="B538" i="18"/>
  <c r="I537" i="18"/>
  <c r="B537" i="18"/>
  <c r="I536" i="18"/>
  <c r="B536" i="18"/>
  <c r="I535" i="18"/>
  <c r="B535" i="18"/>
  <c r="I534" i="18"/>
  <c r="B534" i="18"/>
  <c r="I533" i="18"/>
  <c r="B533" i="18"/>
  <c r="I532" i="18"/>
  <c r="B532" i="18"/>
  <c r="I531" i="18"/>
  <c r="B531" i="18"/>
  <c r="I530" i="18"/>
  <c r="B530" i="18"/>
  <c r="I529" i="18"/>
  <c r="B529" i="18"/>
  <c r="I528" i="18"/>
  <c r="B528" i="18"/>
  <c r="I527" i="18"/>
  <c r="B527" i="18"/>
  <c r="I526" i="18"/>
  <c r="B526" i="18"/>
  <c r="I525" i="18"/>
  <c r="B525" i="18"/>
  <c r="I524" i="18"/>
  <c r="B524" i="18"/>
  <c r="I523" i="18"/>
  <c r="B523" i="18"/>
  <c r="I522" i="18"/>
  <c r="B522" i="18"/>
  <c r="I521" i="18"/>
  <c r="B521" i="18"/>
  <c r="I520" i="18"/>
  <c r="B520" i="18"/>
  <c r="I519" i="18"/>
  <c r="B519" i="18"/>
  <c r="I518" i="18"/>
  <c r="B518" i="18"/>
  <c r="I517" i="18"/>
  <c r="B517" i="18"/>
  <c r="I516" i="18"/>
  <c r="B516" i="18"/>
  <c r="I515" i="18"/>
  <c r="B515" i="18"/>
  <c r="I514" i="18"/>
  <c r="B514" i="18"/>
  <c r="I513" i="18"/>
  <c r="B513" i="18"/>
  <c r="I512" i="18"/>
  <c r="B512" i="18"/>
  <c r="I511" i="18"/>
  <c r="B511" i="18"/>
  <c r="I510" i="18"/>
  <c r="B510" i="18"/>
  <c r="I509" i="18"/>
  <c r="B509" i="18"/>
  <c r="I508" i="18"/>
  <c r="B508" i="18"/>
  <c r="I507" i="18"/>
  <c r="B507" i="18"/>
  <c r="I506" i="18"/>
  <c r="B506" i="18"/>
  <c r="I505" i="18"/>
  <c r="B505" i="18"/>
  <c r="I504" i="18"/>
  <c r="B504" i="18"/>
  <c r="I503" i="18"/>
  <c r="B503" i="18"/>
  <c r="I502" i="18"/>
  <c r="B502" i="18"/>
  <c r="I501" i="18"/>
  <c r="B501" i="18"/>
  <c r="I500" i="18"/>
  <c r="B500" i="18"/>
  <c r="I499" i="18"/>
  <c r="B499" i="18"/>
  <c r="I498" i="18"/>
  <c r="B498" i="18"/>
  <c r="I497" i="18"/>
  <c r="B497" i="18"/>
  <c r="I496" i="18"/>
  <c r="B496" i="18"/>
  <c r="I495" i="18"/>
  <c r="B495" i="18"/>
  <c r="I494" i="18"/>
  <c r="B494" i="18"/>
  <c r="I493" i="18"/>
  <c r="B493" i="18"/>
  <c r="I492" i="18"/>
  <c r="B492" i="18"/>
  <c r="I491" i="18"/>
  <c r="B491" i="18"/>
  <c r="I490" i="18"/>
  <c r="B490" i="18"/>
  <c r="I489" i="18"/>
  <c r="B489" i="18"/>
  <c r="I488" i="18"/>
  <c r="B488" i="18"/>
  <c r="I487" i="18"/>
  <c r="B487" i="18"/>
  <c r="I486" i="18"/>
  <c r="B486" i="18"/>
  <c r="I485" i="18"/>
  <c r="B485" i="18"/>
  <c r="I484" i="18"/>
  <c r="B484" i="18"/>
  <c r="I483" i="18"/>
  <c r="B483" i="18"/>
  <c r="I482" i="18"/>
  <c r="B482" i="18"/>
  <c r="I481" i="18"/>
  <c r="B481" i="18"/>
  <c r="I480" i="18"/>
  <c r="B480" i="18"/>
  <c r="I479" i="18"/>
  <c r="B479" i="18"/>
  <c r="I478" i="18"/>
  <c r="B478" i="18"/>
  <c r="I477" i="18"/>
  <c r="B477" i="18"/>
  <c r="I476" i="18"/>
  <c r="B476" i="18"/>
  <c r="I475" i="18"/>
  <c r="B475" i="18"/>
  <c r="I474" i="18"/>
  <c r="B474" i="18"/>
  <c r="I473" i="18"/>
  <c r="B473" i="18"/>
  <c r="I472" i="18"/>
  <c r="B472" i="18"/>
  <c r="I471" i="18"/>
  <c r="B471" i="18"/>
  <c r="I470" i="18"/>
  <c r="B470" i="18"/>
  <c r="I469" i="18"/>
  <c r="B469" i="18"/>
  <c r="I468" i="18"/>
  <c r="B468" i="18"/>
  <c r="I467" i="18"/>
  <c r="B467" i="18"/>
  <c r="I466" i="18"/>
  <c r="B466" i="18"/>
  <c r="I465" i="18"/>
  <c r="B465" i="18"/>
  <c r="I464" i="18"/>
  <c r="B464" i="18"/>
  <c r="I463" i="18"/>
  <c r="B463" i="18"/>
  <c r="I462" i="18"/>
  <c r="B462" i="18"/>
  <c r="I461" i="18"/>
  <c r="B461" i="18"/>
  <c r="I460" i="18"/>
  <c r="B460" i="18"/>
  <c r="I459" i="18"/>
  <c r="B459" i="18"/>
  <c r="I458" i="18"/>
  <c r="B458" i="18"/>
  <c r="I457" i="18"/>
  <c r="B457" i="18"/>
  <c r="I456" i="18"/>
  <c r="B456" i="18"/>
  <c r="I455" i="18"/>
  <c r="B455" i="18"/>
  <c r="I454" i="18"/>
  <c r="B454" i="18"/>
  <c r="I453" i="18"/>
  <c r="B453" i="18"/>
  <c r="I452" i="18"/>
  <c r="B452" i="18"/>
  <c r="I451" i="18"/>
  <c r="B451" i="18"/>
  <c r="I450" i="18"/>
  <c r="B450" i="18"/>
  <c r="I449" i="18"/>
  <c r="B449" i="18"/>
  <c r="I448" i="18"/>
  <c r="B448" i="18"/>
  <c r="I447" i="18"/>
  <c r="B447" i="18"/>
  <c r="I446" i="18"/>
  <c r="B446" i="18"/>
  <c r="I445" i="18"/>
  <c r="B445" i="18"/>
  <c r="I444" i="18"/>
  <c r="B444" i="18"/>
  <c r="I443" i="18"/>
  <c r="B443" i="18"/>
  <c r="I442" i="18"/>
  <c r="B442" i="18"/>
  <c r="I441" i="18"/>
  <c r="B441" i="18"/>
  <c r="I440" i="18"/>
  <c r="B440" i="18"/>
  <c r="I439" i="18"/>
  <c r="B439" i="18"/>
  <c r="I438" i="18"/>
  <c r="B438" i="18"/>
  <c r="I437" i="18"/>
  <c r="B437" i="18"/>
  <c r="I436" i="18"/>
  <c r="B436" i="18"/>
  <c r="I435" i="18"/>
  <c r="B435" i="18"/>
  <c r="I434" i="18"/>
  <c r="B434" i="18"/>
  <c r="I433" i="18"/>
  <c r="B433" i="18"/>
  <c r="I432" i="18"/>
  <c r="B432" i="18"/>
  <c r="I431" i="18"/>
  <c r="B431" i="18"/>
  <c r="I430" i="18"/>
  <c r="B430" i="18"/>
  <c r="I429" i="18"/>
  <c r="B429" i="18"/>
  <c r="I428" i="18"/>
  <c r="B428" i="18"/>
  <c r="I427" i="18"/>
  <c r="B427" i="18"/>
  <c r="I426" i="18"/>
  <c r="B426" i="18"/>
  <c r="I425" i="18"/>
  <c r="B425" i="18"/>
  <c r="I424" i="18"/>
  <c r="B424" i="18"/>
  <c r="I423" i="18"/>
  <c r="B423" i="18"/>
  <c r="I422" i="18"/>
  <c r="B422" i="18"/>
  <c r="I421" i="18"/>
  <c r="B421" i="18"/>
  <c r="I420" i="18"/>
  <c r="B420" i="18"/>
  <c r="I419" i="18"/>
  <c r="B419" i="18"/>
  <c r="I418" i="18"/>
  <c r="B418" i="18"/>
  <c r="I417" i="18"/>
  <c r="B417" i="18"/>
  <c r="I416" i="18"/>
  <c r="B416" i="18"/>
  <c r="I415" i="18"/>
  <c r="B415" i="18"/>
  <c r="I414" i="18"/>
  <c r="B414" i="18"/>
  <c r="I413" i="18"/>
  <c r="B413" i="18"/>
  <c r="I412" i="18"/>
  <c r="B412" i="18"/>
  <c r="I411" i="18"/>
  <c r="B411" i="18"/>
  <c r="I410" i="18"/>
  <c r="B410" i="18"/>
  <c r="I409" i="18"/>
  <c r="B409" i="18"/>
  <c r="I408" i="18"/>
  <c r="B408" i="18"/>
  <c r="I407" i="18"/>
  <c r="B407" i="18"/>
  <c r="I406" i="18"/>
  <c r="B406" i="18"/>
  <c r="I405" i="18"/>
  <c r="B405" i="18"/>
  <c r="I404" i="18"/>
  <c r="B404" i="18"/>
  <c r="I403" i="18"/>
  <c r="B403" i="18"/>
  <c r="I402" i="18"/>
  <c r="B402" i="18"/>
  <c r="I401" i="18"/>
  <c r="B401" i="18"/>
  <c r="I400" i="18"/>
  <c r="B400" i="18"/>
  <c r="I399" i="18"/>
  <c r="B399" i="18"/>
  <c r="I398" i="18"/>
  <c r="B398" i="18"/>
  <c r="I397" i="18"/>
  <c r="B397" i="18"/>
  <c r="I396" i="18"/>
  <c r="B396" i="18"/>
  <c r="I395" i="18"/>
  <c r="B395" i="18"/>
  <c r="I394" i="18"/>
  <c r="B394" i="18"/>
  <c r="I393" i="18"/>
  <c r="B393" i="18"/>
  <c r="I392" i="18"/>
  <c r="B392" i="18"/>
  <c r="I391" i="18"/>
  <c r="B391" i="18"/>
  <c r="I390" i="18"/>
  <c r="B390" i="18"/>
  <c r="I389" i="18"/>
  <c r="B389" i="18"/>
  <c r="I388" i="18"/>
  <c r="B388" i="18"/>
  <c r="I387" i="18"/>
  <c r="B387" i="18"/>
  <c r="I386" i="18"/>
  <c r="B386" i="18"/>
  <c r="I385" i="18"/>
  <c r="B385" i="18"/>
  <c r="I384" i="18"/>
  <c r="B384" i="18"/>
  <c r="I383" i="18"/>
  <c r="B383" i="18"/>
  <c r="I382" i="18"/>
  <c r="B382" i="18"/>
  <c r="I381" i="18"/>
  <c r="B381" i="18"/>
  <c r="I380" i="18"/>
  <c r="B380" i="18"/>
  <c r="I379" i="18"/>
  <c r="B379" i="18"/>
  <c r="I378" i="18"/>
  <c r="B378" i="18"/>
  <c r="I377" i="18"/>
  <c r="B377" i="18"/>
  <c r="I376" i="18"/>
  <c r="B376" i="18"/>
  <c r="I375" i="18"/>
  <c r="B375" i="18"/>
  <c r="I374" i="18"/>
  <c r="B374" i="18"/>
  <c r="I373" i="18"/>
  <c r="B373" i="18"/>
  <c r="I372" i="18"/>
  <c r="B372" i="18"/>
  <c r="I371" i="18"/>
  <c r="B371" i="18"/>
  <c r="I370" i="18"/>
  <c r="B370" i="18"/>
  <c r="I369" i="18"/>
  <c r="B369" i="18"/>
  <c r="I368" i="18"/>
  <c r="B368" i="18"/>
  <c r="I367" i="18"/>
  <c r="B367" i="18"/>
  <c r="I366" i="18"/>
  <c r="B366" i="18"/>
  <c r="I365" i="18"/>
  <c r="B365" i="18"/>
  <c r="I364" i="18"/>
  <c r="B364" i="18"/>
  <c r="I363" i="18"/>
  <c r="B363" i="18"/>
  <c r="I362" i="18"/>
  <c r="B362" i="18"/>
  <c r="I361" i="18"/>
  <c r="B361" i="18"/>
  <c r="I360" i="18"/>
  <c r="B360" i="18"/>
  <c r="I359" i="18"/>
  <c r="B359" i="18"/>
  <c r="I358" i="18"/>
  <c r="B358" i="18"/>
  <c r="I357" i="18"/>
  <c r="B357" i="18"/>
  <c r="I356" i="18"/>
  <c r="B356" i="18"/>
  <c r="I355" i="18"/>
  <c r="B355" i="18"/>
  <c r="I354" i="18"/>
  <c r="B354" i="18"/>
  <c r="I353" i="18"/>
  <c r="B353" i="18"/>
  <c r="I352" i="18"/>
  <c r="B352" i="18"/>
  <c r="I351" i="18"/>
  <c r="B351" i="18"/>
  <c r="I350" i="18"/>
  <c r="B350" i="18"/>
  <c r="I349" i="18"/>
  <c r="B349" i="18"/>
  <c r="I348" i="18"/>
  <c r="B348" i="18"/>
  <c r="I347" i="18"/>
  <c r="B347" i="18"/>
  <c r="I346" i="18"/>
  <c r="B346" i="18"/>
  <c r="I345" i="18"/>
  <c r="B345" i="18"/>
  <c r="I344" i="18"/>
  <c r="B344" i="18"/>
  <c r="I343" i="18"/>
  <c r="B343" i="18"/>
  <c r="I342" i="18"/>
  <c r="B342" i="18"/>
  <c r="I341" i="18"/>
  <c r="B341" i="18"/>
  <c r="I340" i="18"/>
  <c r="B340" i="18"/>
  <c r="I339" i="18"/>
  <c r="B339" i="18"/>
  <c r="I338" i="18"/>
  <c r="B338" i="18"/>
  <c r="I337" i="18"/>
  <c r="B337" i="18"/>
  <c r="I336" i="18"/>
  <c r="B336" i="18"/>
  <c r="I335" i="18"/>
  <c r="B335" i="18"/>
  <c r="I334" i="18"/>
  <c r="B334" i="18"/>
  <c r="I333" i="18"/>
  <c r="B333" i="18"/>
  <c r="I332" i="18"/>
  <c r="B332" i="18"/>
  <c r="I331" i="18"/>
  <c r="B331" i="18"/>
  <c r="I330" i="18"/>
  <c r="B330" i="18"/>
  <c r="I329" i="18"/>
  <c r="B329" i="18"/>
  <c r="I328" i="18"/>
  <c r="B328" i="18"/>
  <c r="I327" i="18"/>
  <c r="B327" i="18"/>
  <c r="I326" i="18"/>
  <c r="B326" i="18"/>
  <c r="I325" i="18"/>
  <c r="B325" i="18"/>
  <c r="I324" i="18"/>
  <c r="B324" i="18"/>
  <c r="I323" i="18"/>
  <c r="B323" i="18"/>
  <c r="I322" i="18"/>
  <c r="B322" i="18"/>
  <c r="I321" i="18"/>
  <c r="B321" i="18"/>
  <c r="I320" i="18"/>
  <c r="B320" i="18"/>
  <c r="I319" i="18"/>
  <c r="B319" i="18"/>
  <c r="I318" i="18"/>
  <c r="B318" i="18"/>
  <c r="I317" i="18"/>
  <c r="B317" i="18"/>
  <c r="I316" i="18"/>
  <c r="B316" i="18"/>
  <c r="I315" i="18"/>
  <c r="B315" i="18"/>
  <c r="I314" i="18"/>
  <c r="B314" i="18"/>
  <c r="I313" i="18"/>
  <c r="B313" i="18"/>
  <c r="I312" i="18"/>
  <c r="B312" i="18"/>
  <c r="I311" i="18"/>
  <c r="B311" i="18"/>
  <c r="I310" i="18"/>
  <c r="B310" i="18"/>
  <c r="I309" i="18"/>
  <c r="B309" i="18"/>
  <c r="I308" i="18"/>
  <c r="B308" i="18"/>
  <c r="I307" i="18"/>
  <c r="B307" i="18"/>
  <c r="I306" i="18"/>
  <c r="B306" i="18"/>
  <c r="I305" i="18"/>
  <c r="B305" i="18"/>
  <c r="I304" i="18"/>
  <c r="B304" i="18"/>
  <c r="I303" i="18"/>
  <c r="B303" i="18"/>
  <c r="I302" i="18"/>
  <c r="B302" i="18"/>
  <c r="I301" i="18"/>
  <c r="B301" i="18"/>
  <c r="I300" i="18"/>
  <c r="B300" i="18"/>
  <c r="I299" i="18"/>
  <c r="B299" i="18"/>
  <c r="I298" i="18"/>
  <c r="B298" i="18"/>
  <c r="I297" i="18"/>
  <c r="B297" i="18"/>
  <c r="I296" i="18"/>
  <c r="B296" i="18"/>
  <c r="I295" i="18"/>
  <c r="B295" i="18"/>
  <c r="I294" i="18"/>
  <c r="B294" i="18"/>
  <c r="I293" i="18"/>
  <c r="B293" i="18"/>
  <c r="I292" i="18"/>
  <c r="B292" i="18"/>
  <c r="I291" i="18"/>
  <c r="B291" i="18"/>
  <c r="I290" i="18"/>
  <c r="B290" i="18"/>
  <c r="I289" i="18"/>
  <c r="B289" i="18"/>
  <c r="I288" i="18"/>
  <c r="B288" i="18"/>
  <c r="I287" i="18"/>
  <c r="B287" i="18"/>
  <c r="I286" i="18"/>
  <c r="B286" i="18"/>
  <c r="I285" i="18"/>
  <c r="B285" i="18"/>
  <c r="I284" i="18"/>
  <c r="B284" i="18"/>
  <c r="I283" i="18"/>
  <c r="B283" i="18"/>
  <c r="I282" i="18"/>
  <c r="B282" i="18"/>
  <c r="I281" i="18"/>
  <c r="B281" i="18"/>
  <c r="I280" i="18"/>
  <c r="B280" i="18"/>
  <c r="I279" i="18"/>
  <c r="B279" i="18"/>
  <c r="I278" i="18"/>
  <c r="B278" i="18"/>
  <c r="I277" i="18"/>
  <c r="B277" i="18"/>
  <c r="I276" i="18"/>
  <c r="B276" i="18"/>
  <c r="I275" i="18"/>
  <c r="B275" i="18"/>
  <c r="I274" i="18"/>
  <c r="B274" i="18"/>
  <c r="I273" i="18"/>
  <c r="B273" i="18"/>
  <c r="I272" i="18"/>
  <c r="B272" i="18"/>
  <c r="I271" i="18"/>
  <c r="B271" i="18"/>
  <c r="I270" i="18"/>
  <c r="B270" i="18"/>
  <c r="I269" i="18"/>
  <c r="B269" i="18"/>
  <c r="I268" i="18"/>
  <c r="B268" i="18"/>
  <c r="I267" i="18"/>
  <c r="B267" i="18"/>
  <c r="I266" i="18"/>
  <c r="B266" i="18"/>
  <c r="I265" i="18"/>
  <c r="B265" i="18"/>
  <c r="I264" i="18"/>
  <c r="B264" i="18"/>
  <c r="I263" i="18"/>
  <c r="B263" i="18"/>
  <c r="I262" i="18"/>
  <c r="B262" i="18"/>
  <c r="I261" i="18"/>
  <c r="B261" i="18"/>
  <c r="I260" i="18"/>
  <c r="B260" i="18"/>
  <c r="I259" i="18"/>
  <c r="B259" i="18"/>
  <c r="I258" i="18"/>
  <c r="B258" i="18"/>
  <c r="I257" i="18"/>
  <c r="B257" i="18"/>
  <c r="I256" i="18"/>
  <c r="B256" i="18"/>
  <c r="I255" i="18"/>
  <c r="B255" i="18"/>
  <c r="I254" i="18"/>
  <c r="B254" i="18"/>
  <c r="I253" i="18"/>
  <c r="B253" i="18"/>
  <c r="I252" i="18"/>
  <c r="B252" i="18"/>
  <c r="I251" i="18"/>
  <c r="B251" i="18"/>
  <c r="I250" i="18"/>
  <c r="B250" i="18"/>
  <c r="I249" i="18"/>
  <c r="B249" i="18"/>
  <c r="I248" i="18"/>
  <c r="B248" i="18"/>
  <c r="I247" i="18"/>
  <c r="B247" i="18"/>
  <c r="I246" i="18"/>
  <c r="B246" i="18"/>
  <c r="I245" i="18"/>
  <c r="B245" i="18"/>
  <c r="I244" i="18"/>
  <c r="B244" i="18"/>
  <c r="I243" i="18"/>
  <c r="B243" i="18"/>
  <c r="I242" i="18"/>
  <c r="B242" i="18"/>
  <c r="I241" i="18"/>
  <c r="B241" i="18"/>
  <c r="I240" i="18"/>
  <c r="B240" i="18"/>
  <c r="I239" i="18"/>
  <c r="B239" i="18"/>
  <c r="I238" i="18"/>
  <c r="B238" i="18"/>
  <c r="I237" i="18"/>
  <c r="B237" i="18"/>
  <c r="I236" i="18"/>
  <c r="B236" i="18"/>
  <c r="I235" i="18"/>
  <c r="B235" i="18"/>
  <c r="I234" i="18"/>
  <c r="B234" i="18"/>
  <c r="I233" i="18"/>
  <c r="B233" i="18"/>
  <c r="I232" i="18"/>
  <c r="B232" i="18"/>
  <c r="I231" i="18"/>
  <c r="B231" i="18"/>
  <c r="I230" i="18"/>
  <c r="B230" i="18"/>
  <c r="I229" i="18"/>
  <c r="B229" i="18"/>
  <c r="I228" i="18"/>
  <c r="B228" i="18"/>
  <c r="I227" i="18"/>
  <c r="B227" i="18"/>
  <c r="I226" i="18"/>
  <c r="B226" i="18"/>
  <c r="I225" i="18"/>
  <c r="B225" i="18"/>
  <c r="I224" i="18"/>
  <c r="B224" i="18"/>
  <c r="I223" i="18"/>
  <c r="B223" i="18"/>
  <c r="I222" i="18"/>
  <c r="B222" i="18"/>
  <c r="I221" i="18"/>
  <c r="B221" i="18"/>
  <c r="I220" i="18"/>
  <c r="B220" i="18"/>
  <c r="I219" i="18"/>
  <c r="B219" i="18"/>
  <c r="I218" i="18"/>
  <c r="B218" i="18"/>
  <c r="I217" i="18"/>
  <c r="B217" i="18"/>
  <c r="I216" i="18"/>
  <c r="B216" i="18"/>
  <c r="I215" i="18"/>
  <c r="B215" i="18"/>
  <c r="I214" i="18"/>
  <c r="B214" i="18"/>
  <c r="I213" i="18"/>
  <c r="B213" i="18"/>
  <c r="I212" i="18"/>
  <c r="B212" i="18"/>
  <c r="I211" i="18"/>
  <c r="B211" i="18"/>
  <c r="I210" i="18"/>
  <c r="B210" i="18"/>
  <c r="I209" i="18"/>
  <c r="B209" i="18"/>
  <c r="I208" i="18"/>
  <c r="B208" i="18"/>
  <c r="I207" i="18"/>
  <c r="B207" i="18"/>
  <c r="I206" i="18"/>
  <c r="B206" i="18"/>
  <c r="I205" i="18"/>
  <c r="B205" i="18"/>
  <c r="I204" i="18"/>
  <c r="B204" i="18"/>
  <c r="I203" i="18"/>
  <c r="B203" i="18"/>
  <c r="I202" i="18"/>
  <c r="B202" i="18"/>
  <c r="I201" i="18"/>
  <c r="B201" i="18"/>
  <c r="I200" i="18"/>
  <c r="B200" i="18"/>
  <c r="I199" i="18"/>
  <c r="B199" i="18"/>
  <c r="I198" i="18"/>
  <c r="B198" i="18"/>
  <c r="I197" i="18"/>
  <c r="B197" i="18"/>
  <c r="I196" i="18"/>
  <c r="B196" i="18"/>
  <c r="I195" i="18"/>
  <c r="B195" i="18"/>
  <c r="I194" i="18"/>
  <c r="B194" i="18"/>
  <c r="I193" i="18"/>
  <c r="B193" i="18"/>
  <c r="I192" i="18"/>
  <c r="B192" i="18"/>
  <c r="I191" i="18"/>
  <c r="B191" i="18"/>
  <c r="I190" i="18"/>
  <c r="B190" i="18"/>
  <c r="I189" i="18"/>
  <c r="B189" i="18"/>
  <c r="I188" i="18"/>
  <c r="B188" i="18"/>
  <c r="I187" i="18"/>
  <c r="B187" i="18"/>
  <c r="I186" i="18"/>
  <c r="B186" i="18"/>
  <c r="I185" i="18"/>
  <c r="B185" i="18"/>
  <c r="I184" i="18"/>
  <c r="B184" i="18"/>
  <c r="I183" i="18"/>
  <c r="B183" i="18"/>
  <c r="I182" i="18"/>
  <c r="B182" i="18"/>
  <c r="I181" i="18"/>
  <c r="B181" i="18"/>
  <c r="I180" i="18"/>
  <c r="B180" i="18"/>
  <c r="I179" i="18"/>
  <c r="B179" i="18"/>
  <c r="I178" i="18"/>
  <c r="B178" i="18"/>
  <c r="I177" i="18"/>
  <c r="B177" i="18"/>
  <c r="I176" i="18"/>
  <c r="B176" i="18"/>
  <c r="I175" i="18"/>
  <c r="B175" i="18"/>
  <c r="I174" i="18"/>
  <c r="B174" i="18"/>
  <c r="I173" i="18"/>
  <c r="B173" i="18"/>
  <c r="I172" i="18"/>
  <c r="B172" i="18"/>
  <c r="I171" i="18"/>
  <c r="B171" i="18"/>
  <c r="I170" i="18"/>
  <c r="B170" i="18"/>
  <c r="I169" i="18"/>
  <c r="B169" i="18"/>
  <c r="I168" i="18"/>
  <c r="B168" i="18"/>
  <c r="I167" i="18"/>
  <c r="B167" i="18"/>
  <c r="I166" i="18"/>
  <c r="B166" i="18"/>
  <c r="I165" i="18"/>
  <c r="B165" i="18"/>
  <c r="I164" i="18"/>
  <c r="B164" i="18"/>
  <c r="I163" i="18"/>
  <c r="B163" i="18"/>
  <c r="I162" i="18"/>
  <c r="B162" i="18"/>
  <c r="I161" i="18"/>
  <c r="B161" i="18"/>
  <c r="I160" i="18"/>
  <c r="B160" i="18"/>
  <c r="I159" i="18"/>
  <c r="B159" i="18"/>
  <c r="I158" i="18"/>
  <c r="B158" i="18"/>
  <c r="I157" i="18"/>
  <c r="B157" i="18"/>
  <c r="I156" i="18"/>
  <c r="B156" i="18"/>
  <c r="I155" i="18"/>
  <c r="B155" i="18"/>
  <c r="I154" i="18"/>
  <c r="B154" i="18"/>
  <c r="I153" i="18"/>
  <c r="B153" i="18"/>
  <c r="I152" i="18"/>
  <c r="B152" i="18"/>
  <c r="I151" i="18"/>
  <c r="B151" i="18"/>
  <c r="I150" i="18"/>
  <c r="B150" i="18"/>
  <c r="I149" i="18"/>
  <c r="B149" i="18"/>
  <c r="I148" i="18"/>
  <c r="B148" i="18"/>
  <c r="I147" i="18"/>
  <c r="B147" i="18"/>
  <c r="I146" i="18"/>
  <c r="B146" i="18"/>
  <c r="I145" i="18"/>
  <c r="B145" i="18"/>
  <c r="I144" i="18"/>
  <c r="B144" i="18"/>
  <c r="I143" i="18"/>
  <c r="B143" i="18"/>
  <c r="I142" i="18"/>
  <c r="B142" i="18"/>
  <c r="I141" i="18"/>
  <c r="B141" i="18"/>
  <c r="I140" i="18"/>
  <c r="B140" i="18"/>
  <c r="I139" i="18"/>
  <c r="B139" i="18"/>
  <c r="I138" i="18"/>
  <c r="B138" i="18"/>
  <c r="I137" i="18"/>
  <c r="B137" i="18"/>
  <c r="I136" i="18"/>
  <c r="B136" i="18"/>
  <c r="I135" i="18"/>
  <c r="B135" i="18"/>
  <c r="I134" i="18"/>
  <c r="B134" i="18"/>
  <c r="I133" i="18"/>
  <c r="B133" i="18"/>
  <c r="I132" i="18"/>
  <c r="B132" i="18"/>
  <c r="I131" i="18"/>
  <c r="B131" i="18"/>
  <c r="I130" i="18"/>
  <c r="B130" i="18"/>
  <c r="I129" i="18"/>
  <c r="B129" i="18"/>
  <c r="I128" i="18"/>
  <c r="B128" i="18"/>
  <c r="I127" i="18"/>
  <c r="B127" i="18"/>
  <c r="I126" i="18"/>
  <c r="B126" i="18"/>
  <c r="I125" i="18"/>
  <c r="B125" i="18"/>
  <c r="I124" i="18"/>
  <c r="B124" i="18"/>
  <c r="I123" i="18"/>
  <c r="B123" i="18"/>
  <c r="I122" i="18"/>
  <c r="B122" i="18"/>
  <c r="I121" i="18"/>
  <c r="B121" i="18"/>
  <c r="I120" i="18"/>
  <c r="B120" i="18"/>
  <c r="I119" i="18"/>
  <c r="B119" i="18"/>
  <c r="I118" i="18"/>
  <c r="B118" i="18"/>
  <c r="I117" i="18"/>
  <c r="B117" i="18"/>
  <c r="I116" i="18"/>
  <c r="B116" i="18"/>
  <c r="I115" i="18"/>
  <c r="B115" i="18"/>
  <c r="I114" i="18"/>
  <c r="B114" i="18"/>
  <c r="I113" i="18"/>
  <c r="B113" i="18"/>
  <c r="I112" i="18"/>
  <c r="B112" i="18"/>
  <c r="I111" i="18"/>
  <c r="B111" i="18"/>
  <c r="I110" i="18"/>
  <c r="B110" i="18"/>
  <c r="I109" i="18"/>
  <c r="B109" i="18"/>
  <c r="I108" i="18"/>
  <c r="B108" i="18"/>
  <c r="I107" i="18"/>
  <c r="B107" i="18"/>
  <c r="I106" i="18"/>
  <c r="B106" i="18"/>
  <c r="I105" i="18"/>
  <c r="B105" i="18"/>
  <c r="I104" i="18"/>
  <c r="B104" i="18"/>
  <c r="I103" i="18"/>
  <c r="B103" i="18"/>
  <c r="I102" i="18"/>
  <c r="B102" i="18"/>
  <c r="I101" i="18"/>
  <c r="B101" i="18"/>
  <c r="I100" i="18"/>
  <c r="B100" i="18"/>
  <c r="I99" i="18"/>
  <c r="B99" i="18"/>
  <c r="I98" i="18"/>
  <c r="B98" i="18"/>
  <c r="I97" i="18"/>
  <c r="B97" i="18"/>
  <c r="I96" i="18"/>
  <c r="B96" i="18"/>
  <c r="I95" i="18"/>
  <c r="B95" i="18"/>
  <c r="I94" i="18"/>
  <c r="B94" i="18"/>
  <c r="I93" i="18"/>
  <c r="B93" i="18"/>
  <c r="I92" i="18"/>
  <c r="B92" i="18"/>
  <c r="I91" i="18"/>
  <c r="B91" i="18"/>
  <c r="I90" i="18"/>
  <c r="B90" i="18"/>
  <c r="I89" i="18"/>
  <c r="B89" i="18"/>
  <c r="I88" i="18"/>
  <c r="B88" i="18"/>
  <c r="I87" i="18"/>
  <c r="B87" i="18"/>
  <c r="I86" i="18"/>
  <c r="B86" i="18"/>
  <c r="I85" i="18"/>
  <c r="B85" i="18"/>
  <c r="I84" i="18"/>
  <c r="B84" i="18"/>
  <c r="I83" i="18"/>
  <c r="B83" i="18"/>
  <c r="I82" i="18"/>
  <c r="B82" i="18"/>
  <c r="I81" i="18"/>
  <c r="B81" i="18"/>
  <c r="I80" i="18"/>
  <c r="B80" i="18"/>
  <c r="I79" i="18"/>
  <c r="B79" i="18"/>
  <c r="I78" i="18"/>
  <c r="B78" i="18"/>
  <c r="I77" i="18"/>
  <c r="B77" i="18"/>
  <c r="I76" i="18"/>
  <c r="B76" i="18"/>
  <c r="I75" i="18"/>
  <c r="B75" i="18"/>
  <c r="I74" i="18"/>
  <c r="B74" i="18"/>
  <c r="I73" i="18"/>
  <c r="B73" i="18"/>
  <c r="I72" i="18"/>
  <c r="B72" i="18"/>
  <c r="I71" i="18"/>
  <c r="B71" i="18"/>
  <c r="I70" i="18"/>
  <c r="B70" i="18"/>
  <c r="I69" i="18"/>
  <c r="B69" i="18"/>
  <c r="I68" i="18"/>
  <c r="B68" i="18"/>
  <c r="I67" i="18"/>
  <c r="B67" i="18"/>
  <c r="I66" i="18"/>
  <c r="B66" i="18"/>
  <c r="I65" i="18"/>
  <c r="B65" i="18"/>
  <c r="I64" i="18"/>
  <c r="B64" i="18"/>
  <c r="I63" i="18"/>
  <c r="B63" i="18"/>
  <c r="I62" i="18"/>
  <c r="B62" i="18"/>
  <c r="I61" i="18"/>
  <c r="B61" i="18"/>
  <c r="I60" i="18"/>
  <c r="B60" i="18"/>
  <c r="I59" i="18"/>
  <c r="B59" i="18"/>
  <c r="I58" i="18"/>
  <c r="B58" i="18"/>
  <c r="I57" i="18"/>
  <c r="B57" i="18"/>
  <c r="I56" i="18"/>
  <c r="B56" i="18"/>
  <c r="I55" i="18"/>
  <c r="B55" i="18"/>
  <c r="I54" i="18"/>
  <c r="B54" i="18"/>
  <c r="I53" i="18"/>
  <c r="B53" i="18"/>
  <c r="I52" i="18"/>
  <c r="B52" i="18"/>
  <c r="I51" i="18"/>
  <c r="B51" i="18"/>
  <c r="I50" i="18"/>
  <c r="B50" i="18"/>
  <c r="I49" i="18"/>
  <c r="B49" i="18"/>
  <c r="I48" i="18"/>
  <c r="B48" i="18"/>
  <c r="I47" i="18"/>
  <c r="B47" i="18"/>
  <c r="I46" i="18"/>
  <c r="B46" i="18"/>
  <c r="I45" i="18"/>
  <c r="B45" i="18"/>
  <c r="I44" i="18"/>
  <c r="B44" i="18"/>
  <c r="I43" i="18"/>
  <c r="B43" i="18"/>
  <c r="I42" i="18"/>
  <c r="B42" i="18"/>
  <c r="I41" i="18"/>
  <c r="B41" i="18"/>
  <c r="I40" i="18"/>
  <c r="B40" i="18"/>
  <c r="I39" i="18"/>
  <c r="B39" i="18"/>
  <c r="I38" i="18"/>
  <c r="B38" i="18"/>
  <c r="I37" i="18"/>
  <c r="B37" i="18"/>
  <c r="I36" i="18"/>
  <c r="B36" i="18"/>
  <c r="I35" i="18"/>
  <c r="B35" i="18"/>
  <c r="I34" i="18"/>
  <c r="B34" i="18"/>
  <c r="I33" i="18"/>
  <c r="B33" i="18"/>
  <c r="I32" i="18"/>
  <c r="B32" i="18"/>
  <c r="I31" i="18"/>
  <c r="B31" i="18"/>
  <c r="I30" i="18"/>
  <c r="B30" i="18"/>
  <c r="I29" i="18"/>
  <c r="B29" i="18"/>
  <c r="I28" i="18"/>
  <c r="B28" i="18"/>
  <c r="I27" i="18"/>
  <c r="B27" i="18"/>
  <c r="I26" i="18"/>
  <c r="B26" i="18"/>
  <c r="I25" i="18"/>
  <c r="B25" i="18"/>
  <c r="I24" i="18"/>
  <c r="B24" i="18"/>
  <c r="I23" i="18"/>
  <c r="B23" i="18"/>
  <c r="I22" i="18"/>
  <c r="B22" i="18"/>
  <c r="I21" i="18"/>
  <c r="B21" i="18"/>
  <c r="I20" i="18"/>
  <c r="B20" i="18"/>
  <c r="F16" i="18"/>
  <c r="F16" i="54" s="1"/>
  <c r="D16" i="18"/>
  <c r="M15" i="18"/>
  <c r="M15" i="54" s="1"/>
  <c r="L15" i="18"/>
  <c r="L15" i="54" s="1"/>
  <c r="K15" i="18"/>
  <c r="K15" i="54" s="1"/>
  <c r="J15" i="18"/>
  <c r="N15" i="18" s="1"/>
  <c r="H15" i="18"/>
  <c r="G15" i="18"/>
  <c r="G15" i="54" s="1"/>
  <c r="E15" i="18"/>
  <c r="I15" i="18" s="1"/>
  <c r="M14" i="18"/>
  <c r="M14" i="54" s="1"/>
  <c r="L14" i="18"/>
  <c r="N14" i="18" s="1"/>
  <c r="N14" i="54" s="1"/>
  <c r="K14" i="18"/>
  <c r="K14" i="54" s="1"/>
  <c r="J14" i="18"/>
  <c r="J14" i="54" s="1"/>
  <c r="H14" i="18"/>
  <c r="H14" i="54" s="1"/>
  <c r="G14" i="18"/>
  <c r="G14" i="54" s="1"/>
  <c r="F14" i="18"/>
  <c r="F14" i="54" s="1"/>
  <c r="E14" i="18"/>
  <c r="I14" i="18" s="1"/>
  <c r="M13" i="18"/>
  <c r="M13" i="54" s="1"/>
  <c r="L13" i="18"/>
  <c r="L13" i="54" s="1"/>
  <c r="K13" i="18"/>
  <c r="K13" i="54" s="1"/>
  <c r="J13" i="18"/>
  <c r="N13" i="18" s="1"/>
  <c r="H13" i="18"/>
  <c r="G13" i="18"/>
  <c r="I13" i="18" s="1"/>
  <c r="F13" i="18"/>
  <c r="F13" i="54" s="1"/>
  <c r="E13" i="18"/>
  <c r="E13" i="54" s="1"/>
  <c r="M12" i="18"/>
  <c r="M12" i="54" s="1"/>
  <c r="L12" i="18"/>
  <c r="K12" i="18"/>
  <c r="K12" i="54" s="1"/>
  <c r="J12" i="18"/>
  <c r="N12" i="18" s="1"/>
  <c r="H12" i="18"/>
  <c r="H12" i="54" s="1"/>
  <c r="G12" i="18"/>
  <c r="G12" i="54" s="1"/>
  <c r="F12" i="18"/>
  <c r="E12" i="18"/>
  <c r="I12" i="18" s="1"/>
  <c r="M11" i="18"/>
  <c r="M11" i="54" s="1"/>
  <c r="L11" i="18"/>
  <c r="L11" i="54" s="1"/>
  <c r="K11" i="18"/>
  <c r="K11" i="54" s="1"/>
  <c r="J11" i="18"/>
  <c r="J11" i="54" s="1"/>
  <c r="H11" i="18"/>
  <c r="G11" i="18"/>
  <c r="G11" i="54" s="1"/>
  <c r="F11" i="18"/>
  <c r="F11" i="54" s="1"/>
  <c r="E11" i="18"/>
  <c r="I11" i="18" s="1"/>
  <c r="M10" i="18"/>
  <c r="M10" i="54" s="1"/>
  <c r="L10" i="18"/>
  <c r="K10" i="18"/>
  <c r="K10" i="54" s="1"/>
  <c r="J10" i="18"/>
  <c r="N10" i="18" s="1"/>
  <c r="H10" i="18"/>
  <c r="H10" i="54" s="1"/>
  <c r="G10" i="18"/>
  <c r="G10" i="54" s="1"/>
  <c r="F10" i="18"/>
  <c r="F10" i="54" s="1"/>
  <c r="E10" i="18"/>
  <c r="E10" i="54" s="1"/>
  <c r="M9" i="18"/>
  <c r="M9" i="54" s="1"/>
  <c r="L9" i="18"/>
  <c r="L9" i="54" s="1"/>
  <c r="K9" i="18"/>
  <c r="N9" i="18" s="1"/>
  <c r="N9" i="54" s="1"/>
  <c r="J9" i="18"/>
  <c r="H9" i="18"/>
  <c r="G9" i="18"/>
  <c r="G9" i="54" s="1"/>
  <c r="F9" i="18"/>
  <c r="F9" i="54" s="1"/>
  <c r="E9" i="18"/>
  <c r="E9" i="54" s="1"/>
  <c r="N8" i="18"/>
  <c r="M8" i="18"/>
  <c r="M8" i="54" s="1"/>
  <c r="L8" i="18"/>
  <c r="K8" i="18"/>
  <c r="K8" i="54" s="1"/>
  <c r="J8" i="18"/>
  <c r="J8" i="54" s="1"/>
  <c r="H8" i="18"/>
  <c r="H8" i="54" s="1"/>
  <c r="G8" i="18"/>
  <c r="G8" i="54" s="1"/>
  <c r="F8" i="18"/>
  <c r="I8" i="18" s="1"/>
  <c r="E8" i="18"/>
  <c r="E8" i="54" s="1"/>
  <c r="M7" i="18"/>
  <c r="M7" i="54" s="1"/>
  <c r="L7" i="18"/>
  <c r="L7" i="54" s="1"/>
  <c r="K7" i="18"/>
  <c r="K7" i="54" s="1"/>
  <c r="J7" i="18"/>
  <c r="J7" i="54" s="1"/>
  <c r="I7" i="18"/>
  <c r="I7" i="54" s="1"/>
  <c r="H7" i="18"/>
  <c r="G7" i="18"/>
  <c r="G7" i="54" s="1"/>
  <c r="F7" i="18"/>
  <c r="F7" i="54" s="1"/>
  <c r="E7" i="18"/>
  <c r="E7" i="54" s="1"/>
  <c r="M6" i="18"/>
  <c r="M6" i="54" s="1"/>
  <c r="L6" i="18"/>
  <c r="N6" i="18" s="1"/>
  <c r="N6" i="54" s="1"/>
  <c r="K6" i="18"/>
  <c r="K6" i="54" s="1"/>
  <c r="J6" i="18"/>
  <c r="J6" i="54" s="1"/>
  <c r="H6" i="18"/>
  <c r="H6" i="54" s="1"/>
  <c r="G6" i="18"/>
  <c r="G6" i="54" s="1"/>
  <c r="F6" i="18"/>
  <c r="F6" i="54" s="1"/>
  <c r="E6" i="18"/>
  <c r="E6" i="54" s="1"/>
  <c r="M5" i="18"/>
  <c r="M16" i="18" s="1"/>
  <c r="L5" i="18"/>
  <c r="L5" i="54" s="1"/>
  <c r="K5" i="18"/>
  <c r="K16" i="18" s="1"/>
  <c r="J5" i="18"/>
  <c r="N5" i="18" s="1"/>
  <c r="H5" i="18"/>
  <c r="G5" i="18"/>
  <c r="I5" i="18" s="1"/>
  <c r="F5" i="18"/>
  <c r="F5" i="54" s="1"/>
  <c r="E5" i="18"/>
  <c r="E5" i="54" s="1"/>
  <c r="T1" i="34"/>
  <c r="B1" i="62" s="1"/>
  <c r="B567" i="36"/>
  <c r="B566" i="36"/>
  <c r="B565" i="36"/>
  <c r="B564" i="36"/>
  <c r="B563" i="36"/>
  <c r="B562" i="36"/>
  <c r="B561" i="36"/>
  <c r="B560" i="36"/>
  <c r="B559" i="36"/>
  <c r="B558" i="36"/>
  <c r="B557" i="36"/>
  <c r="B556" i="36"/>
  <c r="B555" i="36"/>
  <c r="B554" i="36"/>
  <c r="B553" i="36"/>
  <c r="B552" i="36"/>
  <c r="B551" i="36"/>
  <c r="B550" i="36"/>
  <c r="B549" i="36"/>
  <c r="B548" i="36"/>
  <c r="B547" i="36"/>
  <c r="B546" i="36"/>
  <c r="B545" i="36"/>
  <c r="B544" i="36"/>
  <c r="B543" i="36"/>
  <c r="B542" i="36"/>
  <c r="B541" i="36"/>
  <c r="B540" i="36"/>
  <c r="B539" i="36"/>
  <c r="B538" i="36"/>
  <c r="B537" i="36"/>
  <c r="B536" i="36"/>
  <c r="B535" i="36"/>
  <c r="B534" i="36"/>
  <c r="B533" i="36"/>
  <c r="B532" i="36"/>
  <c r="B531" i="36"/>
  <c r="B530" i="36"/>
  <c r="B529" i="36"/>
  <c r="B528" i="36"/>
  <c r="B527" i="36"/>
  <c r="B526" i="36"/>
  <c r="B525" i="36"/>
  <c r="B524" i="36"/>
  <c r="B523" i="36"/>
  <c r="B522" i="36"/>
  <c r="B521" i="36"/>
  <c r="B520" i="36"/>
  <c r="B519" i="36"/>
  <c r="B518" i="36"/>
  <c r="B517" i="36"/>
  <c r="B516" i="36"/>
  <c r="B515" i="36"/>
  <c r="B514" i="36"/>
  <c r="B513" i="36"/>
  <c r="B512" i="36"/>
  <c r="B511" i="36"/>
  <c r="B510" i="36"/>
  <c r="B509" i="36"/>
  <c r="B508" i="36"/>
  <c r="B507" i="36"/>
  <c r="B506" i="36"/>
  <c r="B505" i="36"/>
  <c r="B504" i="36"/>
  <c r="B503" i="36"/>
  <c r="B502" i="36"/>
  <c r="B501" i="36"/>
  <c r="B500" i="36"/>
  <c r="B499" i="36"/>
  <c r="B498" i="36"/>
  <c r="B497" i="36"/>
  <c r="B496" i="36"/>
  <c r="B495" i="36"/>
  <c r="B494" i="36"/>
  <c r="B493" i="36"/>
  <c r="B492" i="36"/>
  <c r="B491" i="36"/>
  <c r="B490" i="36"/>
  <c r="B489" i="36"/>
  <c r="B488" i="36"/>
  <c r="B487" i="36"/>
  <c r="B486" i="36"/>
  <c r="B485" i="36"/>
  <c r="B484" i="36"/>
  <c r="B483" i="36"/>
  <c r="B482" i="36"/>
  <c r="B481" i="36"/>
  <c r="B480" i="36"/>
  <c r="B479" i="36"/>
  <c r="B478" i="36"/>
  <c r="B477" i="36"/>
  <c r="B476" i="36"/>
  <c r="B475" i="36"/>
  <c r="B474" i="36"/>
  <c r="B473" i="36"/>
  <c r="B472" i="36"/>
  <c r="B471" i="36"/>
  <c r="B470" i="36"/>
  <c r="B469" i="36"/>
  <c r="B468" i="36"/>
  <c r="B467" i="36"/>
  <c r="B466" i="36"/>
  <c r="B465" i="36"/>
  <c r="B464" i="36"/>
  <c r="B463" i="36"/>
  <c r="B462" i="36"/>
  <c r="B461" i="36"/>
  <c r="B460" i="36"/>
  <c r="B459" i="36"/>
  <c r="B458" i="36"/>
  <c r="B457" i="36"/>
  <c r="B456" i="36"/>
  <c r="B455" i="36"/>
  <c r="B454" i="36"/>
  <c r="B453" i="36"/>
  <c r="B452" i="36"/>
  <c r="B451" i="36"/>
  <c r="B450" i="36"/>
  <c r="B449" i="36"/>
  <c r="B448" i="36"/>
  <c r="B447" i="36"/>
  <c r="B446" i="36"/>
  <c r="B445" i="36"/>
  <c r="B444" i="36"/>
  <c r="B443" i="36"/>
  <c r="B442" i="36"/>
  <c r="B441" i="36"/>
  <c r="B440" i="36"/>
  <c r="B439" i="36"/>
  <c r="B438" i="36"/>
  <c r="B437" i="36"/>
  <c r="B436" i="36"/>
  <c r="B435" i="36"/>
  <c r="B434" i="36"/>
  <c r="B433" i="36"/>
  <c r="B432" i="36"/>
  <c r="B431" i="36"/>
  <c r="B430" i="36"/>
  <c r="B429" i="36"/>
  <c r="B428" i="36"/>
  <c r="B427" i="36"/>
  <c r="B426" i="36"/>
  <c r="B425" i="36"/>
  <c r="B424" i="36"/>
  <c r="B423" i="36"/>
  <c r="B422" i="36"/>
  <c r="B421" i="36"/>
  <c r="B420" i="36"/>
  <c r="B419" i="36"/>
  <c r="B418" i="36"/>
  <c r="B417" i="36"/>
  <c r="B416" i="36"/>
  <c r="B415" i="36"/>
  <c r="B414" i="36"/>
  <c r="B413" i="36"/>
  <c r="B412" i="36"/>
  <c r="B411" i="36"/>
  <c r="B410" i="36"/>
  <c r="B409" i="36"/>
  <c r="B408" i="36"/>
  <c r="B407" i="36"/>
  <c r="B406" i="36"/>
  <c r="B405" i="36"/>
  <c r="B404" i="36"/>
  <c r="B403" i="36"/>
  <c r="B402" i="36"/>
  <c r="B401" i="36"/>
  <c r="B400" i="36"/>
  <c r="B399" i="36"/>
  <c r="B398" i="36"/>
  <c r="B397" i="36"/>
  <c r="B396" i="36"/>
  <c r="B395" i="36"/>
  <c r="B394" i="36"/>
  <c r="B393" i="36"/>
  <c r="B392" i="36"/>
  <c r="B391" i="36"/>
  <c r="B390" i="36"/>
  <c r="B389" i="36"/>
  <c r="B388" i="36"/>
  <c r="B387" i="36"/>
  <c r="B386" i="36"/>
  <c r="B385" i="36"/>
  <c r="B384" i="36"/>
  <c r="B383" i="36"/>
  <c r="B382" i="36"/>
  <c r="B381" i="36"/>
  <c r="B380" i="36"/>
  <c r="B379" i="36"/>
  <c r="B378" i="36"/>
  <c r="B377" i="36"/>
  <c r="B376" i="36"/>
  <c r="B375" i="36"/>
  <c r="B374" i="36"/>
  <c r="B373" i="36"/>
  <c r="B372" i="36"/>
  <c r="B371" i="36"/>
  <c r="B370" i="36"/>
  <c r="B369" i="36"/>
  <c r="B368" i="36"/>
  <c r="B367" i="36"/>
  <c r="B366" i="36"/>
  <c r="B365" i="36"/>
  <c r="B364" i="36"/>
  <c r="B363" i="36"/>
  <c r="B362" i="36"/>
  <c r="B361" i="36"/>
  <c r="B360" i="36"/>
  <c r="B359" i="36"/>
  <c r="B358" i="36"/>
  <c r="B357" i="36"/>
  <c r="B356" i="36"/>
  <c r="B355" i="36"/>
  <c r="B354" i="36"/>
  <c r="B353" i="36"/>
  <c r="B352" i="36"/>
  <c r="B351" i="36"/>
  <c r="B350" i="36"/>
  <c r="B349" i="36"/>
  <c r="B348" i="36"/>
  <c r="B347" i="36"/>
  <c r="B346" i="36"/>
  <c r="B345" i="36"/>
  <c r="B344" i="36"/>
  <c r="B343" i="36"/>
  <c r="B342" i="36"/>
  <c r="B341" i="36"/>
  <c r="B340" i="36"/>
  <c r="B339" i="36"/>
  <c r="B338" i="36"/>
  <c r="B337" i="36"/>
  <c r="B336" i="36"/>
  <c r="B335" i="36"/>
  <c r="B334" i="36"/>
  <c r="B333" i="36"/>
  <c r="B332" i="36"/>
  <c r="B331" i="36"/>
  <c r="B330" i="36"/>
  <c r="B329" i="36"/>
  <c r="B328" i="36"/>
  <c r="B327" i="36"/>
  <c r="B326" i="36"/>
  <c r="B325" i="36"/>
  <c r="B324" i="36"/>
  <c r="B323" i="36"/>
  <c r="B322" i="36"/>
  <c r="B321" i="36"/>
  <c r="B320" i="36"/>
  <c r="B319" i="36"/>
  <c r="B318" i="36"/>
  <c r="B317" i="36"/>
  <c r="B316" i="36"/>
  <c r="B315" i="36"/>
  <c r="B314" i="36"/>
  <c r="B313" i="36"/>
  <c r="B312" i="36"/>
  <c r="B311" i="36"/>
  <c r="B310" i="36"/>
  <c r="B309" i="36"/>
  <c r="B308" i="36"/>
  <c r="B307" i="36"/>
  <c r="B306" i="36"/>
  <c r="B305" i="36"/>
  <c r="B304" i="36"/>
  <c r="B303" i="36"/>
  <c r="B302" i="36"/>
  <c r="B301" i="36"/>
  <c r="B300" i="36"/>
  <c r="B299" i="36"/>
  <c r="B298" i="36"/>
  <c r="B297" i="36"/>
  <c r="B296" i="36"/>
  <c r="B295" i="36"/>
  <c r="B294" i="36"/>
  <c r="B293" i="36"/>
  <c r="B292" i="36"/>
  <c r="B291" i="36"/>
  <c r="B290" i="36"/>
  <c r="B289" i="36"/>
  <c r="B288" i="36"/>
  <c r="B287" i="36"/>
  <c r="B286" i="36"/>
  <c r="B285" i="36"/>
  <c r="B284" i="36"/>
  <c r="B283" i="36"/>
  <c r="B282" i="36"/>
  <c r="B281" i="36"/>
  <c r="B280" i="36"/>
  <c r="B279" i="36"/>
  <c r="B278" i="36"/>
  <c r="B277" i="36"/>
  <c r="B276" i="36"/>
  <c r="B275" i="36"/>
  <c r="B274" i="36"/>
  <c r="B273" i="36"/>
  <c r="B272" i="36"/>
  <c r="B271" i="36"/>
  <c r="B270" i="36"/>
  <c r="B269" i="36"/>
  <c r="B268" i="36"/>
  <c r="B267" i="36"/>
  <c r="B266" i="36"/>
  <c r="B265" i="36"/>
  <c r="B264" i="36"/>
  <c r="B263" i="36"/>
  <c r="B262" i="36"/>
  <c r="B261" i="36"/>
  <c r="B260" i="36"/>
  <c r="B259" i="36"/>
  <c r="B258" i="36"/>
  <c r="B257" i="36"/>
  <c r="B256" i="36"/>
  <c r="B255" i="36"/>
  <c r="B254" i="36"/>
  <c r="B253" i="36"/>
  <c r="B252" i="36"/>
  <c r="B251" i="36"/>
  <c r="B250" i="36"/>
  <c r="B249" i="36"/>
  <c r="B248" i="36"/>
  <c r="B247" i="36"/>
  <c r="B246" i="36"/>
  <c r="B245" i="36"/>
  <c r="B244" i="36"/>
  <c r="B243" i="36"/>
  <c r="B242" i="36"/>
  <c r="B241" i="36"/>
  <c r="B240" i="36"/>
  <c r="B239" i="36"/>
  <c r="B238" i="36"/>
  <c r="B237" i="36"/>
  <c r="B236" i="36"/>
  <c r="B235" i="36"/>
  <c r="B234" i="36"/>
  <c r="B233" i="36"/>
  <c r="B232" i="36"/>
  <c r="B231" i="36"/>
  <c r="B230" i="36"/>
  <c r="B229" i="36"/>
  <c r="B228" i="36"/>
  <c r="B227" i="36"/>
  <c r="B226" i="36"/>
  <c r="B225" i="36"/>
  <c r="B224" i="36"/>
  <c r="B223" i="36"/>
  <c r="B222" i="36"/>
  <c r="B221" i="36"/>
  <c r="B220" i="36"/>
  <c r="B219" i="36"/>
  <c r="B218" i="36"/>
  <c r="B217" i="36"/>
  <c r="B216" i="36"/>
  <c r="B215" i="36"/>
  <c r="B214" i="36"/>
  <c r="B213" i="36"/>
  <c r="B212" i="36"/>
  <c r="B211" i="36"/>
  <c r="B210" i="36"/>
  <c r="B209" i="36"/>
  <c r="B208" i="36"/>
  <c r="B207" i="36"/>
  <c r="B206" i="36"/>
  <c r="B205" i="36"/>
  <c r="B204" i="36"/>
  <c r="B203" i="36"/>
  <c r="B202" i="36"/>
  <c r="B201" i="36"/>
  <c r="B200" i="36"/>
  <c r="B199" i="36"/>
  <c r="B198" i="36"/>
  <c r="B197" i="36"/>
  <c r="B196" i="36"/>
  <c r="B195" i="36"/>
  <c r="B194" i="36"/>
  <c r="B193" i="36"/>
  <c r="B192" i="36"/>
  <c r="B191" i="36"/>
  <c r="B190" i="36"/>
  <c r="B189" i="36"/>
  <c r="B188" i="36"/>
  <c r="B187" i="36"/>
  <c r="B186" i="36"/>
  <c r="B185" i="36"/>
  <c r="B184" i="36"/>
  <c r="B183" i="36"/>
  <c r="B182" i="36"/>
  <c r="B181" i="36"/>
  <c r="B180" i="36"/>
  <c r="B179" i="36"/>
  <c r="B178" i="36"/>
  <c r="B177" i="36"/>
  <c r="B176" i="36"/>
  <c r="B175" i="36"/>
  <c r="B174" i="36"/>
  <c r="B173" i="36"/>
  <c r="B172" i="36"/>
  <c r="B171" i="36"/>
  <c r="B170" i="36"/>
  <c r="B169" i="36"/>
  <c r="B168" i="36"/>
  <c r="B167" i="36"/>
  <c r="B166" i="36"/>
  <c r="B165" i="36"/>
  <c r="B164" i="36"/>
  <c r="B163" i="36"/>
  <c r="B162" i="36"/>
  <c r="B161" i="36"/>
  <c r="B160" i="36"/>
  <c r="B159" i="36"/>
  <c r="B158" i="36"/>
  <c r="B157" i="36"/>
  <c r="B156" i="36"/>
  <c r="B155" i="36"/>
  <c r="B154" i="36"/>
  <c r="B153" i="36"/>
  <c r="B152" i="36"/>
  <c r="B151" i="36"/>
  <c r="B150" i="36"/>
  <c r="B149" i="36"/>
  <c r="B148" i="36"/>
  <c r="B147" i="36"/>
  <c r="B146" i="36"/>
  <c r="B145" i="36"/>
  <c r="B144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D16" i="36"/>
  <c r="M15" i="36"/>
  <c r="L15" i="36"/>
  <c r="K15" i="36"/>
  <c r="J15" i="36"/>
  <c r="H15" i="36"/>
  <c r="G15" i="36"/>
  <c r="E15" i="36"/>
  <c r="M14" i="36"/>
  <c r="L14" i="36"/>
  <c r="K14" i="36"/>
  <c r="J14" i="36"/>
  <c r="H14" i="36"/>
  <c r="G14" i="36"/>
  <c r="F14" i="36"/>
  <c r="E14" i="36"/>
  <c r="M13" i="36"/>
  <c r="L13" i="36"/>
  <c r="K13" i="36"/>
  <c r="J13" i="36"/>
  <c r="H13" i="36"/>
  <c r="G13" i="36"/>
  <c r="F13" i="36"/>
  <c r="E13" i="36"/>
  <c r="M12" i="36"/>
  <c r="L12" i="36"/>
  <c r="K12" i="36"/>
  <c r="J12" i="36"/>
  <c r="H12" i="36"/>
  <c r="G12" i="36"/>
  <c r="F12" i="36"/>
  <c r="E12" i="36"/>
  <c r="M11" i="36"/>
  <c r="L11" i="36"/>
  <c r="K11" i="36"/>
  <c r="J11" i="36"/>
  <c r="H11" i="36"/>
  <c r="G11" i="36"/>
  <c r="F11" i="36"/>
  <c r="E11" i="36"/>
  <c r="M10" i="36"/>
  <c r="L10" i="36"/>
  <c r="K10" i="36"/>
  <c r="J10" i="36"/>
  <c r="H10" i="36"/>
  <c r="G10" i="36"/>
  <c r="F10" i="36"/>
  <c r="E10" i="36"/>
  <c r="M9" i="36"/>
  <c r="L9" i="36"/>
  <c r="K9" i="36"/>
  <c r="J9" i="36"/>
  <c r="H9" i="36"/>
  <c r="G9" i="36"/>
  <c r="F9" i="36"/>
  <c r="E9" i="36"/>
  <c r="M8" i="36"/>
  <c r="L8" i="36"/>
  <c r="K8" i="36"/>
  <c r="J8" i="36"/>
  <c r="H8" i="36"/>
  <c r="G8" i="36"/>
  <c r="F8" i="36"/>
  <c r="E8" i="36"/>
  <c r="M7" i="36"/>
  <c r="L7" i="36"/>
  <c r="K7" i="36"/>
  <c r="J7" i="36"/>
  <c r="H7" i="36"/>
  <c r="G7" i="36"/>
  <c r="F7" i="36"/>
  <c r="E7" i="36"/>
  <c r="M6" i="36"/>
  <c r="L6" i="36"/>
  <c r="K6" i="36"/>
  <c r="J6" i="36"/>
  <c r="H6" i="36"/>
  <c r="G6" i="36"/>
  <c r="F6" i="36"/>
  <c r="E6" i="36"/>
  <c r="M5" i="36"/>
  <c r="L5" i="36"/>
  <c r="K5" i="36"/>
  <c r="J5" i="36"/>
  <c r="H5" i="36"/>
  <c r="G5" i="36"/>
  <c r="F5" i="36"/>
  <c r="E5" i="36"/>
  <c r="M7" i="61" l="1"/>
  <c r="J6" i="61"/>
  <c r="I8" i="54"/>
  <c r="O8" i="18"/>
  <c r="O12" i="18"/>
  <c r="I11" i="54"/>
  <c r="I16" i="38"/>
  <c r="O5" i="38"/>
  <c r="O15" i="38"/>
  <c r="O7" i="38"/>
  <c r="O13" i="38"/>
  <c r="O7" i="35"/>
  <c r="O9" i="35"/>
  <c r="O11" i="37"/>
  <c r="O6" i="38"/>
  <c r="I16" i="35"/>
  <c r="O11" i="35"/>
  <c r="O12" i="38"/>
  <c r="O14" i="38"/>
  <c r="O15" i="18"/>
  <c r="I15" i="54"/>
  <c r="N16" i="35"/>
  <c r="O13" i="35"/>
  <c r="I14" i="54"/>
  <c r="O14" i="18"/>
  <c r="O14" i="54" s="1"/>
  <c r="N16" i="18"/>
  <c r="O13" i="18"/>
  <c r="I13" i="54"/>
  <c r="O5" i="18"/>
  <c r="K16" i="54"/>
  <c r="N15" i="54"/>
  <c r="O14" i="37"/>
  <c r="N13" i="54"/>
  <c r="M16" i="54"/>
  <c r="O10" i="35"/>
  <c r="H16" i="18"/>
  <c r="H16" i="54" s="1"/>
  <c r="J10" i="54"/>
  <c r="E16" i="18"/>
  <c r="E16" i="54" s="1"/>
  <c r="N5" i="38"/>
  <c r="N5" i="54" s="1"/>
  <c r="G5" i="54"/>
  <c r="G13" i="54"/>
  <c r="L6" i="54"/>
  <c r="L10" i="54"/>
  <c r="L14" i="54"/>
  <c r="I10" i="18"/>
  <c r="N11" i="18"/>
  <c r="N11" i="54" s="1"/>
  <c r="G16" i="18"/>
  <c r="G16" i="54" s="1"/>
  <c r="G16" i="38"/>
  <c r="E12" i="54"/>
  <c r="B1" i="65"/>
  <c r="F5" i="63"/>
  <c r="N10" i="37"/>
  <c r="N16" i="37" s="1"/>
  <c r="I12" i="37"/>
  <c r="O12" i="37" s="1"/>
  <c r="K5" i="54"/>
  <c r="K9" i="54"/>
  <c r="J13" i="61"/>
  <c r="J29" i="61"/>
  <c r="J45" i="61"/>
  <c r="J61" i="61"/>
  <c r="J16" i="18"/>
  <c r="J16" i="54" s="1"/>
  <c r="B1" i="66"/>
  <c r="N12" i="35"/>
  <c r="N12" i="54" s="1"/>
  <c r="F8" i="54"/>
  <c r="I6" i="18"/>
  <c r="I16" i="18" s="1"/>
  <c r="N7" i="18"/>
  <c r="N7" i="54" s="1"/>
  <c r="M5" i="54"/>
  <c r="E11" i="54"/>
  <c r="E15" i="54"/>
  <c r="F16" i="36"/>
  <c r="I9" i="18"/>
  <c r="L16" i="18"/>
  <c r="L16" i="54" s="1"/>
  <c r="O5" i="35"/>
  <c r="N8" i="35"/>
  <c r="O8" i="35" s="1"/>
  <c r="I5" i="37"/>
  <c r="I5" i="54" s="1"/>
  <c r="L16" i="38"/>
  <c r="N16" i="38" s="1"/>
  <c r="J12" i="54"/>
  <c r="A14" i="66"/>
  <c r="E14" i="54"/>
  <c r="J11" i="61"/>
  <c r="J27" i="61"/>
  <c r="J43" i="61"/>
  <c r="J59" i="61"/>
  <c r="B1" i="64"/>
  <c r="J15" i="54"/>
  <c r="I6" i="36"/>
  <c r="N6" i="36"/>
  <c r="I7" i="36"/>
  <c r="N7" i="36"/>
  <c r="I8" i="36"/>
  <c r="N8" i="36"/>
  <c r="I9" i="36"/>
  <c r="N9" i="36"/>
  <c r="I10" i="36"/>
  <c r="N10" i="36"/>
  <c r="I11" i="36"/>
  <c r="N11" i="36"/>
  <c r="I12" i="36"/>
  <c r="N12" i="36"/>
  <c r="I13" i="36"/>
  <c r="N13" i="36"/>
  <c r="I14" i="36"/>
  <c r="N14" i="36"/>
  <c r="E16" i="36"/>
  <c r="J16" i="36"/>
  <c r="G16" i="36"/>
  <c r="M16" i="36"/>
  <c r="K16" i="36"/>
  <c r="L16" i="36"/>
  <c r="I15" i="36"/>
  <c r="H16" i="36"/>
  <c r="N15" i="36"/>
  <c r="I5" i="36"/>
  <c r="N5" i="36"/>
  <c r="O12" i="35" l="1"/>
  <c r="O10" i="37"/>
  <c r="N10" i="54"/>
  <c r="I10" i="54"/>
  <c r="O10" i="18"/>
  <c r="O10" i="54" s="1"/>
  <c r="O16" i="38"/>
  <c r="O5" i="37"/>
  <c r="O16" i="37" s="1"/>
  <c r="I16" i="37"/>
  <c r="I16" i="54" s="1"/>
  <c r="O11" i="18"/>
  <c r="O11" i="54" s="1"/>
  <c r="O5" i="54"/>
  <c r="I12" i="54"/>
  <c r="N16" i="54"/>
  <c r="O15" i="54"/>
  <c r="O16" i="35"/>
  <c r="N8" i="54"/>
  <c r="O12" i="54"/>
  <c r="I6" i="54"/>
  <c r="O6" i="18"/>
  <c r="O6" i="54" s="1"/>
  <c r="O9" i="18"/>
  <c r="O9" i="54" s="1"/>
  <c r="I9" i="54"/>
  <c r="O13" i="54"/>
  <c r="O8" i="54"/>
  <c r="O7" i="18"/>
  <c r="O7" i="54" s="1"/>
  <c r="O14" i="36"/>
  <c r="O12" i="36"/>
  <c r="O10" i="36"/>
  <c r="O8" i="36"/>
  <c r="O6" i="36"/>
  <c r="O13" i="36"/>
  <c r="O11" i="36"/>
  <c r="O7" i="36"/>
  <c r="O9" i="36"/>
  <c r="O15" i="36"/>
  <c r="N16" i="36"/>
  <c r="O5" i="36"/>
  <c r="I16" i="36"/>
  <c r="O16" i="18" l="1"/>
  <c r="O16" i="54" s="1"/>
  <c r="O16" i="36"/>
</calcChain>
</file>

<file path=xl/sharedStrings.xml><?xml version="1.0" encoding="utf-8"?>
<sst xmlns="http://schemas.openxmlformats.org/spreadsheetml/2006/main" count="6526" uniqueCount="263">
  <si>
    <t>MOVIMENTAÇÃO FAZENDA SÃO FRANCISCO</t>
  </si>
  <si>
    <t>COMPRA</t>
  </si>
  <si>
    <t>ENTRADAS</t>
  </si>
  <si>
    <t>SAIDAS</t>
  </si>
  <si>
    <t>POSIÇÃO</t>
  </si>
  <si>
    <t>NASC.</t>
  </si>
  <si>
    <t>TRANSF. E</t>
  </si>
  <si>
    <t>CATEGORIAS</t>
  </si>
  <si>
    <t>SALDO ANTERIOR</t>
  </si>
  <si>
    <t>EVOLUÇ</t>
  </si>
  <si>
    <t>TOTAL</t>
  </si>
  <si>
    <t>ABATE</t>
  </si>
  <si>
    <t>MORTE</t>
  </si>
  <si>
    <t>VENDA</t>
  </si>
  <si>
    <t>TRANSF. S</t>
  </si>
  <si>
    <t>FINAL</t>
  </si>
  <si>
    <t>Femeas + 36 meses</t>
  </si>
  <si>
    <t>Femeas 25 a 36 meses</t>
  </si>
  <si>
    <t>Femeas 13 a 24 meses</t>
  </si>
  <si>
    <t>Femeas Desm. até 12m</t>
  </si>
  <si>
    <t>Bezerras Mamando</t>
  </si>
  <si>
    <t>Bezerros Mamando</t>
  </si>
  <si>
    <t>Machos Desm. até 12m</t>
  </si>
  <si>
    <t>ANIMAIS ABAIXO DE 8 @</t>
  </si>
  <si>
    <t>Machos 13 a 24 meses</t>
  </si>
  <si>
    <t>ANIMAIS DE 8 A 12 @</t>
  </si>
  <si>
    <t>Machos 25 a 36 meses</t>
  </si>
  <si>
    <t>ANIMAIS ACIMA DE 12 @</t>
  </si>
  <si>
    <t>Touros</t>
  </si>
  <si>
    <t>TROPA</t>
  </si>
  <si>
    <t>MOVIMENTAÇÕES DE BOVINOS</t>
  </si>
  <si>
    <t>DATA</t>
  </si>
  <si>
    <t>MÊS</t>
  </si>
  <si>
    <t>CATEGORIA</t>
  </si>
  <si>
    <t>TIPO</t>
  </si>
  <si>
    <t>QUANTIDADE</t>
  </si>
  <si>
    <t>SAIDA</t>
  </si>
  <si>
    <t>DESTINO</t>
  </si>
  <si>
    <t>PESO TOTAL</t>
  </si>
  <si>
    <t>PESO MÉDIO</t>
  </si>
  <si>
    <t>COPERFRIGU</t>
  </si>
  <si>
    <t>ENTREGA COMPRA</t>
  </si>
  <si>
    <t>CANTINA</t>
  </si>
  <si>
    <t>SÃO FRANCISCO</t>
  </si>
  <si>
    <t>MOVIMENTAÇÃO FAZENDA GOIANO</t>
  </si>
  <si>
    <t>-</t>
  </si>
  <si>
    <t>GOIANO</t>
  </si>
  <si>
    <t>MOVIMENTAÇÃO FAZENDA BAIXÃO</t>
  </si>
  <si>
    <t>MOVIMENTAÇÃO FAZENDA MORADA DO BOI</t>
  </si>
  <si>
    <t xml:space="preserve"> </t>
  </si>
  <si>
    <t>MOVIMENTAÇÃO FAZENDA SÃO JOSE DO GROTÃO</t>
  </si>
  <si>
    <t>MOVIMENTAÇÃO GERAL DO REBANHO</t>
  </si>
  <si>
    <t>TROPAS</t>
  </si>
  <si>
    <t>QUANT.</t>
  </si>
  <si>
    <t>NOVILHAS / BOIS</t>
  </si>
  <si>
    <t>VALOR TOTAL DA COMPRA</t>
  </si>
  <si>
    <t>MÉDIA / CAB</t>
  </si>
  <si>
    <t>FAZENDA</t>
  </si>
  <si>
    <t>PARCERIA</t>
  </si>
  <si>
    <t>ANO</t>
  </si>
  <si>
    <t>SAFRA</t>
  </si>
  <si>
    <t>FRETE</t>
  </si>
  <si>
    <t>COMISSÃO</t>
  </si>
  <si>
    <t>OBSERVAÇÕES</t>
  </si>
  <si>
    <t>IMPOSTOS</t>
  </si>
  <si>
    <t>OBSERVAÇÕES 2</t>
  </si>
  <si>
    <t>BEZERROS</t>
  </si>
  <si>
    <t>JULHO</t>
  </si>
  <si>
    <t>2025/2026</t>
  </si>
  <si>
    <t>JANEIRO</t>
  </si>
  <si>
    <t>AGOSTO</t>
  </si>
  <si>
    <t>FEVEREIRO</t>
  </si>
  <si>
    <t>MARÇO</t>
  </si>
  <si>
    <t>ABRIL</t>
  </si>
  <si>
    <t>MAIO</t>
  </si>
  <si>
    <t>JUNHO</t>
  </si>
  <si>
    <t>SETEMBRO</t>
  </si>
  <si>
    <t>OUTUBRO</t>
  </si>
  <si>
    <t>NOVEMBRO</t>
  </si>
  <si>
    <t>DEZEMBRO</t>
  </si>
  <si>
    <t>LISTA SUSPENSA</t>
  </si>
  <si>
    <t>PAGADOR</t>
  </si>
  <si>
    <t>ITEM</t>
  </si>
  <si>
    <t>VALOR TOTAL</t>
  </si>
  <si>
    <t>SUB CENTRO</t>
  </si>
  <si>
    <t>CENTRO DE CUSTO</t>
  </si>
  <si>
    <t>CLASSE</t>
  </si>
  <si>
    <t>ONODA</t>
  </si>
  <si>
    <t>SALÁRIO ALDEMAR</t>
  </si>
  <si>
    <t>FUNCIONARIO</t>
  </si>
  <si>
    <t>CUSTEIO</t>
  </si>
  <si>
    <t>SALÁRIO PRETO</t>
  </si>
  <si>
    <t>SALÁRIO WALDINEY</t>
  </si>
  <si>
    <t>SALÁRIO ZÉ</t>
  </si>
  <si>
    <t>SALÁRIO NILVAN</t>
  </si>
  <si>
    <t xml:space="preserve">COMPRA DE MANTIMENTOS </t>
  </si>
  <si>
    <t>CONSERTO TRATOR AZUL</t>
  </si>
  <si>
    <t>PARQUE DE MÁQUINAS</t>
  </si>
  <si>
    <t>POSTO TIGRAO</t>
  </si>
  <si>
    <t xml:space="preserve">AUTO PEÇAS </t>
  </si>
  <si>
    <t>MERCADO ALFREDO</t>
  </si>
  <si>
    <t>COMISSÃO CORRETOR</t>
  </si>
  <si>
    <t xml:space="preserve">HERBICIDA </t>
  </si>
  <si>
    <t>PASTAGEM</t>
  </si>
  <si>
    <t>FÉRIAS ALDEMAAR</t>
  </si>
  <si>
    <t>DESPESA GADO</t>
  </si>
  <si>
    <t>VACINAS</t>
  </si>
  <si>
    <t>SANIDADE</t>
  </si>
  <si>
    <t>RETIRADA SÓCIA CAMILA</t>
  </si>
  <si>
    <t>FGTS</t>
  </si>
  <si>
    <t>IR</t>
  </si>
  <si>
    <t>IMPOSTO E TAXAS</t>
  </si>
  <si>
    <t>CAMARA MONITORAMENTO</t>
  </si>
  <si>
    <t>INFRAESTRUTURA</t>
  </si>
  <si>
    <t>INVESTIMENTOS</t>
  </si>
  <si>
    <t>VISITA ORÇAMENTO</t>
  </si>
  <si>
    <t>FÉRIAS WALDINEY</t>
  </si>
  <si>
    <t>ENCOMENDA ONIBUS</t>
  </si>
  <si>
    <t>OUTROS</t>
  </si>
  <si>
    <t xml:space="preserve">CONTADOR </t>
  </si>
  <si>
    <t>JUNIOR TRATORISTA</t>
  </si>
  <si>
    <t>CONSERTO AR CONDICIONADO</t>
  </si>
  <si>
    <t>CONSULTORIA</t>
  </si>
  <si>
    <t>FÉRIAS PRETO</t>
  </si>
  <si>
    <t>COMPRA MILHO</t>
  </si>
  <si>
    <t>NUTRIÇÃO PROTEINADO</t>
  </si>
  <si>
    <t>NUTRIÇÃO</t>
  </si>
  <si>
    <t>DESPESA VIAGEM FAZENDA</t>
  </si>
  <si>
    <t>COMPRA PEÇAS PALMAS</t>
  </si>
  <si>
    <t>CONSERTO E PEÇAS TRATOR</t>
  </si>
  <si>
    <t>OLEO DIESEL</t>
  </si>
  <si>
    <t>TRATOR ESTEIRA JUNIOR</t>
  </si>
  <si>
    <t xml:space="preserve">DESPESA VIAGEM CAMILA </t>
  </si>
  <si>
    <t>CONSERTO APARELHO DE CHOQUE</t>
  </si>
  <si>
    <t>GASOLINA + DIESEL</t>
  </si>
  <si>
    <t>GÁS</t>
  </si>
  <si>
    <t xml:space="preserve">SALÁRIO FUNCIONÁRIOS </t>
  </si>
  <si>
    <t>TOCANTINS BORRACHAS</t>
  </si>
  <si>
    <t>FERPAM</t>
  </si>
  <si>
    <t>CONSERTO BOMBA TRATOR</t>
  </si>
  <si>
    <t>NUTRIÇÃO SAL MINERAL</t>
  </si>
  <si>
    <t>MAQCAMPO PEÇAS TRATOR</t>
  </si>
  <si>
    <t>SALARIO DOS FUNCIONÁRIOS</t>
  </si>
  <si>
    <t>FERIAS DO PRETO</t>
  </si>
  <si>
    <t>DIFERENÇA ACERTO FÉRIAS PRETO</t>
  </si>
  <si>
    <t>SERVIÇOS V EXTRA</t>
  </si>
  <si>
    <t>ESTACIONAMENTO  EM PALMAS</t>
  </si>
  <si>
    <t>RETIFICA DA BOMBA DO TRATOR</t>
  </si>
  <si>
    <t>CONSERTO DA MOTO</t>
  </si>
  <si>
    <t>03 BOLAS DE ARAMES</t>
  </si>
  <si>
    <t>PASSAGEM DE DE AVIÃO</t>
  </si>
  <si>
    <t>IMPOSTO RECEITA FEDERAL</t>
  </si>
  <si>
    <t>06 BOLAS DE ARAME</t>
  </si>
  <si>
    <t>PEÇA PARA GRADE</t>
  </si>
  <si>
    <t>AGROVET</t>
  </si>
  <si>
    <t xml:space="preserve"> NUTRIÇÃO SAL MINERAL</t>
  </si>
  <si>
    <t>REVISÃO PROGRAMA</t>
  </si>
  <si>
    <t>ANALISE DE SOLO</t>
  </si>
  <si>
    <t>BATERIA PARA MOTO</t>
  </si>
  <si>
    <t>MATERIAL DE CONSTRUÇÃO</t>
  </si>
  <si>
    <t>MATSUDA SEMENTES</t>
  </si>
  <si>
    <t>TRATOR FERTIL OLEO</t>
  </si>
  <si>
    <t>CONSERTO MOTO</t>
  </si>
  <si>
    <t>CONSERTO DE MOTO J</t>
  </si>
  <si>
    <t>HOME CENTER CONSTRUÇÃO</t>
  </si>
  <si>
    <t>VITORIA AUTOPEÇAS</t>
  </si>
  <si>
    <t>CALTINS CALCARIO</t>
  </si>
  <si>
    <t>OLEO DIESEL + GASOLINA</t>
  </si>
  <si>
    <t>10 BOLAS DE ARAME</t>
  </si>
  <si>
    <t xml:space="preserve">MANGUEIRA TRATOS </t>
  </si>
  <si>
    <t>MATSUDA SEMENTES MILHETO</t>
  </si>
  <si>
    <t>FRETE CALCARIO</t>
  </si>
  <si>
    <t>CARGIRL NUTRIÇÃO</t>
  </si>
  <si>
    <t>EUROCHEM ADUBO</t>
  </si>
  <si>
    <t xml:space="preserve">SALARIO DOS FUNCIONÁRIOS </t>
  </si>
  <si>
    <t>MERCADO MANOEL CARNES</t>
  </si>
  <si>
    <t>TORNEADORA</t>
  </si>
  <si>
    <t>WILLIAN MECANICO</t>
  </si>
  <si>
    <t>RETIFICA DA BOMBA INJETORA</t>
  </si>
  <si>
    <t>COMPRAS AJJAI</t>
  </si>
  <si>
    <t>VULCANIZAÇÃO TRATOR</t>
  </si>
  <si>
    <t>CONSERTO AR CONDICIONADO TRATOR</t>
  </si>
  <si>
    <t>BALANSEG. CONSULTORIA</t>
  </si>
  <si>
    <t>AR CONDICIONADO VALE</t>
  </si>
  <si>
    <t>AR CONDICIONADO IMPLEMENTO</t>
  </si>
  <si>
    <t>PEÇAS PARA TRATOR</t>
  </si>
  <si>
    <t>FRETE 40 BEZERROS</t>
  </si>
  <si>
    <t>TIPO DE VENDA</t>
  </si>
  <si>
    <t>ANIMAIS</t>
  </si>
  <si>
    <t>CARCAÇA TOTAL</t>
  </si>
  <si>
    <t>CARCAÇA MÉDIA</t>
  </si>
  <si>
    <t>RENDIMENTO %</t>
  </si>
  <si>
    <t>VALOR CABEÇA</t>
  </si>
  <si>
    <t>VALOR POR @</t>
  </si>
  <si>
    <t>COMPRADOR</t>
  </si>
  <si>
    <t>FORMA</t>
  </si>
  <si>
    <t>SOMA RENDIMENTO</t>
  </si>
  <si>
    <t>STATUS</t>
  </si>
  <si>
    <t>MACHOS 25 - 36</t>
  </si>
  <si>
    <t>SÃO FRANCISCO II</t>
  </si>
  <si>
    <t>VENDAS DE BOVINOS</t>
  </si>
  <si>
    <t>Soma de ANIMAIS</t>
  </si>
  <si>
    <t>Soma de VALOR TOTAL</t>
  </si>
  <si>
    <t>Rótulos de Linha</t>
  </si>
  <si>
    <t>QUANTIDADE DE ANIMAIS VENDIDOS</t>
  </si>
  <si>
    <t>VALOR TOTAL EM VENDAS</t>
  </si>
  <si>
    <t>Total Geral</t>
  </si>
  <si>
    <t>COMPRAS DE BOVINOS</t>
  </si>
  <si>
    <t>Soma de QUANT.</t>
  </si>
  <si>
    <t>Soma de VALOR TOTAL DA COMPRA</t>
  </si>
  <si>
    <t>Média de MÉDIA / CAB</t>
  </si>
  <si>
    <t>QUANTIDADE DE ANIMAIS COMPRADOS</t>
  </si>
  <si>
    <t>VALOR TOTAL EM COMPRAS</t>
  </si>
  <si>
    <t>FINANCEIRO</t>
  </si>
  <si>
    <t>Sum of VALOR TOTAL</t>
  </si>
  <si>
    <t>VALOR TOTAL DE DESPESAS</t>
  </si>
  <si>
    <t>(vazio)</t>
  </si>
  <si>
    <t>CAIXA</t>
  </si>
  <si>
    <t>(Vários itens)</t>
  </si>
  <si>
    <t>Sum of VALOR TOTAL DA COMPRA</t>
  </si>
  <si>
    <t>RECEITAS VENDAS DE BOVINOS</t>
  </si>
  <si>
    <t>DESPESAS E CUSTEIO</t>
  </si>
  <si>
    <t>COMPRAS A PRAZO BOVINOS</t>
  </si>
  <si>
    <t>COMPRAS A VISTA BOVINOS</t>
  </si>
  <si>
    <t>VALOR CALCULADO EM CAIXA</t>
  </si>
  <si>
    <t>QUANTIDADE DE ANIMAIS JÁ OBTIDOS</t>
  </si>
  <si>
    <t>VALOR TOTAL ADF</t>
  </si>
  <si>
    <t>ANIMAIS  CONCLUÍDAS / PENDENTES</t>
  </si>
  <si>
    <t>PESO BRUTO</t>
  </si>
  <si>
    <t>MÉDIA @</t>
  </si>
  <si>
    <t>VALOR TOTAL PAGO</t>
  </si>
  <si>
    <t>MÉDIA R$ CAB</t>
  </si>
  <si>
    <t>TOTAL @ PAGA</t>
  </si>
  <si>
    <t>CUSTO @ FINAL</t>
  </si>
  <si>
    <t>PAGO</t>
  </si>
  <si>
    <t>CONCLUIDA</t>
  </si>
  <si>
    <t>PENDENTE</t>
  </si>
  <si>
    <t>ANIMAIS JÁ OBTIDO</t>
  </si>
  <si>
    <t>ADF JÁ PAGO</t>
  </si>
  <si>
    <t>VIAGENS CONCLUÍDAS / PENDENTES</t>
  </si>
  <si>
    <t>MÉD. @</t>
  </si>
  <si>
    <t>M/F</t>
  </si>
  <si>
    <t>VALOR PAGO</t>
  </si>
  <si>
    <t xml:space="preserve">CUSTO @ </t>
  </si>
  <si>
    <t>@</t>
  </si>
  <si>
    <t>VALOR</t>
  </si>
  <si>
    <t>BRINCO</t>
  </si>
  <si>
    <t>PESO</t>
  </si>
  <si>
    <t>MOVIMENTAÇÃO</t>
  </si>
  <si>
    <t xml:space="preserve">     DATA</t>
  </si>
  <si>
    <t xml:space="preserve">  BRINCO</t>
  </si>
  <si>
    <t xml:space="preserve">    PESO</t>
  </si>
  <si>
    <t xml:space="preserve">   DATA</t>
  </si>
  <si>
    <t xml:space="preserve">  PESO</t>
  </si>
  <si>
    <t xml:space="preserve"> MOVIMENTAÇÃO</t>
  </si>
  <si>
    <t>CONFERENCIA</t>
  </si>
  <si>
    <t>VACINA COFERENCIA</t>
  </si>
  <si>
    <t>SB</t>
  </si>
  <si>
    <t>BURRO</t>
  </si>
  <si>
    <t>CAVALO</t>
  </si>
  <si>
    <t>VACA</t>
  </si>
  <si>
    <t>COMPRA GOIANO</t>
  </si>
  <si>
    <t>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</si>
</sst>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Abadi"/>
      <family val="2"/>
    </font>
    <font>
      <b/>
      <u/>
      <sz val="14"/>
      <color theme="1"/>
      <name val="Calibri"/>
      <family val="2"/>
      <scheme val="minor"/>
    </font>
    <font>
      <sz val="12"/>
      <color rgb="FF000000"/>
      <name val="Abadi"/>
      <family val="2"/>
    </font>
    <font>
      <b/>
      <u/>
      <sz val="48"/>
      <color theme="0"/>
      <name val="Calibri"/>
      <family val="2"/>
      <scheme val="minor"/>
    </font>
    <font>
      <sz val="26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sz val="28"/>
      <name val="Calibri"/>
      <family val="2"/>
      <scheme val="minor"/>
    </font>
    <font>
      <b/>
      <u/>
      <sz val="20"/>
      <name val="Calibri"/>
      <family val="2"/>
      <scheme val="minor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b/>
      <sz val="48"/>
      <name val="Arial Black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F9F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9" tint="0.79995117038483843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4"/>
      </right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2" fillId="0" borderId="0"/>
  </cellStyleXfs>
  <cellXfs count="30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2" borderId="3" xfId="0" applyFont="1" applyFill="1" applyBorder="1"/>
    <xf numFmtId="0" fontId="5" fillId="2" borderId="0" xfId="0" applyFont="1" applyFill="1"/>
    <xf numFmtId="0" fontId="0" fillId="2" borderId="7" xfId="0" applyFill="1" applyBorder="1"/>
    <xf numFmtId="0" fontId="0" fillId="2" borderId="8" xfId="0" applyFill="1" applyBorder="1"/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3" xfId="0" applyFill="1" applyBorder="1"/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2" borderId="12" xfId="0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2" fillId="0" borderId="0" xfId="0" applyFont="1" applyAlignment="1">
      <alignment vertical="center"/>
    </xf>
    <xf numFmtId="14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/>
    <xf numFmtId="0" fontId="0" fillId="0" borderId="9" xfId="0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vertical="center"/>
    </xf>
    <xf numFmtId="4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10" fontId="0" fillId="0" borderId="9" xfId="3" applyNumberFormat="1" applyFont="1" applyBorder="1" applyAlignment="1">
      <alignment horizontal="center" vertical="center" wrapText="1"/>
    </xf>
    <xf numFmtId="44" fontId="0" fillId="0" borderId="9" xfId="2" applyFont="1" applyBorder="1" applyAlignment="1">
      <alignment horizontal="center" vertical="center" wrapText="1"/>
    </xf>
    <xf numFmtId="44" fontId="0" fillId="0" borderId="9" xfId="0" applyNumberFormat="1" applyBorder="1" applyAlignment="1">
      <alignment horizontal="center" vertical="center" wrapText="1"/>
    </xf>
    <xf numFmtId="10" fontId="0" fillId="0" borderId="15" xfId="3" applyNumberFormat="1" applyFont="1" applyBorder="1" applyAlignment="1">
      <alignment horizontal="center" vertical="center" wrapText="1"/>
    </xf>
    <xf numFmtId="44" fontId="0" fillId="0" borderId="15" xfId="2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9" fontId="0" fillId="0" borderId="9" xfId="3" applyFont="1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5" xfId="3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44" fontId="0" fillId="0" borderId="9" xfId="2" applyFont="1" applyFill="1" applyBorder="1" applyAlignment="1">
      <alignment horizontal="center"/>
    </xf>
    <xf numFmtId="44" fontId="0" fillId="0" borderId="15" xfId="2" applyFont="1" applyFill="1" applyBorder="1" applyAlignment="1">
      <alignment horizontal="center"/>
    </xf>
    <xf numFmtId="44" fontId="0" fillId="0" borderId="9" xfId="2" applyFont="1" applyBorder="1" applyAlignment="1">
      <alignment horizontal="center"/>
    </xf>
    <xf numFmtId="44" fontId="0" fillId="0" borderId="15" xfId="2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44" fontId="0" fillId="0" borderId="0" xfId="2" applyFont="1"/>
    <xf numFmtId="0" fontId="0" fillId="5" borderId="15" xfId="0" applyFill="1" applyBorder="1" applyAlignment="1">
      <alignment horizontal="center"/>
    </xf>
    <xf numFmtId="14" fontId="0" fillId="6" borderId="15" xfId="0" applyNumberForma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44" fontId="0" fillId="6" borderId="15" xfId="2" applyFont="1" applyFill="1" applyBorder="1" applyAlignment="1">
      <alignment horizontal="center"/>
    </xf>
    <xf numFmtId="14" fontId="0" fillId="5" borderId="15" xfId="0" applyNumberFormat="1" applyFill="1" applyBorder="1" applyAlignment="1">
      <alignment horizontal="center"/>
    </xf>
    <xf numFmtId="44" fontId="0" fillId="5" borderId="15" xfId="2" applyFont="1" applyFill="1" applyBorder="1" applyAlignment="1">
      <alignment horizontal="center"/>
    </xf>
    <xf numFmtId="44" fontId="0" fillId="0" borderId="0" xfId="2" applyFont="1" applyAlignment="1">
      <alignment horizontal="center"/>
    </xf>
    <xf numFmtId="44" fontId="0" fillId="0" borderId="19" xfId="2" applyFon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0" fontId="15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4" fontId="16" fillId="0" borderId="0" xfId="2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right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0" fillId="0" borderId="0" xfId="0" applyNumberFormat="1"/>
    <xf numFmtId="164" fontId="15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1" applyNumberFormat="1" applyFont="1" applyFill="1" applyAlignment="1" applyProtection="1">
      <alignment horizontal="left" vertical="center"/>
    </xf>
    <xf numFmtId="0" fontId="23" fillId="2" borderId="0" xfId="1" applyNumberFormat="1" applyFont="1" applyFill="1" applyAlignment="1">
      <alignment horizontal="left" vertical="center"/>
    </xf>
    <xf numFmtId="0" fontId="23" fillId="7" borderId="26" xfId="0" applyFont="1" applyFill="1" applyBorder="1" applyAlignment="1">
      <alignment horizontal="center" vertical="center"/>
    </xf>
    <xf numFmtId="0" fontId="23" fillId="0" borderId="26" xfId="0" applyFont="1" applyBorder="1" applyAlignment="1">
      <alignment horizontal="left" vertical="center"/>
    </xf>
    <xf numFmtId="0" fontId="23" fillId="0" borderId="27" xfId="0" applyFont="1" applyBorder="1" applyAlignment="1">
      <alignment horizontal="left" vertical="center"/>
    </xf>
    <xf numFmtId="0" fontId="23" fillId="0" borderId="28" xfId="0" applyFont="1" applyBorder="1" applyAlignment="1">
      <alignment vertical="center"/>
    </xf>
    <xf numFmtId="3" fontId="23" fillId="7" borderId="29" xfId="1" applyNumberFormat="1" applyFont="1" applyFill="1" applyBorder="1" applyAlignment="1" applyProtection="1">
      <alignment horizontal="center" vertical="center"/>
      <protection locked="0"/>
    </xf>
    <xf numFmtId="0" fontId="23" fillId="0" borderId="30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31" xfId="0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0" fontId="23" fillId="0" borderId="32" xfId="0" applyFont="1" applyBorder="1" applyAlignment="1">
      <alignment vertical="center"/>
    </xf>
    <xf numFmtId="0" fontId="24" fillId="8" borderId="26" xfId="0" applyFont="1" applyFill="1" applyBorder="1" applyAlignment="1">
      <alignment horizontal="left" vertical="center"/>
    </xf>
    <xf numFmtId="0" fontId="24" fillId="8" borderId="14" xfId="0" applyFont="1" applyFill="1" applyBorder="1" applyAlignment="1">
      <alignment horizontal="left" vertical="center"/>
    </xf>
    <xf numFmtId="0" fontId="24" fillId="8" borderId="32" xfId="0" applyFont="1" applyFill="1" applyBorder="1" applyAlignment="1">
      <alignment horizontal="center" vertical="center"/>
    </xf>
    <xf numFmtId="3" fontId="23" fillId="8" borderId="30" xfId="1" applyNumberFormat="1" applyFont="1" applyFill="1" applyBorder="1" applyAlignment="1" applyProtection="1">
      <alignment horizontal="center" vertical="center"/>
      <protection locked="0"/>
    </xf>
    <xf numFmtId="3" fontId="23" fillId="8" borderId="33" xfId="1" applyNumberFormat="1" applyFont="1" applyFill="1" applyBorder="1" applyAlignment="1" applyProtection="1">
      <alignment horizontal="center" vertical="center"/>
      <protection locked="0"/>
    </xf>
    <xf numFmtId="0" fontId="25" fillId="10" borderId="34" xfId="0" applyFont="1" applyFill="1" applyBorder="1" applyAlignment="1">
      <alignment horizontal="center" vertical="center"/>
    </xf>
    <xf numFmtId="0" fontId="25" fillId="10" borderId="37" xfId="0" applyFont="1" applyFill="1" applyBorder="1" applyAlignment="1">
      <alignment vertical="center"/>
    </xf>
    <xf numFmtId="0" fontId="23" fillId="9" borderId="26" xfId="0" applyFont="1" applyFill="1" applyBorder="1" applyAlignment="1">
      <alignment horizontal="center" vertical="center"/>
    </xf>
    <xf numFmtId="0" fontId="25" fillId="10" borderId="38" xfId="0" applyFont="1" applyFill="1" applyBorder="1" applyAlignment="1">
      <alignment horizontal="center" vertical="center"/>
    </xf>
    <xf numFmtId="3" fontId="23" fillId="9" borderId="30" xfId="1" applyNumberFormat="1" applyFont="1" applyFill="1" applyBorder="1" applyAlignment="1" applyProtection="1">
      <alignment horizontal="center" vertical="center"/>
      <protection locked="0"/>
    </xf>
    <xf numFmtId="3" fontId="26" fillId="10" borderId="30" xfId="1" applyNumberFormat="1" applyFont="1" applyFill="1" applyBorder="1" applyAlignment="1" applyProtection="1">
      <alignment horizontal="center" vertical="center"/>
      <protection locked="0"/>
    </xf>
    <xf numFmtId="0" fontId="0" fillId="11" borderId="0" xfId="0" applyFill="1"/>
    <xf numFmtId="0" fontId="28" fillId="0" borderId="0" xfId="0" applyFont="1" applyAlignment="1">
      <alignment vertical="center"/>
    </xf>
    <xf numFmtId="0" fontId="28" fillId="0" borderId="0" xfId="1" applyNumberFormat="1" applyFont="1" applyFill="1" applyAlignment="1" applyProtection="1">
      <alignment horizontal="left" vertical="center"/>
    </xf>
    <xf numFmtId="0" fontId="28" fillId="0" borderId="0" xfId="1" applyNumberFormat="1" applyFont="1" applyFill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39" xfId="0" applyFont="1" applyBorder="1" applyAlignment="1">
      <alignment horizontal="left" vertical="center"/>
    </xf>
    <xf numFmtId="0" fontId="28" fillId="0" borderId="40" xfId="0" applyFont="1" applyBorder="1" applyAlignment="1">
      <alignment horizontal="left" vertical="center"/>
    </xf>
    <xf numFmtId="0" fontId="28" fillId="0" borderId="41" xfId="0" applyFont="1" applyBorder="1" applyAlignment="1">
      <alignment vertical="center"/>
    </xf>
    <xf numFmtId="0" fontId="28" fillId="0" borderId="29" xfId="1" applyNumberFormat="1" applyFont="1" applyFill="1" applyBorder="1" applyAlignment="1" applyProtection="1">
      <alignment horizontal="center" vertical="center"/>
      <protection locked="0"/>
    </xf>
    <xf numFmtId="0" fontId="28" fillId="0" borderId="42" xfId="1" applyNumberFormat="1" applyFont="1" applyFill="1" applyBorder="1" applyAlignment="1" applyProtection="1">
      <alignment horizontal="center" vertical="center"/>
      <protection locked="0"/>
    </xf>
    <xf numFmtId="0" fontId="28" fillId="0" borderId="43" xfId="0" applyFont="1" applyBorder="1" applyAlignment="1">
      <alignment horizontal="left" vertical="center"/>
    </xf>
    <xf numFmtId="0" fontId="28" fillId="0" borderId="44" xfId="0" applyFont="1" applyBorder="1" applyAlignment="1">
      <alignment horizontal="left" vertical="center"/>
    </xf>
    <xf numFmtId="0" fontId="28" fillId="0" borderId="45" xfId="0" applyFont="1" applyBorder="1" applyAlignment="1">
      <alignment vertical="center"/>
    </xf>
    <xf numFmtId="0" fontId="28" fillId="0" borderId="46" xfId="0" applyFont="1" applyBorder="1" applyAlignment="1">
      <alignment horizontal="left" vertical="center"/>
    </xf>
    <xf numFmtId="0" fontId="28" fillId="0" borderId="47" xfId="0" applyFont="1" applyBorder="1" applyAlignment="1">
      <alignment horizontal="left" vertical="center"/>
    </xf>
    <xf numFmtId="0" fontId="28" fillId="0" borderId="30" xfId="1" applyNumberFormat="1" applyFont="1" applyFill="1" applyBorder="1" applyAlignment="1" applyProtection="1">
      <alignment horizontal="center" vertical="center"/>
      <protection locked="0"/>
    </xf>
    <xf numFmtId="0" fontId="28" fillId="0" borderId="48" xfId="0" applyFont="1" applyBorder="1" applyAlignment="1">
      <alignment vertical="center"/>
    </xf>
    <xf numFmtId="0" fontId="28" fillId="0" borderId="49" xfId="0" applyFont="1" applyBorder="1" applyAlignment="1">
      <alignment horizontal="left" vertical="center"/>
    </xf>
    <xf numFmtId="0" fontId="28" fillId="0" borderId="50" xfId="0" applyFont="1" applyBorder="1" applyAlignment="1">
      <alignment horizontal="left" vertical="center"/>
    </xf>
    <xf numFmtId="0" fontId="28" fillId="0" borderId="51" xfId="0" applyFont="1" applyBorder="1" applyAlignment="1">
      <alignment vertical="center"/>
    </xf>
    <xf numFmtId="0" fontId="28" fillId="0" borderId="52" xfId="1" applyNumberFormat="1" applyFont="1" applyFill="1" applyBorder="1" applyAlignment="1" applyProtection="1">
      <alignment horizontal="center" vertical="center"/>
      <protection locked="0"/>
    </xf>
    <xf numFmtId="0" fontId="28" fillId="0" borderId="53" xfId="1" applyNumberFormat="1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left" vertical="center"/>
    </xf>
    <xf numFmtId="0" fontId="29" fillId="12" borderId="54" xfId="0" applyFont="1" applyFill="1" applyBorder="1" applyAlignment="1">
      <alignment horizontal="left" vertical="center"/>
    </xf>
    <xf numFmtId="0" fontId="29" fillId="12" borderId="55" xfId="0" applyFont="1" applyFill="1" applyBorder="1" applyAlignment="1">
      <alignment horizontal="left" vertical="center"/>
    </xf>
    <xf numFmtId="0" fontId="29" fillId="12" borderId="55" xfId="0" applyFont="1" applyFill="1" applyBorder="1" applyAlignment="1">
      <alignment horizontal="center" vertical="center"/>
    </xf>
    <xf numFmtId="0" fontId="29" fillId="12" borderId="56" xfId="1" applyNumberFormat="1" applyFont="1" applyFill="1" applyBorder="1" applyAlignment="1" applyProtection="1">
      <alignment horizontal="center" vertical="center"/>
    </xf>
    <xf numFmtId="0" fontId="13" fillId="5" borderId="0" xfId="0" applyFont="1" applyFill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14" borderId="16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30" fillId="0" borderId="26" xfId="0" applyFont="1" applyBorder="1" applyAlignment="1">
      <alignment horizontal="center" vertical="center"/>
    </xf>
    <xf numFmtId="0" fontId="29" fillId="13" borderId="34" xfId="0" applyFont="1" applyFill="1" applyBorder="1" applyAlignment="1">
      <alignment horizontal="center" vertical="center"/>
    </xf>
    <xf numFmtId="0" fontId="29" fillId="13" borderId="37" xfId="0" applyFont="1" applyFill="1" applyBorder="1" applyAlignment="1">
      <alignment vertical="center"/>
    </xf>
    <xf numFmtId="0" fontId="29" fillId="13" borderId="38" xfId="0" applyFont="1" applyFill="1" applyBorder="1" applyAlignment="1">
      <alignment horizontal="center" vertical="center"/>
    </xf>
    <xf numFmtId="0" fontId="28" fillId="0" borderId="59" xfId="1" applyNumberFormat="1" applyFont="1" applyFill="1" applyBorder="1" applyAlignment="1" applyProtection="1">
      <alignment horizontal="center" vertical="center"/>
      <protection locked="0"/>
    </xf>
    <xf numFmtId="0" fontId="28" fillId="0" borderId="47" xfId="1" applyNumberFormat="1" applyFont="1" applyFill="1" applyBorder="1" applyAlignment="1" applyProtection="1">
      <alignment horizontal="center" vertical="center"/>
      <protection locked="0"/>
    </xf>
    <xf numFmtId="0" fontId="28" fillId="13" borderId="60" xfId="1" applyNumberFormat="1" applyFont="1" applyFill="1" applyBorder="1" applyAlignment="1" applyProtection="1">
      <alignment horizontal="center" vertical="center"/>
    </xf>
    <xf numFmtId="0" fontId="28" fillId="0" borderId="34" xfId="1" applyNumberFormat="1" applyFont="1" applyFill="1" applyBorder="1" applyAlignment="1" applyProtection="1">
      <alignment horizontal="center" vertical="center"/>
      <protection locked="0"/>
    </xf>
    <xf numFmtId="0" fontId="28" fillId="0" borderId="61" xfId="1" applyNumberFormat="1" applyFont="1" applyFill="1" applyBorder="1" applyAlignment="1" applyProtection="1">
      <alignment horizontal="center" vertical="center"/>
      <protection locked="0"/>
    </xf>
    <xf numFmtId="0" fontId="28" fillId="0" borderId="35" xfId="1" applyNumberFormat="1" applyFont="1" applyFill="1" applyBorder="1" applyAlignment="1" applyProtection="1">
      <alignment horizontal="center" vertical="center"/>
      <protection locked="0"/>
    </xf>
    <xf numFmtId="0" fontId="28" fillId="13" borderId="30" xfId="1" applyNumberFormat="1" applyFont="1" applyFill="1" applyBorder="1" applyAlignment="1" applyProtection="1">
      <alignment horizontal="center" vertical="center"/>
    </xf>
    <xf numFmtId="0" fontId="29" fillId="13" borderId="56" xfId="1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/>
    </xf>
    <xf numFmtId="164" fontId="9" fillId="5" borderId="0" xfId="0" applyNumberFormat="1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5" borderId="0" xfId="2" applyNumberFormat="1" applyFont="1" applyFill="1" applyBorder="1" applyAlignment="1">
      <alignment horizontal="center" vertical="center"/>
    </xf>
    <xf numFmtId="44" fontId="0" fillId="5" borderId="0" xfId="2" applyFont="1" applyFill="1" applyBorder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164" fontId="0" fillId="0" borderId="0" xfId="2" applyNumberFormat="1" applyFont="1" applyBorder="1" applyAlignment="1">
      <alignment horizontal="center" vertical="center"/>
    </xf>
    <xf numFmtId="44" fontId="0" fillId="0" borderId="0" xfId="2" applyFont="1" applyBorder="1" applyAlignment="1">
      <alignment horizontal="center"/>
    </xf>
    <xf numFmtId="0" fontId="0" fillId="5" borderId="0" xfId="0" applyFill="1"/>
    <xf numFmtId="0" fontId="9" fillId="0" borderId="0" xfId="0" applyFont="1"/>
    <xf numFmtId="164" fontId="9" fillId="0" borderId="0" xfId="0" applyNumberFormat="1" applyFont="1" applyAlignment="1">
      <alignment vertical="center"/>
    </xf>
    <xf numFmtId="164" fontId="0" fillId="0" borderId="0" xfId="2" applyNumberFormat="1" applyFont="1" applyAlignment="1">
      <alignment horizontal="center" vertical="center"/>
    </xf>
    <xf numFmtId="0" fontId="28" fillId="8" borderId="29" xfId="1" applyNumberFormat="1" applyFont="1" applyFill="1" applyBorder="1" applyAlignment="1" applyProtection="1">
      <alignment horizontal="center" vertical="center"/>
      <protection locked="0"/>
    </xf>
    <xf numFmtId="0" fontId="28" fillId="8" borderId="30" xfId="1" applyNumberFormat="1" applyFont="1" applyFill="1" applyBorder="1" applyAlignment="1" applyProtection="1">
      <alignment horizontal="center" vertical="center"/>
      <protection locked="0"/>
    </xf>
    <xf numFmtId="0" fontId="28" fillId="8" borderId="52" xfId="1" applyNumberFormat="1" applyFont="1" applyFill="1" applyBorder="1" applyAlignment="1" applyProtection="1">
      <alignment horizontal="center" vertical="center"/>
      <protection locked="0"/>
    </xf>
    <xf numFmtId="0" fontId="29" fillId="8" borderId="56" xfId="1" applyNumberFormat="1" applyFont="1" applyFill="1" applyBorder="1" applyAlignment="1" applyProtection="1">
      <alignment horizontal="center" vertical="center"/>
    </xf>
    <xf numFmtId="0" fontId="28" fillId="13" borderId="34" xfId="1" applyNumberFormat="1" applyFont="1" applyFill="1" applyBorder="1" applyAlignment="1" applyProtection="1">
      <alignment horizontal="center" vertical="center"/>
    </xf>
    <xf numFmtId="0" fontId="29" fillId="8" borderId="63" xfId="1" applyNumberFormat="1" applyFont="1" applyFill="1" applyBorder="1" applyAlignment="1" applyProtection="1">
      <alignment horizontal="center" vertical="center"/>
    </xf>
    <xf numFmtId="0" fontId="28" fillId="0" borderId="13" xfId="0" applyFont="1" applyBorder="1" applyAlignment="1">
      <alignment horizontal="left" vertical="center"/>
    </xf>
    <xf numFmtId="0" fontId="28" fillId="0" borderId="64" xfId="0" applyFont="1" applyBorder="1" applyAlignment="1">
      <alignment vertical="center"/>
    </xf>
    <xf numFmtId="0" fontId="28" fillId="0" borderId="27" xfId="0" applyFont="1" applyBorder="1" applyAlignment="1">
      <alignment horizontal="left" vertical="center"/>
    </xf>
    <xf numFmtId="0" fontId="28" fillId="0" borderId="28" xfId="0" applyFont="1" applyBorder="1" applyAlignment="1">
      <alignment vertical="center"/>
    </xf>
    <xf numFmtId="0" fontId="29" fillId="12" borderId="65" xfId="0" applyFont="1" applyFill="1" applyBorder="1" applyAlignment="1">
      <alignment horizontal="left" vertical="center"/>
    </xf>
    <xf numFmtId="0" fontId="29" fillId="12" borderId="65" xfId="0" applyFont="1" applyFill="1" applyBorder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0" fillId="15" borderId="0" xfId="0" applyFill="1"/>
    <xf numFmtId="0" fontId="2" fillId="5" borderId="0" xfId="0" applyFont="1" applyFill="1"/>
    <xf numFmtId="0" fontId="34" fillId="0" borderId="0" xfId="0" applyFont="1" applyAlignment="1">
      <alignment horizontal="center" vertical="center"/>
    </xf>
    <xf numFmtId="14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center"/>
    </xf>
    <xf numFmtId="164" fontId="35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4" fontId="39" fillId="0" borderId="0" xfId="2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31" fillId="5" borderId="66" xfId="0" applyFont="1" applyFill="1" applyBorder="1" applyAlignment="1">
      <alignment horizontal="center" vertical="center"/>
    </xf>
    <xf numFmtId="0" fontId="31" fillId="5" borderId="13" xfId="0" applyFont="1" applyFill="1" applyBorder="1" applyAlignment="1">
      <alignment horizontal="center" vertical="center"/>
    </xf>
    <xf numFmtId="0" fontId="31" fillId="5" borderId="57" xfId="0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13" fillId="13" borderId="62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13" fillId="13" borderId="57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4" fillId="7" borderId="23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0" fontId="24" fillId="7" borderId="31" xfId="0" applyFont="1" applyFill="1" applyBorder="1" applyAlignment="1">
      <alignment horizontal="center" vertical="center"/>
    </xf>
    <xf numFmtId="0" fontId="24" fillId="7" borderId="25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0" fontId="24" fillId="7" borderId="32" xfId="0" applyFont="1" applyFill="1" applyBorder="1" applyAlignment="1">
      <alignment horizontal="center" vertical="center"/>
    </xf>
    <xf numFmtId="0" fontId="24" fillId="9" borderId="23" xfId="0" applyFont="1" applyFill="1" applyBorder="1" applyAlignment="1">
      <alignment horizontal="center" vertical="center"/>
    </xf>
    <xf numFmtId="0" fontId="24" fillId="9" borderId="24" xfId="0" applyFont="1" applyFill="1" applyBorder="1" applyAlignment="1">
      <alignment horizontal="center" vertical="center"/>
    </xf>
    <xf numFmtId="0" fontId="24" fillId="9" borderId="31" xfId="0" applyFont="1" applyFill="1" applyBorder="1" applyAlignment="1">
      <alignment horizontal="center" vertical="center"/>
    </xf>
    <xf numFmtId="0" fontId="24" fillId="9" borderId="35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4" fillId="9" borderId="36" xfId="0" applyFont="1" applyFill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3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4" fontId="11" fillId="0" borderId="1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5">
    <cellStyle name="Moeda" xfId="2" builtinId="4"/>
    <cellStyle name="Normal" xfId="0" builtinId="0"/>
    <cellStyle name="Normal 2" xfId="4" xr:uid="{00000000-0005-0000-0000-000031000000}"/>
    <cellStyle name="Porcentagem" xfId="3" builtinId="5"/>
    <cellStyle name="Vírgula" xfId="1" builtinId="3"/>
  </cellStyles>
  <dxfs count="136"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numFmt numFmtId="0" formatCode="General"/>
      <fill>
        <patternFill patternType="solid">
          <bgColor rgb="FFFFC0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-&quot;R$&quot;\ * #,##0.00_-;\-&quot;R$&quot;\ * #,##0.00_-;_-&quot;R$&quot;\ * &quot;-&quot;??_-;_-@_-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-&quot;R$&quot;\ * #,##0.00_-;\-&quot;R$&quot;\ * #,##0.00_-;_-&quot;R$&quot;\ * &quot;-&quot;??_-;_-@_-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4" formatCode="0.00%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numFmt numFmtId="2" formatCode="0.00"/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alignment horizontal="center"/>
    </dxf>
    <dxf>
      <font>
        <strike val="0"/>
        <u val="none"/>
        <sz val="14"/>
        <color theme="1"/>
        <name val="Calibri"/>
        <family val="2"/>
        <scheme val="none"/>
      </font>
      <numFmt numFmtId="19" formatCode="dd/mm/yyyy"/>
      <alignment horizontal="center"/>
    </dxf>
    <dxf>
      <alignment horizontal="center"/>
    </dxf>
    <dxf>
      <numFmt numFmtId="19" formatCode="dd/mm/yyyy"/>
      <alignment horizontal="center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alignment horizontal="center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2" formatCode="0.00"/>
      <alignment horizontal="center"/>
    </dxf>
    <dxf>
      <font>
        <b/>
      </font>
    </dxf>
    <dxf>
      <numFmt numFmtId="19" formatCode="dd/mm/yyyy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alignment horizontal="center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2" formatCode="0.00"/>
      <alignment horizontal="center"/>
    </dxf>
    <dxf>
      <font>
        <b/>
      </font>
    </dxf>
    <dxf>
      <numFmt numFmtId="19" formatCode="dd/mm/yyyy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alignment horizontal="center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2" formatCode="0.00"/>
      <alignment horizontal="center"/>
    </dxf>
    <dxf>
      <font>
        <b/>
      </font>
    </dxf>
    <dxf>
      <numFmt numFmtId="19" formatCode="dd/mm/yyyy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alignment horizontal="center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2" formatCode="0.00"/>
      <alignment horizontal="center"/>
    </dxf>
    <dxf>
      <font>
        <b/>
        <i val="0"/>
        <strike val="0"/>
        <u val="none"/>
        <sz val="11"/>
        <color theme="1"/>
        <name val="Calibri"/>
        <family val="2"/>
        <scheme val="none"/>
      </font>
    </dxf>
    <dxf>
      <numFmt numFmtId="19" formatCode="dd/mm/yyyy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2" formatCode="0.00"/>
      <alignment horizontal="center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2" formatCode="0.00"/>
      <alignment horizontal="center"/>
    </dxf>
    <dxf>
      <font>
        <b/>
      </font>
    </dxf>
    <dxf>
      <numFmt numFmtId="19" formatCode="dd/mm/yyyy"/>
    </dxf>
  </dxfs>
  <tableStyles count="1" defaultTableStyle="TableStyleMedium2" defaultPivotStyle="PivotStyleLight16">
    <tableStyle name="Estilo de Tabela 1" pivot="0" count="0" xr9:uid="{E788BCA0-FE3E-433E-BF68-614D7C53FEDF}"/>
  </tableStyles>
  <colors>
    <mruColors>
      <color rgb="FFFFCF9F"/>
      <color rgb="FFFFBA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PASTO PADRÃO SÃO FRANSCICO - SAFRA 25-26 atual (1) (2).xlsx]DASH VENDAS!Tabela dinâmica8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8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FORMATO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8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pt-BR"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 VENDAS'!$P$3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VENDAS'!$O$4:$O$5</c:f>
              <c:strCache>
                <c:ptCount val="1"/>
                <c:pt idx="0">
                  <c:v>ABATE</c:v>
                </c:pt>
              </c:strCache>
            </c:strRef>
          </c:cat>
          <c:val>
            <c:numRef>
              <c:f>'DASH VENDAS'!$P$4:$P$5</c:f>
              <c:numCache>
                <c:formatCode>General</c:formatCode>
                <c:ptCount val="1"/>
                <c:pt idx="0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8-4284-99C3-AE9940C004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045325087"/>
        <c:axId val="1003451535"/>
      </c:barChart>
      <c:catAx>
        <c:axId val="10453250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3451535"/>
        <c:crosses val="autoZero"/>
        <c:auto val="1"/>
        <c:lblAlgn val="ctr"/>
        <c:lblOffset val="100"/>
        <c:noMultiLvlLbl val="0"/>
      </c:catAx>
      <c:valAx>
        <c:axId val="1003451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532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a9cafb-4a2f-4d2e-a7ec-2d786eedea8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 sz="1400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PASTO PADRÃO SÃO FRANSCICO - SAFRA 25-26 atual (1) (2).xlsx]DASH VENDAS!Tabela dinâmica9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92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</a:t>
            </a:r>
            <a:r>
              <a:rPr lang="en-US" baseline="0"/>
              <a:t>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92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pt-BR"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VENDAS'!$S$3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VENDAS'!$R$4:$R$5</c:f>
              <c:strCache>
                <c:ptCount val="1"/>
                <c:pt idx="0">
                  <c:v>MACHOS 25 - 36</c:v>
                </c:pt>
              </c:strCache>
            </c:strRef>
          </c:cat>
          <c:val>
            <c:numRef>
              <c:f>'DASH VENDAS'!$S$4:$S$5</c:f>
              <c:numCache>
                <c:formatCode>General</c:formatCode>
                <c:ptCount val="1"/>
                <c:pt idx="0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1-4ED7-A94B-DA2640D3CB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000349503"/>
        <c:axId val="864103199"/>
      </c:barChart>
      <c:catAx>
        <c:axId val="10003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6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4103199"/>
        <c:crosses val="autoZero"/>
        <c:auto val="1"/>
        <c:lblAlgn val="ctr"/>
        <c:lblOffset val="100"/>
        <c:noMultiLvlLbl val="0"/>
      </c:catAx>
      <c:valAx>
        <c:axId val="8641031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034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ecaed2-487f-4c85-8e10-dceeb636e863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 sz="1600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PASTO PADRÃO SÃO FRANSCICO - SAFRA 25-26 atual (1) (2).xlsx]DASH VENDAS!Tabela dinâmica10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92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</a:t>
            </a:r>
            <a:r>
              <a:rPr lang="en-US" baseline="0"/>
              <a:t> MENSAL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92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pt-BR"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VENDAS'!$V$3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VENDAS'!$U$4:$U$7</c:f>
              <c:strCache>
                <c:ptCount val="3"/>
                <c:pt idx="0">
                  <c:v>AGOSTO</c:v>
                </c:pt>
                <c:pt idx="1">
                  <c:v>MARÇO</c:v>
                </c:pt>
                <c:pt idx="2">
                  <c:v>ABRIL</c:v>
                </c:pt>
              </c:strCache>
            </c:strRef>
          </c:cat>
          <c:val>
            <c:numRef>
              <c:f>'DASH VENDAS'!$V$4:$V$7</c:f>
              <c:numCache>
                <c:formatCode>General</c:formatCode>
                <c:ptCount val="3"/>
                <c:pt idx="0">
                  <c:v>84</c:v>
                </c:pt>
                <c:pt idx="1">
                  <c:v>189</c:v>
                </c:pt>
                <c:pt idx="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B-441D-8289-47308077F6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054854831"/>
        <c:axId val="1003466927"/>
      </c:barChart>
      <c:catAx>
        <c:axId val="105485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6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3466927"/>
        <c:crosses val="autoZero"/>
        <c:auto val="1"/>
        <c:lblAlgn val="ctr"/>
        <c:lblOffset val="100"/>
        <c:noMultiLvlLbl val="0"/>
      </c:catAx>
      <c:valAx>
        <c:axId val="10034669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485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cd1000-db3f-48c0-900c-42c8b3e4bc7c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 sz="1600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PASTO PADRÃO SÃO FRANSCICO - SAFRA 25-26 atual (1) (2).xlsx]DASH COMPRAS!Tabela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8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8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pt-BR"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 COMPRAS'!$P$3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COMPRAS'!$O$4:$O$5</c:f>
              <c:strCache>
                <c:ptCount val="1"/>
                <c:pt idx="0">
                  <c:v>BEZERROS</c:v>
                </c:pt>
              </c:strCache>
            </c:strRef>
          </c:cat>
          <c:val>
            <c:numRef>
              <c:f>'DASH COMPRAS'!$P$4:$P$5</c:f>
              <c:numCache>
                <c:formatCode>General</c:formatCode>
                <c:ptCount val="1"/>
                <c:pt idx="0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B-4D3E-A7C5-9FEF24DEC8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270144975"/>
        <c:axId val="645916127"/>
      </c:barChart>
      <c:catAx>
        <c:axId val="2701449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4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5916127"/>
        <c:crosses val="autoZero"/>
        <c:auto val="1"/>
        <c:lblAlgn val="ctr"/>
        <c:lblOffset val="100"/>
        <c:noMultiLvlLbl val="0"/>
      </c:catAx>
      <c:valAx>
        <c:axId val="645916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014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927f41-54eb-43ce-ba41-4a0e772c6386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 sz="1400" b="1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PASTO PADRÃO SÃO FRANSCICO - SAFRA 25-26 atual (1) (2).xlsx]DASH COMPRAS!Tabela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4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</a:t>
            </a:r>
            <a:r>
              <a:rPr lang="en-US" baseline="0"/>
              <a:t> MÉDIO DE COMPRA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4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pt-BR"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 COMPRAS'!$S$3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COMPRAS'!$R$4:$R$5</c:f>
              <c:strCache>
                <c:ptCount val="1"/>
                <c:pt idx="0">
                  <c:v>BEZERROS</c:v>
                </c:pt>
              </c:strCache>
            </c:strRef>
          </c:cat>
          <c:val>
            <c:numRef>
              <c:f>'DASH COMPRAS'!$S$4:$S$5</c:f>
              <c:numCache>
                <c:formatCode>"R$"\ #,##0.00</c:formatCode>
                <c:ptCount val="1"/>
                <c:pt idx="0">
                  <c:v>2547.1300854700853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5-4E11-8084-65079AE4FA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07402271"/>
        <c:axId val="601297663"/>
      </c:barChart>
      <c:catAx>
        <c:axId val="607402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1297663"/>
        <c:crosses val="autoZero"/>
        <c:auto val="1"/>
        <c:lblAlgn val="ctr"/>
        <c:lblOffset val="100"/>
        <c:noMultiLvlLbl val="0"/>
      </c:catAx>
      <c:valAx>
        <c:axId val="601297663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60740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1baae8-e6a1-4cd8-8469-1409edae1341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 sz="1200" b="1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PASTO PADRÃO SÃO FRANSCICO - SAFRA 25-26 atual (1) (2).xlsx]DASH COMPRAS!Tabela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92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COMPRAS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92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pt-BR"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COMPRAS'!$V$3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COMPRAS'!$U$4:$U$11</c:f>
              <c:strCache>
                <c:ptCount val="7"/>
                <c:pt idx="0">
                  <c:v>JULHO</c:v>
                </c:pt>
                <c:pt idx="1">
                  <c:v>AGOSTO</c:v>
                </c:pt>
                <c:pt idx="2">
                  <c:v>OUTUBRO</c:v>
                </c:pt>
                <c:pt idx="3">
                  <c:v>NOVEMBRO</c:v>
                </c:pt>
                <c:pt idx="4">
                  <c:v>DEZEMBRO</c:v>
                </c:pt>
                <c:pt idx="5">
                  <c:v>MARÇO</c:v>
                </c:pt>
                <c:pt idx="6">
                  <c:v>ABRIL</c:v>
                </c:pt>
              </c:strCache>
            </c:strRef>
          </c:cat>
          <c:val>
            <c:numRef>
              <c:f>'DASH COMPRAS'!$V$4:$V$11</c:f>
              <c:numCache>
                <c:formatCode>General</c:formatCode>
                <c:ptCount val="7"/>
                <c:pt idx="0">
                  <c:v>96</c:v>
                </c:pt>
                <c:pt idx="1">
                  <c:v>40</c:v>
                </c:pt>
                <c:pt idx="2">
                  <c:v>54</c:v>
                </c:pt>
                <c:pt idx="3">
                  <c:v>190</c:v>
                </c:pt>
                <c:pt idx="4">
                  <c:v>174</c:v>
                </c:pt>
                <c:pt idx="5">
                  <c:v>6</c:v>
                </c:pt>
                <c:pt idx="6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5-48FE-A913-C9E2E07F0C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211782015"/>
        <c:axId val="645910303"/>
      </c:barChart>
      <c:catAx>
        <c:axId val="21178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6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5910303"/>
        <c:crosses val="autoZero"/>
        <c:auto val="1"/>
        <c:lblAlgn val="ctr"/>
        <c:lblOffset val="100"/>
        <c:noMultiLvlLbl val="0"/>
      </c:catAx>
      <c:valAx>
        <c:axId val="6459103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78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2fb474-44b7-42c7-bfb0-46f790e79ab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 sz="1600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PASTO PADRÃO SÃO FRANSCICO - SAFRA 25-26 atual (1) (2).xlsx]DASH FINANCEIRO!PivotTable2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32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CENTRO DE CUSTO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32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pt-BR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FINANCEIRO'!$M$3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pt-BR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FINANCEIRO'!$L$4:$L$16</c:f>
              <c:strCache>
                <c:ptCount val="12"/>
                <c:pt idx="0">
                  <c:v>PASTAGEM</c:v>
                </c:pt>
                <c:pt idx="1">
                  <c:v>SANIDADE</c:v>
                </c:pt>
                <c:pt idx="2">
                  <c:v>FUNCIONARIO</c:v>
                </c:pt>
                <c:pt idx="3">
                  <c:v>(vazio)</c:v>
                </c:pt>
                <c:pt idx="4">
                  <c:v>PARQUE DE MÁQUINAS</c:v>
                </c:pt>
                <c:pt idx="5">
                  <c:v>COMISSÃO</c:v>
                </c:pt>
                <c:pt idx="6">
                  <c:v>IMPOSTO E TAXAS</c:v>
                </c:pt>
                <c:pt idx="7">
                  <c:v>OUTROS</c:v>
                </c:pt>
                <c:pt idx="8">
                  <c:v>INFRAESTRUTURA</c:v>
                </c:pt>
                <c:pt idx="9">
                  <c:v>DESPESA GADO</c:v>
                </c:pt>
                <c:pt idx="10">
                  <c:v>NUTRIÇÃO</c:v>
                </c:pt>
                <c:pt idx="11">
                  <c:v>FERPAM</c:v>
                </c:pt>
              </c:strCache>
            </c:strRef>
          </c:cat>
          <c:val>
            <c:numRef>
              <c:f>'DASH FINANCEIRO'!$M$4:$M$16</c:f>
              <c:numCache>
                <c:formatCode>"R$"\ #,##0.00</c:formatCode>
                <c:ptCount val="12"/>
                <c:pt idx="0">
                  <c:v>142323</c:v>
                </c:pt>
                <c:pt idx="1">
                  <c:v>11348.9</c:v>
                </c:pt>
                <c:pt idx="2">
                  <c:v>172593.33999999997</c:v>
                </c:pt>
                <c:pt idx="3">
                  <c:v>411132.63999999996</c:v>
                </c:pt>
                <c:pt idx="4">
                  <c:v>109794.93</c:v>
                </c:pt>
                <c:pt idx="5">
                  <c:v>2866.5</c:v>
                </c:pt>
                <c:pt idx="6">
                  <c:v>6330.77</c:v>
                </c:pt>
                <c:pt idx="7">
                  <c:v>5262</c:v>
                </c:pt>
                <c:pt idx="8">
                  <c:v>27740.19</c:v>
                </c:pt>
                <c:pt idx="9">
                  <c:v>20776.5</c:v>
                </c:pt>
                <c:pt idx="10">
                  <c:v>136099.99</c:v>
                </c:pt>
                <c:pt idx="11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6-4134-B215-BC04AF8F4F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381452800"/>
        <c:axId val="1381462400"/>
      </c:barChart>
      <c:catAx>
        <c:axId val="138145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462400"/>
        <c:crosses val="autoZero"/>
        <c:auto val="1"/>
        <c:lblAlgn val="ctr"/>
        <c:lblOffset val="100"/>
        <c:noMultiLvlLbl val="0"/>
      </c:catAx>
      <c:valAx>
        <c:axId val="138146240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8145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1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db32b2-f1e3-46ac-babe-78ec79491041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 sz="1100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PASTO PADRÃO SÃO FRANSCICO - SAFRA 25-26 atual (1) (2).xlsx]DASH FINANCEIRO!PivotTable3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24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  <a:r>
              <a:rPr lang="en-US" baseline="0"/>
              <a:t> MENSAL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24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pt-BR" sz="2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 FINANCEIRO'!$P$3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 FINANCEIRO'!$O$4:$O$13</c:f>
              <c:strCache>
                <c:ptCount val="9"/>
                <c:pt idx="0">
                  <c:v>JULHO</c:v>
                </c:pt>
                <c:pt idx="1">
                  <c:v>AGOSTO</c:v>
                </c:pt>
                <c:pt idx="2">
                  <c:v>SETEMBRO</c:v>
                </c:pt>
                <c:pt idx="3">
                  <c:v>OUTUBRO</c:v>
                </c:pt>
                <c:pt idx="4">
                  <c:v>NOVEMBRO</c:v>
                </c:pt>
                <c:pt idx="5">
                  <c:v>DEZEMBRO</c:v>
                </c:pt>
                <c:pt idx="6">
                  <c:v>JANEIRO</c:v>
                </c:pt>
                <c:pt idx="7">
                  <c:v>FEVEREIRO</c:v>
                </c:pt>
                <c:pt idx="8">
                  <c:v>MARÇO</c:v>
                </c:pt>
              </c:strCache>
            </c:strRef>
          </c:cat>
          <c:val>
            <c:numRef>
              <c:f>'DASH FINANCEIRO'!$P$4:$P$13</c:f>
              <c:numCache>
                <c:formatCode>"R$"\ #,##0.00</c:formatCode>
                <c:ptCount val="9"/>
                <c:pt idx="0">
                  <c:v>132051.39000000001</c:v>
                </c:pt>
                <c:pt idx="1">
                  <c:v>40697.85</c:v>
                </c:pt>
                <c:pt idx="2">
                  <c:v>114842.68999999999</c:v>
                </c:pt>
                <c:pt idx="3">
                  <c:v>262893.94</c:v>
                </c:pt>
                <c:pt idx="4">
                  <c:v>123000.22</c:v>
                </c:pt>
                <c:pt idx="5">
                  <c:v>98020.74</c:v>
                </c:pt>
                <c:pt idx="6">
                  <c:v>96004.040000000008</c:v>
                </c:pt>
                <c:pt idx="7">
                  <c:v>97382.76</c:v>
                </c:pt>
                <c:pt idx="8">
                  <c:v>82014.12999999999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5-4F1B-9406-8C7BC8B62D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381493600"/>
        <c:axId val="1381471040"/>
      </c:lineChart>
      <c:catAx>
        <c:axId val="13814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20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471040"/>
        <c:crosses val="autoZero"/>
        <c:auto val="1"/>
        <c:lblAlgn val="ctr"/>
        <c:lblOffset val="100"/>
        <c:noMultiLvlLbl val="0"/>
      </c:catAx>
      <c:valAx>
        <c:axId val="138147104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8149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20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a19001-744c-430a-96dd-72af02cf9ed9}"/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 lang="pt-BR" sz="2000"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CAMANDUCAIA!A1"/><Relationship Id="rId13" Type="http://schemas.openxmlformats.org/officeDocument/2006/relationships/hyperlink" Target="#CANA&#195;!A1"/><Relationship Id="rId18" Type="http://schemas.openxmlformats.org/officeDocument/2006/relationships/hyperlink" Target="#'BAIX&#195;O DO ARAGUAIA'!Area_de_impressao"/><Relationship Id="rId26" Type="http://schemas.openxmlformats.org/officeDocument/2006/relationships/hyperlink" Target="#VENDAS!A1"/><Relationship Id="rId3" Type="http://schemas.openxmlformats.org/officeDocument/2006/relationships/hyperlink" Target="#'MORADA DO BOI'!A1"/><Relationship Id="rId21" Type="http://schemas.openxmlformats.org/officeDocument/2006/relationships/hyperlink" Target="#PALHADA!Area_de_impressao"/><Relationship Id="rId7" Type="http://schemas.openxmlformats.org/officeDocument/2006/relationships/hyperlink" Target="#'POUSO ALTO'!A1"/><Relationship Id="rId12" Type="http://schemas.openxmlformats.org/officeDocument/2006/relationships/hyperlink" Target="#'VIDA DURA'!A1"/><Relationship Id="rId17" Type="http://schemas.openxmlformats.org/officeDocument/2006/relationships/hyperlink" Target="#'SANTA AMELIA'!Area_de_impressao"/><Relationship Id="rId25" Type="http://schemas.openxmlformats.org/officeDocument/2006/relationships/hyperlink" Target="#'ADF E COMPRAS'!A1"/><Relationship Id="rId2" Type="http://schemas.openxmlformats.org/officeDocument/2006/relationships/hyperlink" Target="#BAIX&#195;O!A1"/><Relationship Id="rId16" Type="http://schemas.openxmlformats.org/officeDocument/2006/relationships/hyperlink" Target="#MARTINEZ!A1"/><Relationship Id="rId20" Type="http://schemas.openxmlformats.org/officeDocument/2006/relationships/hyperlink" Target="#JZ!Area_de_impressao"/><Relationship Id="rId1" Type="http://schemas.openxmlformats.org/officeDocument/2006/relationships/hyperlink" Target="#AGETI!A1"/><Relationship Id="rId6" Type="http://schemas.openxmlformats.org/officeDocument/2006/relationships/hyperlink" Target="#'DOIS RIOS'!A1"/><Relationship Id="rId11" Type="http://schemas.openxmlformats.org/officeDocument/2006/relationships/hyperlink" Target="#NELSINHO!A1"/><Relationship Id="rId24" Type="http://schemas.openxmlformats.org/officeDocument/2006/relationships/hyperlink" Target="#'COMPRA DE GADO'!A1"/><Relationship Id="rId5" Type="http://schemas.openxmlformats.org/officeDocument/2006/relationships/hyperlink" Target="#'SAO JOSE DO GROTAO'!A1"/><Relationship Id="rId15" Type="http://schemas.openxmlformats.org/officeDocument/2006/relationships/hyperlink" Target="#SOFIA!A1"/><Relationship Id="rId23" Type="http://schemas.openxmlformats.org/officeDocument/2006/relationships/hyperlink" Target="#'CONF SOLEMAR'!Area_de_impressao"/><Relationship Id="rId28" Type="http://schemas.openxmlformats.org/officeDocument/2006/relationships/hyperlink" Target="#'PAINEL ENTRADA'!A1"/><Relationship Id="rId10" Type="http://schemas.openxmlformats.org/officeDocument/2006/relationships/hyperlink" Target="#'SANTA HELENA'!A1"/><Relationship Id="rId19" Type="http://schemas.openxmlformats.org/officeDocument/2006/relationships/hyperlink" Target="#GERAL!A1"/><Relationship Id="rId4" Type="http://schemas.openxmlformats.org/officeDocument/2006/relationships/hyperlink" Target="#PRIMAVERA!A1"/><Relationship Id="rId9" Type="http://schemas.openxmlformats.org/officeDocument/2006/relationships/hyperlink" Target="#'FAMILIA FRANCO'!A1"/><Relationship Id="rId14" Type="http://schemas.openxmlformats.org/officeDocument/2006/relationships/hyperlink" Target="#NOVA!A1"/><Relationship Id="rId22" Type="http://schemas.openxmlformats.org/officeDocument/2006/relationships/hyperlink" Target="#'CONF AGROAL'!Area_de_impressao"/><Relationship Id="rId27" Type="http://schemas.openxmlformats.org/officeDocument/2006/relationships/hyperlink" Target="#CUSTO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PAINEL ENTRAD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PAINEL ENTRADA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PAINEL ENTRADA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PAINEL ENTRADA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PAINEL ENTRADA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PAINEL ENTRADA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PAINEL ENTRADA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PAINEL ENTRADA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PAINEL ENTRADA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15737</xdr:colOff>
      <xdr:row>11</xdr:row>
      <xdr:rowOff>85725</xdr:rowOff>
    </xdr:from>
    <xdr:to>
      <xdr:col>16</xdr:col>
      <xdr:colOff>50110</xdr:colOff>
      <xdr:row>13</xdr:row>
      <xdr:rowOff>47625</xdr:rowOff>
    </xdr:to>
    <xdr:sp macro="" textlink="">
      <xdr:nvSpPr>
        <xdr:cNvPr id="4" name="Retâ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159115" y="2305050"/>
          <a:ext cx="1234440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AGETI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125482</xdr:colOff>
      <xdr:row>13</xdr:row>
      <xdr:rowOff>85725</xdr:rowOff>
    </xdr:from>
    <xdr:to>
      <xdr:col>15</xdr:col>
      <xdr:colOff>554107</xdr:colOff>
      <xdr:row>15</xdr:row>
      <xdr:rowOff>47625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668895" y="2686050"/>
          <a:ext cx="162877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BAIXÃO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60463</xdr:colOff>
      <xdr:row>13</xdr:row>
      <xdr:rowOff>119682</xdr:rowOff>
    </xdr:from>
    <xdr:to>
      <xdr:col>14</xdr:col>
      <xdr:colOff>530501</xdr:colOff>
      <xdr:row>15</xdr:row>
      <xdr:rowOff>78270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004050" y="2719705"/>
          <a:ext cx="1670050" cy="339725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MORADA</a:t>
          </a:r>
          <a:r>
            <a:rPr lang="pt-BR" sz="1600" b="1" baseline="0">
              <a:solidFill>
                <a:schemeClr val="tx1"/>
              </a:solidFill>
            </a:rPr>
            <a:t> DO BOI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561147</xdr:colOff>
      <xdr:row>5</xdr:row>
      <xdr:rowOff>210792</xdr:rowOff>
    </xdr:from>
    <xdr:to>
      <xdr:col>4</xdr:col>
      <xdr:colOff>99392</xdr:colOff>
      <xdr:row>7</xdr:row>
      <xdr:rowOff>20292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60705" y="1134110"/>
          <a:ext cx="220535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SÃO</a:t>
          </a:r>
          <a:r>
            <a:rPr lang="pt-BR" sz="1600" b="1" baseline="0">
              <a:solidFill>
                <a:schemeClr val="tx1"/>
              </a:solidFill>
            </a:rPr>
            <a:t> FRANCISCO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57150</xdr:colOff>
      <xdr:row>5</xdr:row>
      <xdr:rowOff>238125</xdr:rowOff>
    </xdr:from>
    <xdr:to>
      <xdr:col>9</xdr:col>
      <xdr:colOff>428625</xdr:colOff>
      <xdr:row>7</xdr:row>
      <xdr:rowOff>47625</xdr:rowOff>
    </xdr:to>
    <xdr:sp macro="" textlink="">
      <xdr:nvSpPr>
        <xdr:cNvPr id="31" name="Retângulo 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257550" y="1162050"/>
          <a:ext cx="231457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SÃO</a:t>
          </a:r>
          <a:r>
            <a:rPr lang="pt-BR" sz="1600" b="1" baseline="0">
              <a:solidFill>
                <a:schemeClr val="tx1"/>
              </a:solidFill>
            </a:rPr>
            <a:t> JOSE DO GROTÃO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586409</xdr:colOff>
      <xdr:row>5</xdr:row>
      <xdr:rowOff>222802</xdr:rowOff>
    </xdr:from>
    <xdr:to>
      <xdr:col>16</xdr:col>
      <xdr:colOff>459271</xdr:colOff>
      <xdr:row>7</xdr:row>
      <xdr:rowOff>32302</xdr:rowOff>
    </xdr:to>
    <xdr:sp macro="" textlink="">
      <xdr:nvSpPr>
        <xdr:cNvPr id="33" name="Retângulo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8129905" y="1146175"/>
          <a:ext cx="167322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DOIS</a:t>
          </a:r>
          <a:r>
            <a:rPr lang="pt-BR" sz="1600" b="1" baseline="0">
              <a:solidFill>
                <a:schemeClr val="tx1"/>
              </a:solidFill>
            </a:rPr>
            <a:t> RIOS</a:t>
          </a:r>
        </a:p>
        <a:p>
          <a:pPr algn="ctr"/>
          <a:endParaRPr lang="pt-BR" sz="1600" b="1" baseline="0">
            <a:solidFill>
              <a:schemeClr val="tx1"/>
            </a:solidFill>
          </a:endParaRP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57150</xdr:colOff>
      <xdr:row>7</xdr:row>
      <xdr:rowOff>85725</xdr:rowOff>
    </xdr:from>
    <xdr:to>
      <xdr:col>8</xdr:col>
      <xdr:colOff>171450</xdr:colOff>
      <xdr:row>9</xdr:row>
      <xdr:rowOff>47625</xdr:rowOff>
    </xdr:to>
    <xdr:sp macro="" textlink="">
      <xdr:nvSpPr>
        <xdr:cNvPr id="34" name="Retângulo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257550" y="1543050"/>
          <a:ext cx="145732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POUSO</a:t>
          </a:r>
          <a:r>
            <a:rPr lang="pt-BR" sz="1600" b="1" baseline="0">
              <a:solidFill>
                <a:schemeClr val="tx1"/>
              </a:solidFill>
            </a:rPr>
            <a:t> ALTO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219075</xdr:colOff>
      <xdr:row>7</xdr:row>
      <xdr:rowOff>85725</xdr:rowOff>
    </xdr:from>
    <xdr:to>
      <xdr:col>11</xdr:col>
      <xdr:colOff>161925</xdr:colOff>
      <xdr:row>9</xdr:row>
      <xdr:rowOff>47625</xdr:rowOff>
    </xdr:to>
    <xdr:sp macro="" textlink="">
      <xdr:nvSpPr>
        <xdr:cNvPr id="35" name="Retângulo 3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4762500" y="1543050"/>
          <a:ext cx="174307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CAMANDUCAIA</a:t>
          </a: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</xdr:colOff>
      <xdr:row>7</xdr:row>
      <xdr:rowOff>85725</xdr:rowOff>
    </xdr:from>
    <xdr:to>
      <xdr:col>14</xdr:col>
      <xdr:colOff>200025</xdr:colOff>
      <xdr:row>9</xdr:row>
      <xdr:rowOff>47625</xdr:rowOff>
    </xdr:to>
    <xdr:sp macro="" textlink="">
      <xdr:nvSpPr>
        <xdr:cNvPr id="36" name="Retângulo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6543675" y="1543050"/>
          <a:ext cx="180022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FAMILIA</a:t>
          </a:r>
          <a:r>
            <a:rPr lang="pt-BR" sz="1600" b="1" baseline="0">
              <a:solidFill>
                <a:schemeClr val="tx1"/>
              </a:solidFill>
            </a:rPr>
            <a:t> FRANCO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247650</xdr:colOff>
      <xdr:row>7</xdr:row>
      <xdr:rowOff>85725</xdr:rowOff>
    </xdr:from>
    <xdr:to>
      <xdr:col>17</xdr:col>
      <xdr:colOff>0</xdr:colOff>
      <xdr:row>9</xdr:row>
      <xdr:rowOff>47625</xdr:rowOff>
    </xdr:to>
    <xdr:sp macro="" textlink="">
      <xdr:nvSpPr>
        <xdr:cNvPr id="37" name="Retângulo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8391525" y="1543050"/>
          <a:ext cx="155257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SANTA</a:t>
          </a:r>
          <a:r>
            <a:rPr lang="pt-BR" sz="1600" b="1" baseline="0">
              <a:solidFill>
                <a:schemeClr val="tx1"/>
              </a:solidFill>
            </a:rPr>
            <a:t> HELEENA</a:t>
          </a:r>
        </a:p>
        <a:p>
          <a:pPr algn="ctr"/>
          <a:endParaRPr lang="pt-BR" sz="1600" b="1" baseline="0">
            <a:solidFill>
              <a:schemeClr val="tx1"/>
            </a:solidFill>
          </a:endParaRP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66676</xdr:colOff>
      <xdr:row>9</xdr:row>
      <xdr:rowOff>85725</xdr:rowOff>
    </xdr:from>
    <xdr:to>
      <xdr:col>8</xdr:col>
      <xdr:colOff>161925</xdr:colOff>
      <xdr:row>11</xdr:row>
      <xdr:rowOff>47625</xdr:rowOff>
    </xdr:to>
    <xdr:sp macro="" textlink="">
      <xdr:nvSpPr>
        <xdr:cNvPr id="38" name="Retângulo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3267075" y="1924050"/>
          <a:ext cx="143827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NELSINHO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228600</xdr:colOff>
      <xdr:row>9</xdr:row>
      <xdr:rowOff>85725</xdr:rowOff>
    </xdr:from>
    <xdr:to>
      <xdr:col>10</xdr:col>
      <xdr:colOff>200025</xdr:colOff>
      <xdr:row>11</xdr:row>
      <xdr:rowOff>47625</xdr:rowOff>
    </xdr:to>
    <xdr:sp macro="" textlink="">
      <xdr:nvSpPr>
        <xdr:cNvPr id="39" name="Retângulo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4772025" y="1924050"/>
          <a:ext cx="117157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VIDA</a:t>
          </a:r>
          <a:r>
            <a:rPr lang="pt-BR" sz="1600" b="1" baseline="0">
              <a:solidFill>
                <a:schemeClr val="tx1"/>
              </a:solidFill>
            </a:rPr>
            <a:t> DURA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266700</xdr:colOff>
      <xdr:row>9</xdr:row>
      <xdr:rowOff>85725</xdr:rowOff>
    </xdr:from>
    <xdr:to>
      <xdr:col>11</xdr:col>
      <xdr:colOff>542925</xdr:colOff>
      <xdr:row>11</xdr:row>
      <xdr:rowOff>47625</xdr:rowOff>
    </xdr:to>
    <xdr:sp macro="" textlink="">
      <xdr:nvSpPr>
        <xdr:cNvPr id="40" name="Retângulo 3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010275" y="1924050"/>
          <a:ext cx="876300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CANAÃ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314325</xdr:colOff>
      <xdr:row>9</xdr:row>
      <xdr:rowOff>95250</xdr:rowOff>
    </xdr:from>
    <xdr:to>
      <xdr:col>14</xdr:col>
      <xdr:colOff>590550</xdr:colOff>
      <xdr:row>11</xdr:row>
      <xdr:rowOff>57150</xdr:rowOff>
    </xdr:to>
    <xdr:sp macro="" textlink="">
      <xdr:nvSpPr>
        <xdr:cNvPr id="41" name="Retângulo 4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7858125" y="1933575"/>
          <a:ext cx="876300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NOVA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38100</xdr:colOff>
      <xdr:row>9</xdr:row>
      <xdr:rowOff>95250</xdr:rowOff>
    </xdr:from>
    <xdr:to>
      <xdr:col>16</xdr:col>
      <xdr:colOff>314325</xdr:colOff>
      <xdr:row>11</xdr:row>
      <xdr:rowOff>57150</xdr:rowOff>
    </xdr:to>
    <xdr:sp macro="" textlink="">
      <xdr:nvSpPr>
        <xdr:cNvPr id="42" name="Retângulo 4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8782050" y="1933575"/>
          <a:ext cx="876300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SOFIA		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81998</xdr:colOff>
      <xdr:row>11</xdr:row>
      <xdr:rowOff>84482</xdr:rowOff>
    </xdr:from>
    <xdr:to>
      <xdr:col>7</xdr:col>
      <xdr:colOff>453473</xdr:colOff>
      <xdr:row>13</xdr:row>
      <xdr:rowOff>46382</xdr:rowOff>
    </xdr:to>
    <xdr:sp macro="" textlink="">
      <xdr:nvSpPr>
        <xdr:cNvPr id="43" name="Retângulo 4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3282315" y="2303780"/>
          <a:ext cx="111442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MARTINEZ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590550</xdr:colOff>
      <xdr:row>9</xdr:row>
      <xdr:rowOff>95250</xdr:rowOff>
    </xdr:from>
    <xdr:to>
      <xdr:col>13</xdr:col>
      <xdr:colOff>257175</xdr:colOff>
      <xdr:row>11</xdr:row>
      <xdr:rowOff>57150</xdr:rowOff>
    </xdr:to>
    <xdr:sp macro="" textlink="">
      <xdr:nvSpPr>
        <xdr:cNvPr id="44" name="Retângulo 4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6934200" y="1933575"/>
          <a:ext cx="86677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AMELIA</a:t>
          </a: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38100</xdr:colOff>
      <xdr:row>3</xdr:row>
      <xdr:rowOff>180976</xdr:rowOff>
    </xdr:from>
    <xdr:to>
      <xdr:col>17</xdr:col>
      <xdr:colOff>0</xdr:colOff>
      <xdr:row>5</xdr:row>
      <xdr:rowOff>180976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238500" y="733425"/>
          <a:ext cx="6705600" cy="3714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u="sng">
              <a:solidFill>
                <a:schemeClr val="tx1"/>
              </a:solidFill>
            </a:rPr>
            <a:t>DEMAIS ALUGUEL DE PASTO </a:t>
          </a:r>
        </a:p>
      </xdr:txBody>
    </xdr:sp>
    <xdr:clientData/>
  </xdr:twoCellAnchor>
  <xdr:twoCellAnchor>
    <xdr:from>
      <xdr:col>0</xdr:col>
      <xdr:colOff>0</xdr:colOff>
      <xdr:row>3</xdr:row>
      <xdr:rowOff>180975</xdr:rowOff>
    </xdr:from>
    <xdr:to>
      <xdr:col>4</xdr:col>
      <xdr:colOff>466725</xdr:colOff>
      <xdr:row>5</xdr:row>
      <xdr:rowOff>171451</xdr:rowOff>
    </xdr:to>
    <xdr:sp macro="" textlink="">
      <xdr:nvSpPr>
        <xdr:cNvPr id="48" name="Retângulo: Cantos Arredondados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0" y="733425"/>
          <a:ext cx="3133725" cy="36195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 u="sng">
              <a:solidFill>
                <a:schemeClr val="tx1"/>
              </a:solidFill>
            </a:rPr>
            <a:t>FAZENDAS</a:t>
          </a:r>
          <a:r>
            <a:rPr lang="pt-BR" sz="1200" b="1" u="sng" baseline="0">
              <a:solidFill>
                <a:schemeClr val="tx1"/>
              </a:solidFill>
            </a:rPr>
            <a:t> SÃO FRANCISCO I II III</a:t>
          </a:r>
          <a:endParaRPr lang="pt-BR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552035</xdr:colOff>
      <xdr:row>5</xdr:row>
      <xdr:rowOff>226530</xdr:rowOff>
    </xdr:from>
    <xdr:to>
      <xdr:col>13</xdr:col>
      <xdr:colOff>530087</xdr:colOff>
      <xdr:row>7</xdr:row>
      <xdr:rowOff>39343</xdr:rowOff>
    </xdr:to>
    <xdr:sp macro="" textlink="">
      <xdr:nvSpPr>
        <xdr:cNvPr id="51" name="Retângulo 5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695315" y="1149985"/>
          <a:ext cx="2378075" cy="346075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BAIXÃO</a:t>
          </a:r>
          <a:r>
            <a:rPr lang="pt-BR" sz="1600" b="1" baseline="0">
              <a:solidFill>
                <a:schemeClr val="tx1"/>
              </a:solidFill>
            </a:rPr>
            <a:t> DO ARAGUAIA</a:t>
          </a: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438979</xdr:colOff>
      <xdr:row>13</xdr:row>
      <xdr:rowOff>99391</xdr:rowOff>
    </xdr:from>
    <xdr:to>
      <xdr:col>12</xdr:col>
      <xdr:colOff>16565</xdr:colOff>
      <xdr:row>15</xdr:row>
      <xdr:rowOff>107675</xdr:rowOff>
    </xdr:to>
    <xdr:sp macro="" textlink="">
      <xdr:nvSpPr>
        <xdr:cNvPr id="45" name="Retângulo 4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5582285" y="2699385"/>
          <a:ext cx="1377950" cy="389255"/>
        </a:xfrm>
        <a:prstGeom prst="rect">
          <a:avLst/>
        </a:prstGeom>
        <a:solidFill>
          <a:srgbClr val="7030A0"/>
        </a:solidFill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GERAL</a:t>
          </a:r>
        </a:p>
        <a:p>
          <a:pPr algn="ctr"/>
          <a:endParaRPr lang="pt-BR" sz="16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513522</xdr:colOff>
      <xdr:row>11</xdr:row>
      <xdr:rowOff>91109</xdr:rowOff>
    </xdr:from>
    <xdr:to>
      <xdr:col>9</xdr:col>
      <xdr:colOff>412888</xdr:colOff>
      <xdr:row>13</xdr:row>
      <xdr:rowOff>53009</xdr:rowOff>
    </xdr:to>
    <xdr:sp macro="" textlink="">
      <xdr:nvSpPr>
        <xdr:cNvPr id="46" name="Retângulo 4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4456430" y="2310130"/>
          <a:ext cx="1099820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JZ</a:t>
          </a: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480390</xdr:colOff>
      <xdr:row>11</xdr:row>
      <xdr:rowOff>99392</xdr:rowOff>
    </xdr:from>
    <xdr:to>
      <xdr:col>12</xdr:col>
      <xdr:colOff>496955</xdr:colOff>
      <xdr:row>13</xdr:row>
      <xdr:rowOff>61292</xdr:rowOff>
    </xdr:to>
    <xdr:sp macro="" textlink="">
      <xdr:nvSpPr>
        <xdr:cNvPr id="25" name="Retângulo 2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623560" y="2318385"/>
          <a:ext cx="1816735" cy="3429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PALHADA</a:t>
          </a:r>
          <a:r>
            <a:rPr lang="pt-BR" sz="1400" b="1" baseline="0">
              <a:solidFill>
                <a:schemeClr val="tx1"/>
              </a:solidFill>
            </a:rPr>
            <a:t> RENASCER</a:t>
          </a:r>
        </a:p>
        <a:p>
          <a:pPr algn="ctr"/>
          <a:endParaRPr lang="pt-BR" sz="1400" b="1">
            <a:solidFill>
              <a:schemeClr val="tx1"/>
            </a:solidFill>
          </a:endParaRPr>
        </a:p>
        <a:p>
          <a:pPr algn="ctr"/>
          <a:endParaRPr lang="pt-BR" sz="1400" b="1">
            <a:solidFill>
              <a:schemeClr val="tx1"/>
            </a:solidFill>
          </a:endParaRPr>
        </a:p>
        <a:p>
          <a:pPr algn="ctr"/>
          <a:endParaRPr lang="pt-BR" sz="1400" b="1">
            <a:solidFill>
              <a:schemeClr val="tx1"/>
            </a:solidFill>
          </a:endParaRPr>
        </a:p>
        <a:p>
          <a:pPr algn="ctr"/>
          <a:endParaRPr lang="pt-B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554934</xdr:colOff>
      <xdr:row>11</xdr:row>
      <xdr:rowOff>107673</xdr:rowOff>
    </xdr:from>
    <xdr:to>
      <xdr:col>15</xdr:col>
      <xdr:colOff>364434</xdr:colOff>
      <xdr:row>13</xdr:row>
      <xdr:rowOff>99390</xdr:rowOff>
    </xdr:to>
    <xdr:sp macro="" textlink="">
      <xdr:nvSpPr>
        <xdr:cNvPr id="26" name="Retângulo 2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7498080" y="2326640"/>
          <a:ext cx="1609725" cy="372745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CONF.</a:t>
          </a:r>
          <a:r>
            <a:rPr lang="pt-BR" sz="1600" b="1" baseline="0">
              <a:solidFill>
                <a:schemeClr val="tx1"/>
              </a:solidFill>
            </a:rPr>
            <a:t> AGROAL</a:t>
          </a: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82827</xdr:colOff>
      <xdr:row>13</xdr:row>
      <xdr:rowOff>99390</xdr:rowOff>
    </xdr:from>
    <xdr:to>
      <xdr:col>9</xdr:col>
      <xdr:colOff>381000</xdr:colOff>
      <xdr:row>15</xdr:row>
      <xdr:rowOff>99391</xdr:rowOff>
    </xdr:to>
    <xdr:sp macro="" textlink="">
      <xdr:nvSpPr>
        <xdr:cNvPr id="27" name="Retângulo 2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282950" y="2699385"/>
          <a:ext cx="2241550" cy="381000"/>
        </a:xfrm>
        <a:prstGeom prst="rect">
          <a:avLst/>
        </a:prstGeom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CONF.</a:t>
          </a:r>
          <a:r>
            <a:rPr lang="pt-BR" sz="1600" b="1" baseline="0">
              <a:solidFill>
                <a:schemeClr val="tx1"/>
              </a:solidFill>
            </a:rPr>
            <a:t> SOLEMAR</a:t>
          </a: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600" b="1">
            <a:solidFill>
              <a:schemeClr val="tx1"/>
            </a:solidFill>
          </a:endParaRP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91109</xdr:rowOff>
    </xdr:from>
    <xdr:to>
      <xdr:col>4</xdr:col>
      <xdr:colOff>466725</xdr:colOff>
      <xdr:row>11</xdr:row>
      <xdr:rowOff>75787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0" y="1929130"/>
          <a:ext cx="3133725" cy="3657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 u="sng">
              <a:solidFill>
                <a:schemeClr val="tx1"/>
              </a:solidFill>
            </a:rPr>
            <a:t>FINANCEIRO</a:t>
          </a:r>
          <a:r>
            <a:rPr lang="pt-BR" sz="1200" b="1" u="sng" baseline="0">
              <a:solidFill>
                <a:schemeClr val="tx1"/>
              </a:solidFill>
            </a:rPr>
            <a:t> GERAL</a:t>
          </a:r>
          <a:endParaRPr lang="pt-BR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3313</xdr:colOff>
      <xdr:row>11</xdr:row>
      <xdr:rowOff>102704</xdr:rowOff>
    </xdr:from>
    <xdr:to>
      <xdr:col>2</xdr:col>
      <xdr:colOff>107674</xdr:colOff>
      <xdr:row>13</xdr:row>
      <xdr:rowOff>87382</xdr:rowOff>
    </xdr:to>
    <xdr:sp macro="" textlink="">
      <xdr:nvSpPr>
        <xdr:cNvPr id="56" name="Retângulo: Cantos Arredondados 5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3175" y="2321560"/>
          <a:ext cx="1570990" cy="36576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u="none">
              <a:solidFill>
                <a:schemeClr val="tx1"/>
              </a:solidFill>
            </a:rPr>
            <a:t>COMPRA</a:t>
          </a:r>
          <a:r>
            <a:rPr lang="pt-BR" sz="1100" b="1" u="none" baseline="0">
              <a:solidFill>
                <a:schemeClr val="tx1"/>
              </a:solidFill>
            </a:rPr>
            <a:t> DE BOVINOS</a:t>
          </a:r>
          <a:endParaRPr lang="pt-BR" sz="1100" b="1" u="none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49696</xdr:colOff>
      <xdr:row>12</xdr:row>
      <xdr:rowOff>72887</xdr:rowOff>
    </xdr:from>
    <xdr:to>
      <xdr:col>8</xdr:col>
      <xdr:colOff>414131</xdr:colOff>
      <xdr:row>14</xdr:row>
      <xdr:rowOff>57565</xdr:rowOff>
    </xdr:to>
    <xdr:sp macro="" textlink="">
      <xdr:nvSpPr>
        <xdr:cNvPr id="57" name="Retângulo: Cantos Arredondados 5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3392805" y="2482215"/>
          <a:ext cx="1564640" cy="36576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 u="none">
              <a:solidFill>
                <a:schemeClr val="tx1"/>
              </a:solidFill>
              <a:latin typeface="+mn-lt"/>
              <a:ea typeface="+mn-ea"/>
              <a:cs typeface="+mn-cs"/>
            </a:rPr>
            <a:t>ADF</a:t>
          </a:r>
          <a:r>
            <a:rPr lang="pt-BR" sz="1100" b="1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 E COMPRAS</a:t>
          </a:r>
          <a:endParaRPr lang="pt-BR" sz="1100" b="1" u="none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13</xdr:row>
      <xdr:rowOff>96078</xdr:rowOff>
    </xdr:from>
    <xdr:to>
      <xdr:col>2</xdr:col>
      <xdr:colOff>99391</xdr:colOff>
      <xdr:row>15</xdr:row>
      <xdr:rowOff>80756</xdr:rowOff>
    </xdr:to>
    <xdr:sp macro="" textlink="">
      <xdr:nvSpPr>
        <xdr:cNvPr id="59" name="Retângulo: Cantos Arredondados 58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0" y="2696210"/>
          <a:ext cx="1565910" cy="36576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 u="none">
              <a:solidFill>
                <a:schemeClr val="tx1"/>
              </a:solidFill>
              <a:latin typeface="+mn-lt"/>
              <a:ea typeface="+mn-ea"/>
              <a:cs typeface="+mn-cs"/>
            </a:rPr>
            <a:t>VENDAS DE BOVINOS</a:t>
          </a:r>
        </a:p>
      </xdr:txBody>
    </xdr:sp>
    <xdr:clientData/>
  </xdr:twoCellAnchor>
  <xdr:twoCellAnchor>
    <xdr:from>
      <xdr:col>2</xdr:col>
      <xdr:colOff>140804</xdr:colOff>
      <xdr:row>11</xdr:row>
      <xdr:rowOff>99390</xdr:rowOff>
    </xdr:from>
    <xdr:to>
      <xdr:col>4</xdr:col>
      <xdr:colOff>472109</xdr:colOff>
      <xdr:row>13</xdr:row>
      <xdr:rowOff>84068</xdr:rowOff>
    </xdr:to>
    <xdr:sp macro="" textlink="">
      <xdr:nvSpPr>
        <xdr:cNvPr id="60" name="Retângulo: Cantos Arredondados 59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1607185" y="2318385"/>
          <a:ext cx="1531620" cy="36576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 u="none">
              <a:solidFill>
                <a:schemeClr val="tx1"/>
              </a:solidFill>
              <a:latin typeface="+mn-lt"/>
              <a:ea typeface="+mn-ea"/>
              <a:cs typeface="+mn-cs"/>
            </a:rPr>
            <a:t>DESPESAS</a:t>
          </a:r>
        </a:p>
      </xdr:txBody>
    </xdr:sp>
    <xdr:clientData/>
  </xdr:twoCellAnchor>
  <xdr:twoCellAnchor>
    <xdr:from>
      <xdr:col>5</xdr:col>
      <xdr:colOff>33130</xdr:colOff>
      <xdr:row>5</xdr:row>
      <xdr:rowOff>207065</xdr:rowOff>
    </xdr:from>
    <xdr:to>
      <xdr:col>17</xdr:col>
      <xdr:colOff>107674</xdr:colOff>
      <xdr:row>15</xdr:row>
      <xdr:rowOff>157370</xdr:rowOff>
    </xdr:to>
    <xdr:sp macro="" textlink="">
      <xdr:nvSpPr>
        <xdr:cNvPr id="8" name="Retângulo 7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233420" y="1130935"/>
          <a:ext cx="6817995" cy="2007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806823</xdr:colOff>
      <xdr:row>0</xdr:row>
      <xdr:rowOff>44823</xdr:rowOff>
    </xdr:from>
    <xdr:to>
      <xdr:col>2</xdr:col>
      <xdr:colOff>313764</xdr:colOff>
      <xdr:row>2</xdr:row>
      <xdr:rowOff>179294</xdr:rowOff>
    </xdr:to>
    <xdr:sp macro="" textlink="">
      <xdr:nvSpPr>
        <xdr:cNvPr id="2" name="Seta: Curv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06450" y="44450"/>
          <a:ext cx="1621790" cy="820420"/>
        </a:xfrm>
        <a:prstGeom prst="curvedLef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683558</xdr:colOff>
      <xdr:row>0</xdr:row>
      <xdr:rowOff>89646</xdr:rowOff>
    </xdr:from>
    <xdr:to>
      <xdr:col>2</xdr:col>
      <xdr:colOff>1187823</xdr:colOff>
      <xdr:row>2</xdr:row>
      <xdr:rowOff>224117</xdr:rowOff>
    </xdr:to>
    <xdr:sp macro="" textlink="">
      <xdr:nvSpPr>
        <xdr:cNvPr id="5" name="Seta: Curva para a Esquerda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683385" y="89535"/>
          <a:ext cx="1618615" cy="819785"/>
        </a:xfrm>
        <a:prstGeom prst="curvedLef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683558</xdr:colOff>
      <xdr:row>0</xdr:row>
      <xdr:rowOff>89646</xdr:rowOff>
    </xdr:from>
    <xdr:to>
      <xdr:col>2</xdr:col>
      <xdr:colOff>1187823</xdr:colOff>
      <xdr:row>2</xdr:row>
      <xdr:rowOff>224117</xdr:rowOff>
    </xdr:to>
    <xdr:sp macro="" textlink="">
      <xdr:nvSpPr>
        <xdr:cNvPr id="2" name="Seta: Curv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83385" y="89535"/>
          <a:ext cx="1618615" cy="819785"/>
        </a:xfrm>
        <a:prstGeom prst="curvedLef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683558</xdr:colOff>
      <xdr:row>0</xdr:row>
      <xdr:rowOff>89646</xdr:rowOff>
    </xdr:from>
    <xdr:to>
      <xdr:col>2</xdr:col>
      <xdr:colOff>1187823</xdr:colOff>
      <xdr:row>2</xdr:row>
      <xdr:rowOff>224117</xdr:rowOff>
    </xdr:to>
    <xdr:sp macro="" textlink="">
      <xdr:nvSpPr>
        <xdr:cNvPr id="2" name="Seta: Curv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683385" y="89535"/>
          <a:ext cx="1618615" cy="819785"/>
        </a:xfrm>
        <a:prstGeom prst="curvedLef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683558</xdr:colOff>
      <xdr:row>0</xdr:row>
      <xdr:rowOff>89646</xdr:rowOff>
    </xdr:from>
    <xdr:to>
      <xdr:col>2</xdr:col>
      <xdr:colOff>1187823</xdr:colOff>
      <xdr:row>2</xdr:row>
      <xdr:rowOff>224117</xdr:rowOff>
    </xdr:to>
    <xdr:sp macro="" textlink="">
      <xdr:nvSpPr>
        <xdr:cNvPr id="2" name="Seta: Curv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683385" y="89535"/>
          <a:ext cx="1618615" cy="819785"/>
        </a:xfrm>
        <a:prstGeom prst="curvedLef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683558</xdr:colOff>
      <xdr:row>0</xdr:row>
      <xdr:rowOff>89646</xdr:rowOff>
    </xdr:from>
    <xdr:to>
      <xdr:col>2</xdr:col>
      <xdr:colOff>1187823</xdr:colOff>
      <xdr:row>2</xdr:row>
      <xdr:rowOff>224117</xdr:rowOff>
    </xdr:to>
    <xdr:sp macro="" textlink="">
      <xdr:nvSpPr>
        <xdr:cNvPr id="2" name="Seta: Curv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683385" y="89535"/>
          <a:ext cx="1618615" cy="1391285"/>
        </a:xfrm>
        <a:prstGeom prst="curvedLeftArrow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176892</xdr:colOff>
      <xdr:row>1</xdr:row>
      <xdr:rowOff>176893</xdr:rowOff>
    </xdr:from>
    <xdr:to>
      <xdr:col>2</xdr:col>
      <xdr:colOff>612321</xdr:colOff>
      <xdr:row>4</xdr:row>
      <xdr:rowOff>81643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76605" y="462280"/>
          <a:ext cx="1673860" cy="8667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180975</xdr:rowOff>
    </xdr:from>
    <xdr:to>
      <xdr:col>0</xdr:col>
      <xdr:colOff>609600</xdr:colOff>
      <xdr:row>2</xdr:row>
      <xdr:rowOff>123825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180975"/>
          <a:ext cx="609600" cy="3238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244929</xdr:colOff>
      <xdr:row>0</xdr:row>
      <xdr:rowOff>0</xdr:rowOff>
    </xdr:from>
    <xdr:to>
      <xdr:col>3</xdr:col>
      <xdr:colOff>340178</xdr:colOff>
      <xdr:row>2</xdr:row>
      <xdr:rowOff>149679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987425" y="0"/>
          <a:ext cx="1962150" cy="5302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9524</xdr:rowOff>
    </xdr:from>
    <xdr:to>
      <xdr:col>2</xdr:col>
      <xdr:colOff>785811</xdr:colOff>
      <xdr:row>16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1163410</xdr:colOff>
      <xdr:row>7</xdr:row>
      <xdr:rowOff>70758</xdr:rowOff>
    </xdr:from>
    <xdr:to>
      <xdr:col>6</xdr:col>
      <xdr:colOff>108857</xdr:colOff>
      <xdr:row>18</xdr:row>
      <xdr:rowOff>123701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15048</xdr:colOff>
      <xdr:row>18</xdr:row>
      <xdr:rowOff>98961</xdr:rowOff>
    </xdr:from>
    <xdr:to>
      <xdr:col>6</xdr:col>
      <xdr:colOff>2436915</xdr:colOff>
      <xdr:row>33</xdr:row>
      <xdr:rowOff>174585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7</xdr:row>
      <xdr:rowOff>192087</xdr:rowOff>
    </xdr:from>
    <xdr:to>
      <xdr:col>3</xdr:col>
      <xdr:colOff>1349375</xdr:colOff>
      <xdr:row>20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1397000</xdr:colOff>
      <xdr:row>7</xdr:row>
      <xdr:rowOff>79375</xdr:rowOff>
    </xdr:from>
    <xdr:to>
      <xdr:col>6</xdr:col>
      <xdr:colOff>2365375</xdr:colOff>
      <xdr:row>20</xdr:row>
      <xdr:rowOff>190500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20</xdr:row>
      <xdr:rowOff>201613</xdr:rowOff>
    </xdr:from>
    <xdr:to>
      <xdr:col>6</xdr:col>
      <xdr:colOff>2400300</xdr:colOff>
      <xdr:row>33</xdr:row>
      <xdr:rowOff>133351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6</xdr:row>
      <xdr:rowOff>190500</xdr:rowOff>
    </xdr:from>
    <xdr:to>
      <xdr:col>6</xdr:col>
      <xdr:colOff>2471056</xdr:colOff>
      <xdr:row>21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22</xdr:row>
      <xdr:rowOff>25399</xdr:rowOff>
    </xdr:from>
    <xdr:to>
      <xdr:col>6</xdr:col>
      <xdr:colOff>2492829</xdr:colOff>
      <xdr:row>35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46.680978124998" createdVersion="8" refreshedVersion="8" minRefreshableVersion="3" recordCount="417" xr:uid="{00000000-000A-0000-FFFF-FFFF02000000}">
  <cacheSource type="worksheet">
    <worksheetSource name="Tabela10"/>
  </cacheSource>
  <cacheFields count="10">
    <cacheField name="DATA" numFmtId="14">
      <sharedItems containsNonDate="0" containsDate="1" containsString="0" containsBlank="1" minDate="2025-01-03T00:00:00" maxDate="2026-03-03T00:00:00"/>
    </cacheField>
    <cacheField name="PAGADOR" numFmtId="0">
      <sharedItems/>
    </cacheField>
    <cacheField name="ITEM" numFmtId="0">
      <sharedItems containsBlank="1"/>
    </cacheField>
    <cacheField name="VALOR TOTAL" numFmtId="44">
      <sharedItems containsString="0" containsBlank="1" containsNumber="1" minValue="0" maxValue="66960"/>
    </cacheField>
    <cacheField name="SUB CENTRO" numFmtId="0">
      <sharedItems containsNonDate="0" containsString="0" containsBlank="1"/>
    </cacheField>
    <cacheField name="CENTRO DE CUSTO" numFmtId="0">
      <sharedItems containsBlank="1" count="17">
        <s v="FUNCIONARIO"/>
        <s v="PARQUE DE MÁQUINAS"/>
        <s v="COMISSÃO"/>
        <s v="PASTAGEM"/>
        <s v="DESPESA GADO"/>
        <s v="SANIDADE"/>
        <s v="IMPOSTO E TAXAS"/>
        <s v="INFRAESTRUTURA"/>
        <s v="OUTROS"/>
        <s v="NUTRIÇÃO"/>
        <s v="FERPAM"/>
        <m/>
        <s v="ADMINISTRATIVO" u="1"/>
        <s v="SALARIOS" u="1"/>
        <s v="NUTRIÇÃO CONF" u="1"/>
        <s v="DESPESAS DE REBANHO" u="1"/>
        <s v="NUTRIÇÃO PASTO" u="1"/>
      </sharedItems>
    </cacheField>
    <cacheField name="CLASSE" numFmtId="0">
      <sharedItems containsBlank="1"/>
    </cacheField>
    <cacheField name="MÊS" numFmtId="0">
      <sharedItems containsBlank="1" count="13">
        <s v="JULHO"/>
        <s v="AGOSTO"/>
        <s v="SETEMBRO"/>
        <s v="OUTUBRO"/>
        <s v="NOVEMBRO"/>
        <s v="DEZEMBRO"/>
        <s v="JANEIRO"/>
        <s v="FEVEREIRO"/>
        <s v="MARÇO"/>
        <m/>
        <s v="ABRIL" u="1"/>
        <s v="JUNHO" u="1"/>
        <s v="MAIO" u="1"/>
      </sharedItems>
    </cacheField>
    <cacheField name="ANO" numFmtId="0">
      <sharedItems containsString="0" containsBlank="1" containsNumber="1" containsInteger="1" minValue="2025" maxValue="2026"/>
    </cacheField>
    <cacheField name="SAFRA" numFmtId="0">
      <sharedItems containsBlank="1" count="3">
        <s v="2025/2026"/>
        <m/>
        <s v="2024/202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46.680984027778" createdVersion="6" refreshedVersion="8" minRefreshableVersion="3" recordCount="64" xr:uid="{00000000-000A-0000-FFFF-FFFF01000000}">
  <cacheSource type="worksheet">
    <worksheetSource name="Tabela3"/>
  </cacheSource>
  <cacheFields count="21">
    <cacheField name="DATA" numFmtId="14">
      <sharedItems containsNonDate="0" containsDate="1" containsString="0" containsBlank="1" minDate="2025-08-03T00:00:00" maxDate="2026-04-25T00:00:00"/>
    </cacheField>
    <cacheField name="TIPO DE VENDA" numFmtId="0">
      <sharedItems containsBlank="1" count="3">
        <s v="ABATE"/>
        <m/>
        <s v="EM PÉ" u="1"/>
      </sharedItems>
    </cacheField>
    <cacheField name="CATEGORIA" numFmtId="0">
      <sharedItems containsBlank="1" count="10">
        <s v="MACHOS 25 - 36"/>
        <m/>
        <s v="MACHOS + 36" u="1"/>
        <s v="FEMEA DESMAMA" u="1"/>
        <s v="MACHO + 24" u="1"/>
        <s v="MACHO DESMAMA" u="1"/>
        <s v="FEMEAS DESMAMA" u="1"/>
        <s v="FEMEAS + 36" u="1"/>
        <s v="FEMEAS 13 - 24" u="1"/>
        <s v="MACHOS DESMAMA" u="1"/>
      </sharedItems>
    </cacheField>
    <cacheField name="ANIMAIS" numFmtId="0">
      <sharedItems containsString="0" containsBlank="1" containsNumber="1" containsInteger="1" minValue="81" maxValue="189"/>
    </cacheField>
    <cacheField name="PESO TOTAL" numFmtId="0">
      <sharedItems containsString="0" containsBlank="1" containsNumber="1" containsInteger="1" minValue="43540" maxValue="106680"/>
    </cacheField>
    <cacheField name="PESO MÉDIO" numFmtId="2">
      <sharedItems containsMixedTypes="1" containsNumber="1" minValue="518.33333333333337" maxValue="564.44444444444446"/>
    </cacheField>
    <cacheField name="CARCAÇA TOTAL" numFmtId="0">
      <sharedItems containsString="0" containsBlank="1" containsNumber="1" minValue="22350.400000000001" maxValue="60225"/>
    </cacheField>
    <cacheField name="CARCAÇA MÉDIA" numFmtId="2">
      <sharedItems containsMixedTypes="1" containsNumber="1" minValue="266.0761904761905" maxValue="318.65079365079367"/>
    </cacheField>
    <cacheField name="RENDIMENTO %" numFmtId="10">
      <sharedItems containsMixedTypes="1" containsNumber="1" minValue="0.51333027101515849" maxValue="0.56788888888888889"/>
    </cacheField>
    <cacheField name="VALOR TOTAL" numFmtId="44">
      <sharedItems containsString="0" containsBlank="1" containsNumber="1" minValue="401502.68" maxValue="1302000"/>
    </cacheField>
    <cacheField name="VALOR CABEÇA" numFmtId="44">
      <sharedItems containsMixedTypes="1" containsNumber="1" minValue="4779.7938095238096" maxValue="7346.7104938271614"/>
    </cacheField>
    <cacheField name="VALOR POR @" numFmtId="44">
      <sharedItems containsMixedTypes="1" containsNumber="1" minValue="269.46006335457082" maxValue="349.29576403834869"/>
    </cacheField>
    <cacheField name="COMPRADOR" numFmtId="0">
      <sharedItems containsBlank="1"/>
    </cacheField>
    <cacheField name="MÊS" numFmtId="0">
      <sharedItems containsBlank="1" count="11">
        <s v="AGOSTO"/>
        <s v="MARÇO"/>
        <s v="ABRIL"/>
        <m/>
        <s v="FEVEREIRO" u="1"/>
        <s v="JUNHO" u="1"/>
        <s v="DEZEMBRO" u="1"/>
        <s v="MAIO" u="1"/>
        <s v="NOVEMBRO" u="1"/>
        <s v="JULHO" u="1"/>
        <s v="JANEIRO" u="1"/>
      </sharedItems>
    </cacheField>
    <cacheField name="ANO" numFmtId="0">
      <sharedItems containsString="0" containsBlank="1" containsNumber="1" containsInteger="1" minValue="2025" maxValue="2026"/>
    </cacheField>
    <cacheField name="FORMA" numFmtId="0">
      <sharedItems containsBlank="1"/>
    </cacheField>
    <cacheField name="SOMA RENDIMENTO" numFmtId="9">
      <sharedItems containsString="0" containsBlank="1" containsNumber="1" minValue="43.119742765273315" maxValue="43.119742765273315"/>
    </cacheField>
    <cacheField name="FAZENDA" numFmtId="0">
      <sharedItems containsBlank="1"/>
    </cacheField>
    <cacheField name="STATUS" numFmtId="0">
      <sharedItems containsBlank="1"/>
    </cacheField>
    <cacheField name="PARCERIA" numFmtId="0">
      <sharedItems containsBlank="1" count="4">
        <s v="-"/>
        <m/>
        <s v="S 1" u="1"/>
        <s v="S 2" u="1"/>
      </sharedItems>
    </cacheField>
    <cacheField name="SAFRA" numFmtId="0">
      <sharedItems containsBlank="1" count="3">
        <s v="2025/2026"/>
        <m/>
        <s v="2024/202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46.680991203706" createdVersion="6" refreshedVersion="8" minRefreshableVersion="3" recordCount="328" xr:uid="{00000000-000A-0000-FFFF-FFFF00000000}">
  <cacheSource type="worksheet">
    <worksheetSource name="Tabela27"/>
  </cacheSource>
  <cacheFields count="15">
    <cacheField name="DATA" numFmtId="14">
      <sharedItems containsNonDate="0" containsDate="1" containsString="0" containsBlank="1" minDate="2025-07-20T00:00:00" maxDate="2026-04-28T00:00:00"/>
    </cacheField>
    <cacheField name="QUANT." numFmtId="0">
      <sharedItems containsString="0" containsBlank="1" containsNumber="1" containsInteger="1" minValue="6" maxValue="150"/>
    </cacheField>
    <cacheField name="NOVILHAS / BOIS" numFmtId="0">
      <sharedItems containsBlank="1" count="7">
        <s v="BEZERROS"/>
        <m/>
        <s v="BOVINOS" u="1"/>
        <s v="VACAS" u="1"/>
        <s v="BOIS" u="1"/>
        <s v="BEZZEROS" u="1"/>
        <s v="NOVILHAS" u="1"/>
      </sharedItems>
    </cacheField>
    <cacheField name="VALOR TOTAL DA COMPRA" numFmtId="44">
      <sharedItems containsString="0" containsBlank="1" containsNumber="1" minValue="14200" maxValue="388080"/>
    </cacheField>
    <cacheField name="MÉDIA / CAB" numFmtId="2">
      <sharedItems containsMixedTypes="1" containsNumber="1" minValue="2000" maxValue="3080"/>
    </cacheField>
    <cacheField name="FAZENDA" numFmtId="0">
      <sharedItems containsBlank="1"/>
    </cacheField>
    <cacheField name="MÊS" numFmtId="0">
      <sharedItems containsBlank="1" count="13">
        <s v="JULHO"/>
        <s v="AGOSTO"/>
        <s v="OUTUBRO"/>
        <s v="DEZEMBRO"/>
        <s v="NOVEMBRO"/>
        <s v="MARÇO"/>
        <s v="ABRIL"/>
        <m/>
        <s v="SETEMBRO" u="1"/>
        <s v="JANEIRO" u="1"/>
        <s v="JUNHO" u="1"/>
        <s v="MAIO" u="1"/>
        <s v="FEVEREIRO" u="1"/>
      </sharedItems>
    </cacheField>
    <cacheField name="PARCERIA" numFmtId="0">
      <sharedItems containsBlank="1" count="5">
        <s v="-"/>
        <m/>
        <s v="S 1" u="1"/>
        <s v="S 2" u="1"/>
        <s v="S1" u="1"/>
      </sharedItems>
    </cacheField>
    <cacheField name="ANO" numFmtId="0">
      <sharedItems containsString="0" containsBlank="1" containsNumber="1" containsInteger="1" minValue="2025" maxValue="2026"/>
    </cacheField>
    <cacheField name="SAFRA" numFmtId="0">
      <sharedItems containsBlank="1" count="3">
        <s v="2025/2026"/>
        <m/>
        <s v="2024/2025" u="1"/>
      </sharedItems>
    </cacheField>
    <cacheField name="FRETE" numFmtId="0">
      <sharedItems containsBlank="1"/>
    </cacheField>
    <cacheField name="COMISSÃO" numFmtId="0">
      <sharedItems containsBlank="1"/>
    </cacheField>
    <cacheField name="OBSERVAÇÕES" numFmtId="0">
      <sharedItems containsBlank="1"/>
    </cacheField>
    <cacheField name="IMPOSTOS" numFmtId="0">
      <sharedItems containsBlank="1"/>
    </cacheField>
    <cacheField name="OBSERVAÇÕES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7">
  <r>
    <d v="2025-07-02T00:00:00"/>
    <s v="ONODA"/>
    <s v="SALÁRIO ALDEMAR"/>
    <n v="2967"/>
    <m/>
    <x v="0"/>
    <s v="CUSTEIO"/>
    <x v="0"/>
    <n v="2025"/>
    <x v="0"/>
  </r>
  <r>
    <d v="2025-07-02T00:00:00"/>
    <s v="ONODA"/>
    <s v="SALÁRIO PRETO"/>
    <n v="2567"/>
    <m/>
    <x v="0"/>
    <s v="CUSTEIO"/>
    <x v="0"/>
    <n v="2025"/>
    <x v="0"/>
  </r>
  <r>
    <d v="2025-07-02T00:00:00"/>
    <s v="ONODA"/>
    <s v="SALÁRIO WALDINEY"/>
    <n v="2600"/>
    <m/>
    <x v="0"/>
    <s v="CUSTEIO"/>
    <x v="0"/>
    <n v="2025"/>
    <x v="0"/>
  </r>
  <r>
    <d v="2025-07-02T00:00:00"/>
    <s v="ONODA"/>
    <s v="SALÁRIO ZÉ"/>
    <n v="4000"/>
    <m/>
    <x v="0"/>
    <s v="CUSTEIO"/>
    <x v="0"/>
    <n v="2025"/>
    <x v="0"/>
  </r>
  <r>
    <d v="2025-07-02T00:00:00"/>
    <s v="ONODA"/>
    <s v="SALÁRIO NILVAN"/>
    <n v="3200"/>
    <m/>
    <x v="0"/>
    <s v="CUSTEIO"/>
    <x v="0"/>
    <n v="2025"/>
    <x v="0"/>
  </r>
  <r>
    <d v="2025-07-03T00:00:00"/>
    <s v="ONODA"/>
    <s v="COMPRA DE MANTIMENTOS "/>
    <n v="869.15"/>
    <m/>
    <x v="0"/>
    <s v="CUSTEIO"/>
    <x v="0"/>
    <n v="2025"/>
    <x v="0"/>
  </r>
  <r>
    <d v="2025-07-03T00:00:00"/>
    <s v="ONODA"/>
    <s v="CONSERTO TRATOR AZUL"/>
    <n v="760"/>
    <m/>
    <x v="1"/>
    <s v="CUSTEIO"/>
    <x v="0"/>
    <n v="2025"/>
    <x v="0"/>
  </r>
  <r>
    <d v="2025-07-03T00:00:00"/>
    <s v="ONODA"/>
    <s v="POSTO TIGRAO"/>
    <n v="1746"/>
    <m/>
    <x v="1"/>
    <s v="CUSTEIO"/>
    <x v="0"/>
    <n v="2025"/>
    <x v="0"/>
  </r>
  <r>
    <d v="2025-07-03T00:00:00"/>
    <s v="ONODA"/>
    <s v="AUTO PEÇAS "/>
    <n v="4590.8"/>
    <m/>
    <x v="1"/>
    <s v="CUSTEIO"/>
    <x v="0"/>
    <n v="2025"/>
    <x v="0"/>
  </r>
  <r>
    <d v="2025-07-03T00:00:00"/>
    <s v="ONODA"/>
    <s v="MERCADO ALFREDO"/>
    <n v="761.16"/>
    <m/>
    <x v="0"/>
    <s v="CUSTEIO"/>
    <x v="0"/>
    <n v="2025"/>
    <x v="0"/>
  </r>
  <r>
    <d v="2025-07-03T00:00:00"/>
    <s v="ONODA"/>
    <s v="COMISSÃO CORRETOR"/>
    <n v="1966.5"/>
    <m/>
    <x v="2"/>
    <s v="CUSTEIO"/>
    <x v="0"/>
    <n v="2025"/>
    <x v="0"/>
  </r>
  <r>
    <d v="2025-07-03T00:00:00"/>
    <s v="ONODA"/>
    <s v="HERBICIDA "/>
    <n v="11348"/>
    <m/>
    <x v="3"/>
    <s v="CUSTEIO"/>
    <x v="0"/>
    <n v="2025"/>
    <x v="0"/>
  </r>
  <r>
    <d v="2025-07-03T00:00:00"/>
    <s v="ONODA"/>
    <s v="COMISSÃO CORRETOR"/>
    <n v="900"/>
    <m/>
    <x v="2"/>
    <s v="CUSTEIO"/>
    <x v="0"/>
    <n v="2025"/>
    <x v="0"/>
  </r>
  <r>
    <d v="2025-07-03T00:00:00"/>
    <s v="ONODA"/>
    <s v="FÉRIAS ALDEMAAR"/>
    <n v="1494"/>
    <m/>
    <x v="0"/>
    <s v="CUSTEIO"/>
    <x v="0"/>
    <n v="2025"/>
    <x v="0"/>
  </r>
  <r>
    <d v="2025-07-03T00:00:00"/>
    <s v="ONODA"/>
    <s v="COMISSÃO CORRETOR"/>
    <n v="0"/>
    <m/>
    <x v="4"/>
    <s v="CUSTEIO"/>
    <x v="0"/>
    <n v="2025"/>
    <x v="0"/>
  </r>
  <r>
    <d v="2025-07-03T00:00:00"/>
    <s v="ONODA"/>
    <s v="VACINAS"/>
    <n v="11348.9"/>
    <m/>
    <x v="5"/>
    <s v="CUSTEIO"/>
    <x v="0"/>
    <n v="2025"/>
    <x v="0"/>
  </r>
  <r>
    <d v="2025-07-03T00:00:00"/>
    <s v="ONODA"/>
    <s v="RETIRADA SÓCIA CAMILA"/>
    <n v="4000"/>
    <m/>
    <x v="0"/>
    <s v="CUSTEIO"/>
    <x v="0"/>
    <n v="2025"/>
    <x v="0"/>
  </r>
  <r>
    <d v="2025-07-03T00:00:00"/>
    <s v="ONODA"/>
    <s v="FGTS"/>
    <n v="1374"/>
    <m/>
    <x v="0"/>
    <s v="CUSTEIO"/>
    <x v="0"/>
    <n v="2025"/>
    <x v="0"/>
  </r>
  <r>
    <d v="2025-07-03T00:00:00"/>
    <s v="ONODA"/>
    <s v="IR"/>
    <n v="1672.41"/>
    <m/>
    <x v="6"/>
    <s v="CUSTEIO"/>
    <x v="0"/>
    <n v="2025"/>
    <x v="0"/>
  </r>
  <r>
    <d v="2025-07-03T00:00:00"/>
    <s v="ONODA"/>
    <s v="CAMARA MONITORAMENTO"/>
    <n v="24275.19"/>
    <m/>
    <x v="7"/>
    <s v="INVESTIMENTOS"/>
    <x v="0"/>
    <n v="2025"/>
    <x v="0"/>
  </r>
  <r>
    <d v="2025-07-03T00:00:00"/>
    <s v="ONODA"/>
    <s v="VISITA ORÇAMENTO"/>
    <n v="685"/>
    <m/>
    <x v="1"/>
    <s v="CUSTEIO"/>
    <x v="0"/>
    <n v="2025"/>
    <x v="0"/>
  </r>
  <r>
    <d v="2025-07-03T00:00:00"/>
    <s v="ONODA"/>
    <s v="FÉRIAS WALDINEY"/>
    <n v="2881.53"/>
    <m/>
    <x v="0"/>
    <s v="CUSTEIO"/>
    <x v="0"/>
    <n v="2025"/>
    <x v="0"/>
  </r>
  <r>
    <d v="2025-07-03T00:00:00"/>
    <s v="ONODA"/>
    <s v="POSTO TIGRAO"/>
    <n v="3313.45"/>
    <m/>
    <x v="1"/>
    <s v="CUSTEIO"/>
    <x v="0"/>
    <n v="2025"/>
    <x v="0"/>
  </r>
  <r>
    <d v="2025-07-03T00:00:00"/>
    <s v="ONODA"/>
    <s v="ENCOMENDA ONIBUS"/>
    <n v="100"/>
    <m/>
    <x v="8"/>
    <s v="CUSTEIO"/>
    <x v="0"/>
    <n v="2025"/>
    <x v="0"/>
  </r>
  <r>
    <d v="2025-07-03T00:00:00"/>
    <s v="ONODA"/>
    <s v="CONTADOR "/>
    <n v="944"/>
    <m/>
    <x v="0"/>
    <s v="CUSTEIO"/>
    <x v="0"/>
    <n v="2025"/>
    <x v="0"/>
  </r>
  <r>
    <d v="2025-07-03T00:00:00"/>
    <s v="ONODA"/>
    <s v="JUNIOR TRATORISTA"/>
    <n v="4200"/>
    <m/>
    <x v="1"/>
    <s v="CUSTEIO"/>
    <x v="0"/>
    <n v="2025"/>
    <x v="0"/>
  </r>
  <r>
    <d v="2025-07-03T00:00:00"/>
    <s v="ONODA"/>
    <s v="CONSERTO AR CONDICIONADO"/>
    <n v="400"/>
    <m/>
    <x v="7"/>
    <s v="CUSTEIO"/>
    <x v="0"/>
    <n v="2025"/>
    <x v="0"/>
  </r>
  <r>
    <d v="2025-07-03T00:00:00"/>
    <s v="ONODA"/>
    <s v="CONSULTORIA"/>
    <n v="3000"/>
    <m/>
    <x v="0"/>
    <s v="CUSTEIO"/>
    <x v="0"/>
    <n v="2025"/>
    <x v="0"/>
  </r>
  <r>
    <d v="2025-07-03T00:00:00"/>
    <s v="ONODA"/>
    <s v="FÉRIAS PRETO"/>
    <n v="3212.3"/>
    <m/>
    <x v="0"/>
    <s v="CUSTEIO"/>
    <x v="0"/>
    <n v="2025"/>
    <x v="0"/>
  </r>
  <r>
    <d v="2025-07-03T00:00:00"/>
    <s v="ONODA"/>
    <s v="COMPRA MILHO"/>
    <n v="3400"/>
    <m/>
    <x v="4"/>
    <s v="CUSTEIO"/>
    <x v="0"/>
    <n v="2025"/>
    <x v="0"/>
  </r>
  <r>
    <d v="2025-07-03T00:00:00"/>
    <s v="ONODA"/>
    <s v="NUTRIÇÃO PROTEINADO"/>
    <n v="27475"/>
    <m/>
    <x v="9"/>
    <s v="CUSTEIO"/>
    <x v="0"/>
    <n v="2025"/>
    <x v="0"/>
  </r>
  <r>
    <d v="2025-08-03T00:00:00"/>
    <s v="ONODA"/>
    <s v="DESPESA VIAGEM FAZENDA"/>
    <n v="1290"/>
    <m/>
    <x v="8"/>
    <s v="CUSTEIO"/>
    <x v="1"/>
    <n v="2025"/>
    <x v="0"/>
  </r>
  <r>
    <d v="2025-08-03T00:00:00"/>
    <s v="ONODA"/>
    <s v="COMPRA PEÇAS PALMAS"/>
    <n v="867"/>
    <m/>
    <x v="1"/>
    <s v="CUSTEIO"/>
    <x v="1"/>
    <n v="2025"/>
    <x v="0"/>
  </r>
  <r>
    <d v="2025-08-03T00:00:00"/>
    <s v="ONODA"/>
    <s v="CONSERTO E PEÇAS TRATOR"/>
    <n v="1427"/>
    <m/>
    <x v="1"/>
    <s v="CUSTEIO"/>
    <x v="1"/>
    <n v="2025"/>
    <x v="0"/>
  </r>
  <r>
    <d v="2025-08-03T00:00:00"/>
    <s v="ONODA"/>
    <s v="MERCADO ALFREDO"/>
    <n v="528.5"/>
    <m/>
    <x v="0"/>
    <s v="CUSTEIO"/>
    <x v="1"/>
    <n v="2025"/>
    <x v="0"/>
  </r>
  <r>
    <d v="2025-08-03T00:00:00"/>
    <s v="ONODA"/>
    <s v="OLEO DIESEL"/>
    <n v="200"/>
    <m/>
    <x v="1"/>
    <s v="CUSTEIO"/>
    <x v="1"/>
    <n v="2025"/>
    <x v="0"/>
  </r>
  <r>
    <d v="2025-08-03T00:00:00"/>
    <s v="ONODA"/>
    <s v="TRATOR ESTEIRA JUNIOR"/>
    <n v="4200"/>
    <m/>
    <x v="1"/>
    <s v="CUSTEIO"/>
    <x v="1"/>
    <n v="2025"/>
    <x v="0"/>
  </r>
  <r>
    <d v="2025-08-03T00:00:00"/>
    <s v="ONODA"/>
    <s v="DESPESA VIAGEM CAMILA "/>
    <n v="2152"/>
    <m/>
    <x v="8"/>
    <s v="CUSTEIO"/>
    <x v="1"/>
    <n v="2025"/>
    <x v="0"/>
  </r>
  <r>
    <d v="2025-08-03T00:00:00"/>
    <s v="ONODA"/>
    <s v="FGTS"/>
    <n v="1429.54"/>
    <m/>
    <x v="0"/>
    <s v="CUSTEIO"/>
    <x v="1"/>
    <n v="2025"/>
    <x v="0"/>
  </r>
  <r>
    <d v="2025-08-03T00:00:00"/>
    <s v="ONODA"/>
    <s v="IR"/>
    <n v="1633.88"/>
    <m/>
    <x v="6"/>
    <s v="CUSTEIO"/>
    <x v="1"/>
    <n v="2025"/>
    <x v="0"/>
  </r>
  <r>
    <d v="2025-08-03T00:00:00"/>
    <s v="ONODA"/>
    <s v="CONSERTO APARELHO DE CHOQUE"/>
    <n v="1100"/>
    <m/>
    <x v="4"/>
    <s v="CUSTEIO"/>
    <x v="1"/>
    <n v="2025"/>
    <x v="0"/>
  </r>
  <r>
    <d v="2025-08-03T00:00:00"/>
    <s v="ONODA"/>
    <s v="FRETE"/>
    <n v="170"/>
    <m/>
    <x v="4"/>
    <s v="CUSTEIO"/>
    <x v="1"/>
    <n v="2025"/>
    <x v="0"/>
  </r>
  <r>
    <d v="2025-08-03T00:00:00"/>
    <s v="ONODA"/>
    <s v="GASOLINA + DIESEL"/>
    <n v="3584.85"/>
    <m/>
    <x v="1"/>
    <s v="CUSTEIO"/>
    <x v="1"/>
    <n v="2025"/>
    <x v="0"/>
  </r>
  <r>
    <d v="2025-08-03T00:00:00"/>
    <s v="ONODA"/>
    <s v="GÁS"/>
    <n v="140"/>
    <m/>
    <x v="0"/>
    <s v="CUSTEIO"/>
    <x v="1"/>
    <n v="2025"/>
    <x v="0"/>
  </r>
  <r>
    <d v="2025-08-03T00:00:00"/>
    <s v="ONODA"/>
    <s v="CONTADOR "/>
    <n v="944"/>
    <m/>
    <x v="0"/>
    <s v="CUSTEIO"/>
    <x v="1"/>
    <n v="2025"/>
    <x v="0"/>
  </r>
  <r>
    <d v="2025-08-03T00:00:00"/>
    <s v="ONODA"/>
    <s v="CONSULTORIA"/>
    <n v="3000"/>
    <m/>
    <x v="0"/>
    <s v="CUSTEIO"/>
    <x v="1"/>
    <n v="2025"/>
    <x v="0"/>
  </r>
  <r>
    <d v="2025-08-03T00:00:00"/>
    <s v="ONODA"/>
    <s v="SALÁRIO FUNCIONÁRIOS "/>
    <n v="14331.08"/>
    <m/>
    <x v="0"/>
    <s v="CUSTEIO"/>
    <x v="1"/>
    <n v="2025"/>
    <x v="0"/>
  </r>
  <r>
    <d v="2025-08-03T00:00:00"/>
    <s v="ONODA"/>
    <s v="TOCANTINS BORRACHAS"/>
    <n v="700"/>
    <m/>
    <x v="1"/>
    <s v="CUSTEIO"/>
    <x v="1"/>
    <n v="2025"/>
    <x v="0"/>
  </r>
  <r>
    <d v="2025-08-03T00:00:00"/>
    <s v="ONODA"/>
    <s v="FERPAM"/>
    <n v="900"/>
    <m/>
    <x v="1"/>
    <s v="CUSTEIO"/>
    <x v="1"/>
    <n v="2025"/>
    <x v="0"/>
  </r>
  <r>
    <d v="2025-08-03T00:00:00"/>
    <s v="ONODA"/>
    <s v="CONSERTO BOMBA TRATOR"/>
    <n v="2100"/>
    <m/>
    <x v="1"/>
    <s v="CUSTEIO"/>
    <x v="1"/>
    <n v="2025"/>
    <x v="0"/>
  </r>
  <r>
    <d v="2025-09-03T00:00:00"/>
    <s v="ONODA"/>
    <s v="NUTRIÇÃO SAL MINERAL"/>
    <n v="27475"/>
    <m/>
    <x v="9"/>
    <s v="CUSTEIO"/>
    <x v="2"/>
    <n v="2025"/>
    <x v="0"/>
  </r>
  <r>
    <d v="2025-09-03T00:00:00"/>
    <s v="ONODA"/>
    <s v="MAQCAMPO PEÇAS TRATOR"/>
    <n v="5845.67"/>
    <m/>
    <x v="1"/>
    <s v="CUSTEIO"/>
    <x v="2"/>
    <n v="2025"/>
    <x v="0"/>
  </r>
  <r>
    <d v="2025-09-03T00:00:00"/>
    <s v="ONODA"/>
    <s v="SALARIO DOS FUNCIONÁRIOS"/>
    <n v="14331.08"/>
    <m/>
    <x v="0"/>
    <s v="CUSTEIO"/>
    <x v="2"/>
    <n v="2025"/>
    <x v="0"/>
  </r>
  <r>
    <d v="2025-09-03T00:00:00"/>
    <s v="ONODA"/>
    <s v="FERIAS DO PRETO"/>
    <n v="1879.53"/>
    <m/>
    <x v="0"/>
    <s v="CUSTEIO"/>
    <x v="2"/>
    <n v="2025"/>
    <x v="0"/>
  </r>
  <r>
    <d v="2025-09-03T00:00:00"/>
    <s v="ONODA"/>
    <s v="MERCADO ALFREDO"/>
    <n v="732.2"/>
    <m/>
    <x v="0"/>
    <s v="CUSTEIO"/>
    <x v="2"/>
    <n v="2025"/>
    <x v="0"/>
  </r>
  <r>
    <d v="2025-09-03T00:00:00"/>
    <s v="ONODA"/>
    <s v="DIFERENÇA ACERTO FÉRIAS PRETO"/>
    <n v="449"/>
    <m/>
    <x v="0"/>
    <s v="CUSTEIO"/>
    <x v="2"/>
    <n v="2025"/>
    <x v="0"/>
  </r>
  <r>
    <d v="2025-09-03T00:00:00"/>
    <s v="ONODA"/>
    <s v="JUNIOR TRATORISTA"/>
    <n v="4200"/>
    <m/>
    <x v="0"/>
    <s v="CUSTEIO"/>
    <x v="2"/>
    <n v="2025"/>
    <x v="0"/>
  </r>
  <r>
    <d v="2025-09-03T00:00:00"/>
    <s v="ONODA"/>
    <s v="SERVIÇOS V EXTRA"/>
    <n v="400"/>
    <m/>
    <x v="0"/>
    <s v="CUSTEIO"/>
    <x v="2"/>
    <n v="2025"/>
    <x v="0"/>
  </r>
  <r>
    <d v="2025-09-03T00:00:00"/>
    <s v="ONODA"/>
    <s v="ESTACIONAMENTO  EM PALMAS"/>
    <n v="300"/>
    <m/>
    <x v="8"/>
    <s v="CUSTEIO"/>
    <x v="2"/>
    <n v="2025"/>
    <x v="0"/>
  </r>
  <r>
    <d v="2025-09-03T00:00:00"/>
    <s v="ONODA"/>
    <s v="FERPAM"/>
    <n v="639"/>
    <m/>
    <x v="10"/>
    <s v="CUSTEIO"/>
    <x v="2"/>
    <n v="2025"/>
    <x v="0"/>
  </r>
  <r>
    <d v="2025-09-03T00:00:00"/>
    <s v="ONODA"/>
    <s v="RETIFICA DA BOMBA DO TRATOR"/>
    <n v="4180"/>
    <m/>
    <x v="1"/>
    <s v="CUSTEIO"/>
    <x v="2"/>
    <n v="2025"/>
    <x v="0"/>
  </r>
  <r>
    <d v="2025-09-03T00:00:00"/>
    <s v="ONODA"/>
    <s v="RETIRADA SÓCIA CAMILA"/>
    <n v="4000"/>
    <m/>
    <x v="0"/>
    <s v="CUSTEIO"/>
    <x v="2"/>
    <n v="2025"/>
    <x v="0"/>
  </r>
  <r>
    <d v="2025-09-03T00:00:00"/>
    <s v="ONODA"/>
    <s v="CONSERTO DA MOTO"/>
    <n v="866.39"/>
    <m/>
    <x v="1"/>
    <s v="CUSTEIO"/>
    <x v="2"/>
    <n v="2025"/>
    <x v="0"/>
  </r>
  <r>
    <d v="2025-09-03T00:00:00"/>
    <s v="ONODA"/>
    <s v="03 BOLAS DE ARAMES"/>
    <n v="1050"/>
    <m/>
    <x v="4"/>
    <s v="CUSTEIO"/>
    <x v="2"/>
    <n v="2025"/>
    <x v="0"/>
  </r>
  <r>
    <d v="2025-09-03T00:00:00"/>
    <s v="ONODA"/>
    <s v="PASSAGEM DE DE AVIÃO"/>
    <n v="1420"/>
    <m/>
    <x v="8"/>
    <s v="CUSTEIO"/>
    <x v="2"/>
    <n v="2025"/>
    <x v="0"/>
  </r>
  <r>
    <d v="2025-09-03T00:00:00"/>
    <s v="ONODA"/>
    <s v="FGTS"/>
    <n v="1448.68"/>
    <m/>
    <x v="0"/>
    <s v="CUSTEIO"/>
    <x v="2"/>
    <n v="2025"/>
    <x v="0"/>
  </r>
  <r>
    <d v="2025-09-03T00:00:00"/>
    <s v="ONODA"/>
    <s v="IMPOSTO RECEITA FEDERAL"/>
    <n v="1587.48"/>
    <m/>
    <x v="6"/>
    <s v="CUSTEIO"/>
    <x v="2"/>
    <n v="2025"/>
    <x v="0"/>
  </r>
  <r>
    <d v="2025-09-03T00:00:00"/>
    <s v="ONODA"/>
    <s v="CONSERTO AR CONDICIONADO"/>
    <n v="700"/>
    <m/>
    <x v="7"/>
    <s v="CUSTEIO"/>
    <x v="2"/>
    <n v="2025"/>
    <x v="0"/>
  </r>
  <r>
    <d v="2025-09-03T00:00:00"/>
    <s v="ONODA"/>
    <s v="POSTO TIGRAO"/>
    <n v="3358.71"/>
    <m/>
    <x v="1"/>
    <s v="CUSTEIO"/>
    <x v="2"/>
    <n v="2025"/>
    <x v="0"/>
  </r>
  <r>
    <d v="2025-09-03T00:00:00"/>
    <s v="ONODA"/>
    <s v="06 BOLAS DE ARAME"/>
    <n v="2100"/>
    <m/>
    <x v="4"/>
    <s v="CUSTEIO"/>
    <x v="2"/>
    <n v="2025"/>
    <x v="0"/>
  </r>
  <r>
    <d v="2025-09-03T00:00:00"/>
    <s v="ONODA"/>
    <s v="PEÇA PARA GRADE"/>
    <n v="161"/>
    <m/>
    <x v="1"/>
    <s v="CUSTEIO"/>
    <x v="2"/>
    <n v="2025"/>
    <x v="0"/>
  </r>
  <r>
    <d v="2025-09-03T00:00:00"/>
    <s v="ONODA"/>
    <s v="CONTADOR "/>
    <n v="944"/>
    <m/>
    <x v="0"/>
    <s v="CUSTEIO"/>
    <x v="2"/>
    <n v="2025"/>
    <x v="0"/>
  </r>
  <r>
    <d v="2025-09-03T00:00:00"/>
    <s v="ONODA"/>
    <s v="AGROVET"/>
    <n v="1740"/>
    <m/>
    <x v="4"/>
    <s v="CUSTEIO"/>
    <x v="2"/>
    <n v="2025"/>
    <x v="0"/>
  </r>
  <r>
    <d v="2025-09-03T00:00:00"/>
    <s v="ONODA"/>
    <s v="CONSULTORIA"/>
    <n v="3000"/>
    <m/>
    <x v="0"/>
    <s v="CUSTEIO"/>
    <x v="2"/>
    <n v="2025"/>
    <x v="0"/>
  </r>
  <r>
    <d v="2025-09-03T00:00:00"/>
    <s v="ONODA"/>
    <s v=" NUTRIÇÃO SAL MINERAL"/>
    <n v="27475"/>
    <m/>
    <x v="9"/>
    <s v="CUSTEIO"/>
    <x v="2"/>
    <n v="2025"/>
    <x v="0"/>
  </r>
  <r>
    <d v="2025-09-03T00:00:00"/>
    <s v="ONODA"/>
    <s v="REVISÃO PROGRAMA"/>
    <n v="933.34"/>
    <m/>
    <x v="0"/>
    <s v="CUSTEIO"/>
    <x v="2"/>
    <n v="2025"/>
    <x v="0"/>
  </r>
  <r>
    <d v="2025-09-03T00:00:00"/>
    <s v="ONODA"/>
    <s v="MAQCAMPO PEÇAS TRATOR"/>
    <n v="953.29"/>
    <m/>
    <x v="1"/>
    <s v="CUSTEIO"/>
    <x v="2"/>
    <n v="2025"/>
    <x v="0"/>
  </r>
  <r>
    <d v="2025-09-03T00:00:00"/>
    <s v="ONODA"/>
    <s v="MAQCAMPO PEÇAS TRATOR"/>
    <n v="2494.8200000000002"/>
    <m/>
    <x v="1"/>
    <s v="CUSTEIO"/>
    <x v="2"/>
    <n v="2025"/>
    <x v="0"/>
  </r>
  <r>
    <d v="2025-09-03T00:00:00"/>
    <s v="ONODA"/>
    <s v="ANALISE DE SOLO"/>
    <n v="178.5"/>
    <m/>
    <x v="4"/>
    <s v="CUSTEIO"/>
    <x v="2"/>
    <n v="2025"/>
    <x v="0"/>
  </r>
  <r>
    <d v="2025-10-03T00:00:00"/>
    <s v="ONODA"/>
    <s v="BATERIA PARA MOTO"/>
    <n v="375"/>
    <m/>
    <x v="11"/>
    <m/>
    <x v="3"/>
    <n v="2025"/>
    <x v="0"/>
  </r>
  <r>
    <d v="2025-10-03T00:00:00"/>
    <s v="ONODA"/>
    <s v="MATERIAL DE CONSTRUÇÃO"/>
    <n v="290"/>
    <m/>
    <x v="7"/>
    <m/>
    <x v="3"/>
    <n v="2025"/>
    <x v="0"/>
  </r>
  <r>
    <d v="2025-10-03T00:00:00"/>
    <s v="ONODA"/>
    <s v="JUNIOR TRATORISTA"/>
    <n v="4200"/>
    <m/>
    <x v="0"/>
    <m/>
    <x v="3"/>
    <n v="2025"/>
    <x v="0"/>
  </r>
  <r>
    <d v="2025-10-03T00:00:00"/>
    <s v="ONODA"/>
    <s v="MAQCAMPO PEÇAS TRATOR"/>
    <n v="831.85"/>
    <m/>
    <x v="1"/>
    <m/>
    <x v="3"/>
    <n v="2025"/>
    <x v="0"/>
  </r>
  <r>
    <d v="2025-10-03T00:00:00"/>
    <s v="ONODA"/>
    <s v="MATSUDA SEMENTES"/>
    <n v="20699"/>
    <m/>
    <x v="3"/>
    <m/>
    <x v="3"/>
    <n v="2025"/>
    <x v="0"/>
  </r>
  <r>
    <d v="2025-10-03T00:00:00"/>
    <s v="ONODA"/>
    <s v="TRATOR FERTIL OLEO"/>
    <n v="515"/>
    <m/>
    <x v="1"/>
    <m/>
    <x v="3"/>
    <n v="2025"/>
    <x v="0"/>
  </r>
  <r>
    <d v="2025-10-03T00:00:00"/>
    <s v="ONODA"/>
    <s v="CONSERTO MOTO"/>
    <n v="375"/>
    <m/>
    <x v="0"/>
    <m/>
    <x v="3"/>
    <n v="2025"/>
    <x v="0"/>
  </r>
  <r>
    <d v="2025-10-03T00:00:00"/>
    <s v="ONODA"/>
    <s v="SALARIO DOS FUNCIONÁRIOS"/>
    <n v="17700"/>
    <m/>
    <x v="0"/>
    <m/>
    <x v="3"/>
    <n v="2025"/>
    <x v="0"/>
  </r>
  <r>
    <d v="2025-10-03T00:00:00"/>
    <s v="ONODA"/>
    <s v="CONSERTO DE MOTO J"/>
    <n v="251"/>
    <m/>
    <x v="0"/>
    <m/>
    <x v="3"/>
    <n v="2025"/>
    <x v="0"/>
  </r>
  <r>
    <d v="2025-10-03T00:00:00"/>
    <s v="ONODA"/>
    <s v="FRETE"/>
    <n v="200"/>
    <m/>
    <x v="4"/>
    <m/>
    <x v="3"/>
    <n v="2025"/>
    <x v="0"/>
  </r>
  <r>
    <d v="2025-10-03T00:00:00"/>
    <s v="ONODA"/>
    <s v="TRATOR FERTIL OLEO"/>
    <n v="390"/>
    <m/>
    <x v="1"/>
    <m/>
    <x v="3"/>
    <n v="2025"/>
    <x v="0"/>
  </r>
  <r>
    <d v="2025-10-03T00:00:00"/>
    <s v="ONODA"/>
    <s v="FERPAM"/>
    <n v="1785"/>
    <m/>
    <x v="7"/>
    <m/>
    <x v="3"/>
    <n v="2025"/>
    <x v="0"/>
  </r>
  <r>
    <d v="2025-10-03T00:00:00"/>
    <s v="ONODA"/>
    <s v="HOME CENTER CONSTRUÇÃO"/>
    <n v="290"/>
    <m/>
    <x v="7"/>
    <m/>
    <x v="3"/>
    <n v="2025"/>
    <x v="0"/>
  </r>
  <r>
    <d v="2025-10-03T00:00:00"/>
    <s v="ONODA"/>
    <s v="MERCADO ALFREDO"/>
    <n v="1308.5"/>
    <m/>
    <x v="0"/>
    <m/>
    <x v="3"/>
    <n v="2025"/>
    <x v="0"/>
  </r>
  <r>
    <d v="2025-10-03T00:00:00"/>
    <s v="ONODA"/>
    <s v="VITORIA AUTOPEÇAS"/>
    <n v="196"/>
    <m/>
    <x v="1"/>
    <m/>
    <x v="3"/>
    <n v="2025"/>
    <x v="0"/>
  </r>
  <r>
    <d v="2025-10-03T00:00:00"/>
    <s v="ONODA"/>
    <s v="CALTINS CALCARIO"/>
    <n v="41904"/>
    <m/>
    <x v="11"/>
    <m/>
    <x v="3"/>
    <n v="2025"/>
    <x v="0"/>
  </r>
  <r>
    <d v="2025-10-03T00:00:00"/>
    <s v="ONODA"/>
    <s v="OLEO DIESEL + GASOLINA"/>
    <n v="12998.62"/>
    <m/>
    <x v="1"/>
    <m/>
    <x v="3"/>
    <n v="2025"/>
    <x v="0"/>
  </r>
  <r>
    <d v="2025-10-03T00:00:00"/>
    <s v="ONODA"/>
    <s v="RETIRADA SÓCIA CAMILA"/>
    <n v="4000"/>
    <m/>
    <x v="0"/>
    <m/>
    <x v="3"/>
    <n v="2025"/>
    <x v="0"/>
  </r>
  <r>
    <d v="2025-10-03T00:00:00"/>
    <s v="ONODA"/>
    <s v="10 BOLAS DE ARAME"/>
    <n v="3500"/>
    <m/>
    <x v="4"/>
    <m/>
    <x v="3"/>
    <n v="2025"/>
    <x v="0"/>
  </r>
  <r>
    <d v="2025-10-03T00:00:00"/>
    <s v="ONODA"/>
    <s v="FGTS"/>
    <n v="1330.4"/>
    <m/>
    <x v="0"/>
    <m/>
    <x v="3"/>
    <n v="2025"/>
    <x v="0"/>
  </r>
  <r>
    <d v="2025-10-03T00:00:00"/>
    <s v="ONODA"/>
    <s v="IMPOSTO RECEITA FEDERAL"/>
    <n v="1437"/>
    <m/>
    <x v="6"/>
    <m/>
    <x v="3"/>
    <n v="2025"/>
    <x v="0"/>
  </r>
  <r>
    <d v="2025-10-03T00:00:00"/>
    <s v="ONODA"/>
    <s v="MANGUEIRA TRATOS "/>
    <n v="193"/>
    <m/>
    <x v="1"/>
    <m/>
    <x v="3"/>
    <n v="2025"/>
    <x v="0"/>
  </r>
  <r>
    <d v="2025-10-03T00:00:00"/>
    <s v="ONODA"/>
    <s v="MATSUDA SEMENTES MILHETO"/>
    <n v="2675"/>
    <m/>
    <x v="11"/>
    <m/>
    <x v="3"/>
    <n v="2025"/>
    <x v="0"/>
  </r>
  <r>
    <d v="2025-10-03T00:00:00"/>
    <s v="ONODA"/>
    <s v="FRETE CALCARIO"/>
    <n v="43316"/>
    <m/>
    <x v="3"/>
    <m/>
    <x v="3"/>
    <n v="2025"/>
    <x v="0"/>
  </r>
  <r>
    <d v="2025-10-03T00:00:00"/>
    <s v="ONODA"/>
    <s v="CONTADOR "/>
    <n v="944"/>
    <m/>
    <x v="0"/>
    <m/>
    <x v="3"/>
    <n v="2025"/>
    <x v="0"/>
  </r>
  <r>
    <d v="2025-10-03T00:00:00"/>
    <s v="ONODA"/>
    <s v="MAQCAMPO PEÇAS TRATOR"/>
    <n v="1353.31"/>
    <m/>
    <x v="1"/>
    <m/>
    <x v="3"/>
    <n v="2025"/>
    <x v="0"/>
  </r>
  <r>
    <d v="2025-10-03T00:00:00"/>
    <s v="ONODA"/>
    <s v="CONSULTORIA"/>
    <n v="3000"/>
    <m/>
    <x v="0"/>
    <m/>
    <x v="3"/>
    <n v="2025"/>
    <x v="0"/>
  </r>
  <r>
    <d v="2025-10-03T00:00:00"/>
    <s v="ONODA"/>
    <s v="COMISSÃO CORRETOR"/>
    <n v="1338"/>
    <m/>
    <x v="4"/>
    <m/>
    <x v="3"/>
    <n v="2025"/>
    <x v="0"/>
  </r>
  <r>
    <d v="2025-10-03T00:00:00"/>
    <s v="ONODA"/>
    <s v="CARGIRL NUTRIÇÃO"/>
    <n v="27474.99"/>
    <m/>
    <x v="9"/>
    <m/>
    <x v="3"/>
    <n v="2025"/>
    <x v="0"/>
  </r>
  <r>
    <d v="2025-10-03T00:00:00"/>
    <s v="ONODA"/>
    <s v="EUROCHEM ADUBO"/>
    <n v="66960"/>
    <m/>
    <x v="3"/>
    <m/>
    <x v="3"/>
    <n v="2025"/>
    <x v="0"/>
  </r>
  <r>
    <d v="2025-10-03T00:00:00"/>
    <s v="ONODA"/>
    <s v="POSTO TIGRAO"/>
    <n v="1063.27"/>
    <m/>
    <x v="11"/>
    <m/>
    <x v="3"/>
    <n v="2025"/>
    <x v="0"/>
  </r>
  <r>
    <d v="2025-11-03T00:00:00"/>
    <s v="ONODA"/>
    <s v="SALARIO DOS FUNCIONÁRIOS "/>
    <n v="24623.439999999999"/>
    <m/>
    <x v="0"/>
    <m/>
    <x v="4"/>
    <n v="2025"/>
    <x v="0"/>
  </r>
  <r>
    <d v="2025-11-03T00:00:00"/>
    <s v="ONODA"/>
    <s v="MERCADO MANOEL CARNES"/>
    <n v="439.51"/>
    <m/>
    <x v="0"/>
    <m/>
    <x v="4"/>
    <n v="2025"/>
    <x v="0"/>
  </r>
  <r>
    <d v="2025-11-03T00:00:00"/>
    <s v="ONODA"/>
    <s v="MAQCAMPO PEÇAS TRATOR"/>
    <n v="1384"/>
    <m/>
    <x v="1"/>
    <m/>
    <x v="4"/>
    <n v="2025"/>
    <x v="0"/>
  </r>
  <r>
    <d v="2025-11-03T00:00:00"/>
    <s v="ONODA"/>
    <s v="TORNEADORA"/>
    <n v="1930"/>
    <m/>
    <x v="1"/>
    <m/>
    <x v="4"/>
    <n v="2025"/>
    <x v="0"/>
  </r>
  <r>
    <d v="2025-11-03T00:00:00"/>
    <s v="ONODA"/>
    <s v="WILLIAN MECANICO"/>
    <n v="9000"/>
    <m/>
    <x v="1"/>
    <m/>
    <x v="4"/>
    <n v="2025"/>
    <x v="0"/>
  </r>
  <r>
    <d v="2025-11-03T00:00:00"/>
    <s v="ONODA"/>
    <s v="JUNIOR TRATORISTA"/>
    <n v="3850"/>
    <m/>
    <x v="1"/>
    <m/>
    <x v="4"/>
    <n v="2025"/>
    <x v="0"/>
  </r>
  <r>
    <d v="2025-11-03T00:00:00"/>
    <s v="ONODA"/>
    <s v="RETIFICA DA BOMBA INJETORA"/>
    <n v="4180"/>
    <m/>
    <x v="1"/>
    <m/>
    <x v="4"/>
    <n v="2025"/>
    <x v="0"/>
  </r>
  <r>
    <d v="2025-11-03T00:00:00"/>
    <s v="ONODA"/>
    <s v="COMPRAS AJJAI"/>
    <n v="1423.37"/>
    <m/>
    <x v="11"/>
    <m/>
    <x v="4"/>
    <n v="2025"/>
    <x v="0"/>
  </r>
  <r>
    <d v="2025-11-03T00:00:00"/>
    <s v="ONODA"/>
    <s v="MERCADO ALFREDO"/>
    <n v="826"/>
    <m/>
    <x v="0"/>
    <m/>
    <x v="4"/>
    <n v="2025"/>
    <x v="0"/>
  </r>
  <r>
    <d v="2025-11-03T00:00:00"/>
    <s v="ONODA"/>
    <s v="CARGIRL NUTRIÇÃO"/>
    <n v="26200"/>
    <m/>
    <x v="9"/>
    <m/>
    <x v="4"/>
    <n v="2025"/>
    <x v="0"/>
  </r>
  <r>
    <d v="2025-11-03T00:00:00"/>
    <s v="ONODA"/>
    <s v="VULCANIZAÇÃO TRATOR"/>
    <n v="1500"/>
    <m/>
    <x v="1"/>
    <m/>
    <x v="4"/>
    <n v="2025"/>
    <x v="0"/>
  </r>
  <r>
    <d v="2025-11-03T00:00:00"/>
    <s v="ONODA"/>
    <s v="CONSERTO AR CONDICIONADO TRATOR"/>
    <n v="525"/>
    <m/>
    <x v="1"/>
    <m/>
    <x v="4"/>
    <n v="2025"/>
    <x v="0"/>
  </r>
  <r>
    <d v="2025-11-03T00:00:00"/>
    <s v="ONODA"/>
    <s v="POSTO TIGRAO"/>
    <n v="292.60000000000002"/>
    <m/>
    <x v="1"/>
    <m/>
    <x v="4"/>
    <n v="2025"/>
    <x v="0"/>
  </r>
  <r>
    <d v="2025-11-03T00:00:00"/>
    <s v="ONODA"/>
    <s v="BALANSEG. CONSULTORIA"/>
    <n v="933.33"/>
    <m/>
    <x v="11"/>
    <m/>
    <x v="4"/>
    <n v="2025"/>
    <x v="0"/>
  </r>
  <r>
    <d v="2025-11-03T00:00:00"/>
    <s v="ONODA"/>
    <s v="RETIRADA SÓCIA CAMILA"/>
    <n v="4000"/>
    <m/>
    <x v="0"/>
    <m/>
    <x v="4"/>
    <n v="2025"/>
    <x v="0"/>
  </r>
  <r>
    <d v="2025-11-03T00:00:00"/>
    <s v="ONODA"/>
    <s v="FGTS"/>
    <n v="1330.4"/>
    <m/>
    <x v="0"/>
    <m/>
    <x v="4"/>
    <n v="2025"/>
    <x v="0"/>
  </r>
  <r>
    <d v="2025-11-03T00:00:00"/>
    <s v="ONODA"/>
    <s v="IR"/>
    <n v="1437"/>
    <m/>
    <x v="11"/>
    <m/>
    <x v="4"/>
    <n v="2025"/>
    <x v="0"/>
  </r>
  <r>
    <d v="2025-11-03T00:00:00"/>
    <s v="ONODA"/>
    <s v="FRETE"/>
    <n v="4000"/>
    <m/>
    <x v="4"/>
    <m/>
    <x v="4"/>
    <n v="2025"/>
    <x v="0"/>
  </r>
  <r>
    <d v="2025-11-03T00:00:00"/>
    <s v="ONODA"/>
    <s v="AR CONDICIONADO VALE"/>
    <n v="2000"/>
    <m/>
    <x v="11"/>
    <m/>
    <x v="4"/>
    <n v="2025"/>
    <x v="0"/>
  </r>
  <r>
    <d v="2025-11-03T00:00:00"/>
    <s v="ONODA"/>
    <s v="CONTADOR "/>
    <n v="944"/>
    <m/>
    <x v="0"/>
    <m/>
    <x v="4"/>
    <n v="2025"/>
    <x v="0"/>
  </r>
  <r>
    <d v="2025-11-03T00:00:00"/>
    <s v="ONODA"/>
    <s v="MAQCAMPO PEÇAS TRATOR"/>
    <n v="5845.67"/>
    <m/>
    <x v="1"/>
    <m/>
    <x v="4"/>
    <n v="2025"/>
    <x v="0"/>
  </r>
  <r>
    <d v="2025-11-03T00:00:00"/>
    <s v="ONODA"/>
    <s v="CONSULTORIA"/>
    <n v="3000"/>
    <m/>
    <x v="0"/>
    <m/>
    <x v="4"/>
    <n v="2025"/>
    <x v="0"/>
  </r>
  <r>
    <d v="2025-11-03T00:00:00"/>
    <s v="ONODA"/>
    <s v="AR CONDICIONADO IMPLEMENTO"/>
    <n v="3500"/>
    <m/>
    <x v="11"/>
    <m/>
    <x v="4"/>
    <n v="2025"/>
    <x v="0"/>
  </r>
  <r>
    <d v="2025-11-03T00:00:00"/>
    <s v="ONODA"/>
    <s v="CONSERTO MOTO"/>
    <n v="160"/>
    <m/>
    <x v="0"/>
    <m/>
    <x v="4"/>
    <n v="2025"/>
    <x v="0"/>
  </r>
  <r>
    <d v="2025-11-03T00:00:00"/>
    <s v="ONODA"/>
    <s v="PEÇAS PARA TRATOR"/>
    <n v="3500"/>
    <m/>
    <x v="1"/>
    <m/>
    <x v="4"/>
    <n v="2025"/>
    <x v="0"/>
  </r>
  <r>
    <d v="2025-11-03T00:00:00"/>
    <s v="ONODA"/>
    <s v="POSTO TIGRAO"/>
    <n v="14175.9"/>
    <m/>
    <x v="1"/>
    <m/>
    <x v="4"/>
    <n v="2025"/>
    <x v="0"/>
  </r>
  <r>
    <d v="2025-11-03T00:00:00"/>
    <s v="ONODA"/>
    <s v="FRETE 40 BEZERROS"/>
    <n v="2000"/>
    <m/>
    <x v="4"/>
    <m/>
    <x v="4"/>
    <n v="2025"/>
    <x v="0"/>
  </r>
  <r>
    <d v="2025-12-03T00:00:00"/>
    <s v="ONODA"/>
    <s v="SALARIO DOS FUNCIONÁRIOS "/>
    <n v="17600"/>
    <m/>
    <x v="0"/>
    <m/>
    <x v="5"/>
    <n v="2025"/>
    <x v="0"/>
  </r>
  <r>
    <d v="2025-12-03T00:00:00"/>
    <s v="ONODA"/>
    <s v="CONTADOR "/>
    <n v="933.33"/>
    <m/>
    <x v="11"/>
    <m/>
    <x v="5"/>
    <n v="2025"/>
    <x v="0"/>
  </r>
  <r>
    <d v="2025-12-03T00:00:00"/>
    <s v="ONODA"/>
    <m/>
    <n v="143"/>
    <m/>
    <x v="11"/>
    <m/>
    <x v="5"/>
    <n v="2025"/>
    <x v="0"/>
  </r>
  <r>
    <d v="2025-12-03T00:00:00"/>
    <s v="ONODA"/>
    <m/>
    <n v="5000"/>
    <m/>
    <x v="11"/>
    <m/>
    <x v="5"/>
    <n v="2025"/>
    <x v="0"/>
  </r>
  <r>
    <d v="2025-12-03T00:00:00"/>
    <s v="ONODA"/>
    <m/>
    <n v="3850"/>
    <m/>
    <x v="11"/>
    <m/>
    <x v="5"/>
    <n v="2025"/>
    <x v="0"/>
  </r>
  <r>
    <d v="2025-12-03T00:00:00"/>
    <s v="ONODA"/>
    <m/>
    <n v="5804"/>
    <m/>
    <x v="11"/>
    <m/>
    <x v="5"/>
    <n v="2025"/>
    <x v="0"/>
  </r>
  <r>
    <d v="2025-12-03T00:00:00"/>
    <s v="ONODA"/>
    <m/>
    <n v="26200"/>
    <m/>
    <x v="11"/>
    <m/>
    <x v="5"/>
    <n v="2025"/>
    <x v="0"/>
  </r>
  <r>
    <d v="2025-12-03T00:00:00"/>
    <s v="ONODA"/>
    <m/>
    <n v="1500"/>
    <m/>
    <x v="11"/>
    <m/>
    <x v="5"/>
    <n v="2025"/>
    <x v="0"/>
  </r>
  <r>
    <d v="2025-12-03T00:00:00"/>
    <s v="ONODA"/>
    <m/>
    <n v="1800"/>
    <m/>
    <x v="11"/>
    <m/>
    <x v="5"/>
    <n v="2025"/>
    <x v="0"/>
  </r>
  <r>
    <d v="2025-12-03T00:00:00"/>
    <s v="ONODA"/>
    <m/>
    <n v="4000"/>
    <m/>
    <x v="11"/>
    <m/>
    <x v="5"/>
    <n v="2025"/>
    <x v="0"/>
  </r>
  <r>
    <d v="2025-12-03T00:00:00"/>
    <s v="ONODA"/>
    <m/>
    <n v="250"/>
    <m/>
    <x v="11"/>
    <m/>
    <x v="5"/>
    <n v="2025"/>
    <x v="0"/>
  </r>
  <r>
    <d v="2025-12-03T00:00:00"/>
    <s v="ONODA"/>
    <m/>
    <n v="1164.3499999999999"/>
    <m/>
    <x v="11"/>
    <m/>
    <x v="5"/>
    <n v="2025"/>
    <x v="0"/>
  </r>
  <r>
    <d v="2025-12-03T00:00:00"/>
    <s v="ONODA"/>
    <m/>
    <n v="2820"/>
    <m/>
    <x v="11"/>
    <m/>
    <x v="5"/>
    <n v="2025"/>
    <x v="0"/>
  </r>
  <r>
    <d v="2025-12-03T00:00:00"/>
    <s v="ONODA"/>
    <m/>
    <n v="3500"/>
    <m/>
    <x v="11"/>
    <m/>
    <x v="5"/>
    <n v="2025"/>
    <x v="0"/>
  </r>
  <r>
    <d v="2025-12-03T00:00:00"/>
    <s v="ONODA"/>
    <m/>
    <n v="4480.71"/>
    <m/>
    <x v="11"/>
    <m/>
    <x v="5"/>
    <n v="2025"/>
    <x v="0"/>
  </r>
  <r>
    <d v="2025-12-03T00:00:00"/>
    <s v="ONODA"/>
    <m/>
    <n v="4600"/>
    <m/>
    <x v="11"/>
    <m/>
    <x v="5"/>
    <n v="2025"/>
    <x v="0"/>
  </r>
  <r>
    <d v="2025-12-03T00:00:00"/>
    <s v="ONODA"/>
    <m/>
    <n v="5845.68"/>
    <m/>
    <x v="11"/>
    <m/>
    <x v="5"/>
    <n v="2025"/>
    <x v="0"/>
  </r>
  <r>
    <d v="2025-12-03T00:00:00"/>
    <s v="ONODA"/>
    <m/>
    <n v="2262.67"/>
    <m/>
    <x v="11"/>
    <m/>
    <x v="5"/>
    <n v="2025"/>
    <x v="0"/>
  </r>
  <r>
    <d v="2025-12-03T00:00:00"/>
    <s v="ONODA"/>
    <m/>
    <n v="944"/>
    <m/>
    <x v="11"/>
    <m/>
    <x v="5"/>
    <n v="2025"/>
    <x v="0"/>
  </r>
  <r>
    <d v="2025-12-03T00:00:00"/>
    <s v="ONODA"/>
    <m/>
    <n v="1281"/>
    <m/>
    <x v="11"/>
    <m/>
    <x v="5"/>
    <n v="2025"/>
    <x v="0"/>
  </r>
  <r>
    <d v="2025-12-03T00:00:00"/>
    <s v="ONODA"/>
    <m/>
    <n v="4042"/>
    <m/>
    <x v="11"/>
    <m/>
    <x v="5"/>
    <n v="2025"/>
    <x v="0"/>
  </r>
  <r>
    <d v="2025-01-03T00:00:00"/>
    <s v="ONODA"/>
    <m/>
    <n v="1332.97"/>
    <m/>
    <x v="11"/>
    <m/>
    <x v="6"/>
    <n v="2026"/>
    <x v="0"/>
  </r>
  <r>
    <d v="2025-01-03T00:00:00"/>
    <s v="ONODA"/>
    <m/>
    <n v="1865.5"/>
    <m/>
    <x v="11"/>
    <m/>
    <x v="6"/>
    <n v="2026"/>
    <x v="0"/>
  </r>
  <r>
    <d v="2025-01-03T00:00:00"/>
    <s v="ONODA"/>
    <m/>
    <n v="26200"/>
    <m/>
    <x v="11"/>
    <m/>
    <x v="6"/>
    <n v="2026"/>
    <x v="0"/>
  </r>
  <r>
    <d v="2025-01-03T00:00:00"/>
    <s v="ONODA"/>
    <m/>
    <n v="4042"/>
    <m/>
    <x v="11"/>
    <m/>
    <x v="6"/>
    <n v="2026"/>
    <x v="0"/>
  </r>
  <r>
    <d v="2025-01-03T00:00:00"/>
    <s v="ONODA"/>
    <m/>
    <n v="1085.3499999999999"/>
    <m/>
    <x v="11"/>
    <m/>
    <x v="6"/>
    <n v="2026"/>
    <x v="0"/>
  </r>
  <r>
    <d v="2025-01-03T00:00:00"/>
    <s v="ONODA"/>
    <m/>
    <n v="1000"/>
    <m/>
    <x v="11"/>
    <m/>
    <x v="6"/>
    <n v="2026"/>
    <x v="0"/>
  </r>
  <r>
    <d v="2025-01-03T00:00:00"/>
    <s v="ONODA"/>
    <m/>
    <n v="77"/>
    <m/>
    <x v="11"/>
    <m/>
    <x v="6"/>
    <n v="2026"/>
    <x v="0"/>
  </r>
  <r>
    <d v="2025-01-03T00:00:00"/>
    <s v="ONODA"/>
    <m/>
    <n v="1230.25"/>
    <m/>
    <x v="11"/>
    <m/>
    <x v="6"/>
    <n v="2026"/>
    <x v="0"/>
  </r>
  <r>
    <d v="2025-01-03T00:00:00"/>
    <s v="ONODA"/>
    <m/>
    <n v="120"/>
    <m/>
    <x v="11"/>
    <m/>
    <x v="6"/>
    <n v="2026"/>
    <x v="0"/>
  </r>
  <r>
    <d v="2025-01-03T00:00:00"/>
    <s v="ONODA"/>
    <m/>
    <n v="957.16"/>
    <m/>
    <x v="11"/>
    <m/>
    <x v="6"/>
    <n v="2026"/>
    <x v="0"/>
  </r>
  <r>
    <d v="2025-01-03T00:00:00"/>
    <s v="ONODA"/>
    <m/>
    <n v="475.02"/>
    <m/>
    <x v="11"/>
    <m/>
    <x v="6"/>
    <n v="2026"/>
    <x v="0"/>
  </r>
  <r>
    <d v="2025-01-03T00:00:00"/>
    <s v="ONODA"/>
    <m/>
    <n v="320"/>
    <m/>
    <x v="11"/>
    <m/>
    <x v="6"/>
    <n v="2026"/>
    <x v="0"/>
  </r>
  <r>
    <d v="2025-01-03T00:00:00"/>
    <s v="ONODA"/>
    <m/>
    <n v="4000"/>
    <m/>
    <x v="11"/>
    <m/>
    <x v="6"/>
    <n v="2026"/>
    <x v="0"/>
  </r>
  <r>
    <d v="2025-01-03T00:00:00"/>
    <s v="ONODA"/>
    <m/>
    <n v="4000"/>
    <m/>
    <x v="11"/>
    <m/>
    <x v="6"/>
    <n v="2026"/>
    <x v="0"/>
  </r>
  <r>
    <d v="2025-01-03T00:00:00"/>
    <s v="ONODA"/>
    <m/>
    <n v="1455.07"/>
    <m/>
    <x v="11"/>
    <m/>
    <x v="6"/>
    <n v="2026"/>
    <x v="0"/>
  </r>
  <r>
    <d v="2025-01-03T00:00:00"/>
    <s v="ONODA"/>
    <m/>
    <n v="1886.22"/>
    <m/>
    <x v="11"/>
    <m/>
    <x v="6"/>
    <n v="2026"/>
    <x v="0"/>
  </r>
  <r>
    <d v="2025-01-03T00:00:00"/>
    <s v="ONODA"/>
    <m/>
    <n v="2461.9499999999998"/>
    <m/>
    <x v="11"/>
    <m/>
    <x v="6"/>
    <n v="2026"/>
    <x v="0"/>
  </r>
  <r>
    <d v="2025-01-03T00:00:00"/>
    <s v="ONODA"/>
    <m/>
    <n v="3546.4"/>
    <m/>
    <x v="11"/>
    <m/>
    <x v="6"/>
    <n v="2026"/>
    <x v="0"/>
  </r>
  <r>
    <d v="2025-01-03T00:00:00"/>
    <s v="ONODA"/>
    <m/>
    <n v="8164"/>
    <m/>
    <x v="11"/>
    <m/>
    <x v="6"/>
    <n v="2026"/>
    <x v="0"/>
  </r>
  <r>
    <d v="2025-01-03T00:00:00"/>
    <s v="ONODA"/>
    <m/>
    <n v="4247.24"/>
    <m/>
    <x v="11"/>
    <m/>
    <x v="6"/>
    <n v="2026"/>
    <x v="0"/>
  </r>
  <r>
    <d v="2025-01-03T00:00:00"/>
    <s v="ONODA"/>
    <m/>
    <n v="1582.02"/>
    <m/>
    <x v="11"/>
    <m/>
    <x v="6"/>
    <n v="2026"/>
    <x v="0"/>
  </r>
  <r>
    <d v="2025-01-03T00:00:00"/>
    <s v="ONODA"/>
    <m/>
    <n v="1153.8"/>
    <m/>
    <x v="11"/>
    <m/>
    <x v="6"/>
    <n v="2026"/>
    <x v="0"/>
  </r>
  <r>
    <d v="2025-01-03T00:00:00"/>
    <s v="ONODA"/>
    <m/>
    <n v="770"/>
    <m/>
    <x v="11"/>
    <m/>
    <x v="6"/>
    <n v="2026"/>
    <x v="0"/>
  </r>
  <r>
    <d v="2025-01-03T00:00:00"/>
    <s v="ONODA"/>
    <m/>
    <n v="3627.42"/>
    <m/>
    <x v="11"/>
    <m/>
    <x v="6"/>
    <n v="2026"/>
    <x v="0"/>
  </r>
  <r>
    <d v="2025-01-03T00:00:00"/>
    <s v="ONODA"/>
    <m/>
    <n v="636"/>
    <m/>
    <x v="11"/>
    <m/>
    <x v="6"/>
    <n v="2026"/>
    <x v="0"/>
  </r>
  <r>
    <d v="2025-01-03T00:00:00"/>
    <s v="ONODA"/>
    <m/>
    <n v="2262.67"/>
    <m/>
    <x v="11"/>
    <m/>
    <x v="6"/>
    <n v="2026"/>
    <x v="0"/>
  </r>
  <r>
    <d v="2025-01-03T00:00:00"/>
    <s v="ONODA"/>
    <m/>
    <n v="4256"/>
    <m/>
    <x v="11"/>
    <m/>
    <x v="6"/>
    <n v="2026"/>
    <x v="0"/>
  </r>
  <r>
    <d v="2025-01-03T00:00:00"/>
    <s v="ONODA"/>
    <m/>
    <n v="3000"/>
    <m/>
    <x v="11"/>
    <m/>
    <x v="6"/>
    <n v="2026"/>
    <x v="0"/>
  </r>
  <r>
    <d v="2025-01-03T00:00:00"/>
    <s v="ONODA"/>
    <m/>
    <n v="10000"/>
    <m/>
    <x v="11"/>
    <m/>
    <x v="6"/>
    <n v="2026"/>
    <x v="0"/>
  </r>
  <r>
    <d v="2025-01-03T00:00:00"/>
    <s v="ONODA"/>
    <m/>
    <n v="250"/>
    <m/>
    <x v="11"/>
    <m/>
    <x v="6"/>
    <n v="2026"/>
    <x v="0"/>
  </r>
  <r>
    <d v="2026-02-02T00:00:00"/>
    <s v="ONODA"/>
    <m/>
    <n v="14500"/>
    <m/>
    <x v="11"/>
    <m/>
    <x v="7"/>
    <n v="2026"/>
    <x v="0"/>
  </r>
  <r>
    <d v="2026-02-02T00:00:00"/>
    <s v="ONODA"/>
    <m/>
    <n v="26200"/>
    <m/>
    <x v="11"/>
    <m/>
    <x v="7"/>
    <n v="2026"/>
    <x v="0"/>
  </r>
  <r>
    <d v="2026-02-02T00:00:00"/>
    <s v="ONODA"/>
    <m/>
    <n v="91.1"/>
    <m/>
    <x v="11"/>
    <m/>
    <x v="7"/>
    <n v="2026"/>
    <x v="0"/>
  </r>
  <r>
    <d v="2026-02-02T00:00:00"/>
    <s v="ONODA"/>
    <m/>
    <n v="80"/>
    <m/>
    <x v="11"/>
    <m/>
    <x v="7"/>
    <n v="2026"/>
    <x v="0"/>
  </r>
  <r>
    <d v="2026-02-02T00:00:00"/>
    <s v="ONODA"/>
    <m/>
    <n v="15356"/>
    <m/>
    <x v="11"/>
    <m/>
    <x v="7"/>
    <n v="2026"/>
    <x v="0"/>
  </r>
  <r>
    <d v="2026-02-02T00:00:00"/>
    <s v="ONODA"/>
    <m/>
    <n v="4000"/>
    <m/>
    <x v="11"/>
    <m/>
    <x v="7"/>
    <n v="2026"/>
    <x v="0"/>
  </r>
  <r>
    <d v="2026-02-02T00:00:00"/>
    <s v="ONODA"/>
    <m/>
    <n v="1772.99"/>
    <m/>
    <x v="11"/>
    <m/>
    <x v="7"/>
    <n v="2026"/>
    <x v="0"/>
  </r>
  <r>
    <d v="2026-02-02T00:00:00"/>
    <s v="ONODA"/>
    <m/>
    <n v="1056"/>
    <m/>
    <x v="11"/>
    <m/>
    <x v="7"/>
    <n v="2026"/>
    <x v="0"/>
  </r>
  <r>
    <d v="2026-02-02T00:00:00"/>
    <s v="ONODA"/>
    <m/>
    <n v="1400"/>
    <m/>
    <x v="11"/>
    <m/>
    <x v="7"/>
    <n v="2026"/>
    <x v="0"/>
  </r>
  <r>
    <d v="2026-02-02T00:00:00"/>
    <s v="ONODA"/>
    <m/>
    <n v="1330"/>
    <m/>
    <x v="11"/>
    <m/>
    <x v="7"/>
    <n v="2026"/>
    <x v="0"/>
  </r>
  <r>
    <d v="2026-02-02T00:00:00"/>
    <s v="ONODA"/>
    <m/>
    <n v="3120"/>
    <m/>
    <x v="11"/>
    <m/>
    <x v="7"/>
    <n v="2026"/>
    <x v="0"/>
  </r>
  <r>
    <d v="2026-02-02T00:00:00"/>
    <s v="ONODA"/>
    <m/>
    <n v="2262.67"/>
    <m/>
    <x v="11"/>
    <m/>
    <x v="7"/>
    <n v="2026"/>
    <x v="0"/>
  </r>
  <r>
    <d v="2026-02-02T00:00:00"/>
    <s v="ONODA"/>
    <m/>
    <n v="2050"/>
    <m/>
    <x v="11"/>
    <m/>
    <x v="7"/>
    <n v="2026"/>
    <x v="0"/>
  </r>
  <r>
    <d v="2026-02-02T00:00:00"/>
    <s v="ONODA"/>
    <m/>
    <n v="4000"/>
    <m/>
    <x v="11"/>
    <m/>
    <x v="7"/>
    <n v="2026"/>
    <x v="0"/>
  </r>
  <r>
    <d v="2026-02-02T00:00:00"/>
    <s v="ONODA"/>
    <m/>
    <n v="1000"/>
    <m/>
    <x v="11"/>
    <m/>
    <x v="7"/>
    <n v="2026"/>
    <x v="0"/>
  </r>
  <r>
    <d v="2026-02-02T00:00:00"/>
    <s v="ONODA"/>
    <m/>
    <n v="3000"/>
    <m/>
    <x v="11"/>
    <m/>
    <x v="7"/>
    <n v="2026"/>
    <x v="0"/>
  </r>
  <r>
    <d v="2026-02-02T00:00:00"/>
    <s v="ONODA"/>
    <m/>
    <n v="2000"/>
    <m/>
    <x v="11"/>
    <m/>
    <x v="7"/>
    <n v="2026"/>
    <x v="0"/>
  </r>
  <r>
    <d v="2026-02-02T00:00:00"/>
    <s v="ONODA"/>
    <m/>
    <n v="3714"/>
    <m/>
    <x v="11"/>
    <m/>
    <x v="7"/>
    <n v="2026"/>
    <x v="0"/>
  </r>
  <r>
    <d v="2026-02-02T00:00:00"/>
    <s v="ONODA"/>
    <m/>
    <n v="10000"/>
    <m/>
    <x v="11"/>
    <m/>
    <x v="7"/>
    <n v="2026"/>
    <x v="0"/>
  </r>
  <r>
    <d v="2026-02-02T00:00:00"/>
    <s v="ONODA"/>
    <m/>
    <n v="450"/>
    <m/>
    <x v="11"/>
    <m/>
    <x v="7"/>
    <n v="2026"/>
    <x v="0"/>
  </r>
  <r>
    <d v="2026-03-02T00:00:00"/>
    <s v="ONODA"/>
    <m/>
    <n v="14600"/>
    <m/>
    <x v="11"/>
    <m/>
    <x v="8"/>
    <n v="2026"/>
    <x v="0"/>
  </r>
  <r>
    <d v="2026-03-02T00:00:00"/>
    <s v="ONODA"/>
    <m/>
    <n v="700"/>
    <m/>
    <x v="11"/>
    <m/>
    <x v="8"/>
    <n v="2026"/>
    <x v="0"/>
  </r>
  <r>
    <d v="2026-03-02T00:00:00"/>
    <s v="ONODA"/>
    <m/>
    <n v="1891.2"/>
    <m/>
    <x v="11"/>
    <m/>
    <x v="8"/>
    <n v="2026"/>
    <x v="0"/>
  </r>
  <r>
    <d v="2026-03-02T00:00:00"/>
    <s v="ONODA"/>
    <m/>
    <n v="2500"/>
    <m/>
    <x v="11"/>
    <m/>
    <x v="8"/>
    <n v="2026"/>
    <x v="0"/>
  </r>
  <r>
    <d v="2026-03-02T00:00:00"/>
    <s v="ONODA"/>
    <m/>
    <n v="1367.26"/>
    <m/>
    <x v="11"/>
    <m/>
    <x v="8"/>
    <n v="2026"/>
    <x v="0"/>
  </r>
  <r>
    <d v="2026-03-02T00:00:00"/>
    <s v="ONODA"/>
    <m/>
    <n v="1380"/>
    <m/>
    <x v="11"/>
    <m/>
    <x v="8"/>
    <n v="2026"/>
    <x v="0"/>
  </r>
  <r>
    <d v="2026-03-02T00:00:00"/>
    <s v="ONODA"/>
    <m/>
    <n v="600"/>
    <m/>
    <x v="11"/>
    <m/>
    <x v="8"/>
    <n v="2026"/>
    <x v="0"/>
  </r>
  <r>
    <d v="2026-03-02T00:00:00"/>
    <s v="ONODA"/>
    <m/>
    <n v="1070.42"/>
    <m/>
    <x v="11"/>
    <m/>
    <x v="8"/>
    <n v="2026"/>
    <x v="0"/>
  </r>
  <r>
    <d v="2026-03-02T00:00:00"/>
    <s v="ONODA"/>
    <m/>
    <n v="8250"/>
    <m/>
    <x v="11"/>
    <m/>
    <x v="8"/>
    <n v="2026"/>
    <x v="0"/>
  </r>
  <r>
    <d v="2026-03-02T00:00:00"/>
    <s v="ONODA"/>
    <m/>
    <n v="14200"/>
    <m/>
    <x v="11"/>
    <m/>
    <x v="8"/>
    <n v="2026"/>
    <x v="0"/>
  </r>
  <r>
    <d v="2026-03-02T00:00:00"/>
    <s v="ONODA"/>
    <m/>
    <n v="1340"/>
    <m/>
    <x v="11"/>
    <m/>
    <x v="8"/>
    <n v="2026"/>
    <x v="0"/>
  </r>
  <r>
    <d v="2026-03-02T00:00:00"/>
    <s v="ONODA"/>
    <m/>
    <n v="4000"/>
    <m/>
    <x v="11"/>
    <m/>
    <x v="8"/>
    <n v="2026"/>
    <x v="0"/>
  </r>
  <r>
    <d v="2026-03-02T00:00:00"/>
    <s v="ONODA"/>
    <m/>
    <n v="477.7"/>
    <m/>
    <x v="11"/>
    <m/>
    <x v="8"/>
    <n v="2026"/>
    <x v="0"/>
  </r>
  <r>
    <d v="2026-03-02T00:00:00"/>
    <s v="ONODA"/>
    <m/>
    <n v="150"/>
    <m/>
    <x v="11"/>
    <m/>
    <x v="8"/>
    <n v="2026"/>
    <x v="0"/>
  </r>
  <r>
    <d v="2026-03-02T00:00:00"/>
    <s v="ONODA"/>
    <m/>
    <n v="1400"/>
    <m/>
    <x v="11"/>
    <m/>
    <x v="8"/>
    <n v="2026"/>
    <x v="0"/>
  </r>
  <r>
    <d v="2026-03-02T00:00:00"/>
    <s v="ONODA"/>
    <m/>
    <n v="1141.5999999999999"/>
    <m/>
    <x v="11"/>
    <m/>
    <x v="8"/>
    <n v="2026"/>
    <x v="0"/>
  </r>
  <r>
    <d v="2026-03-02T00:00:00"/>
    <s v="ONODA"/>
    <m/>
    <n v="1296.03"/>
    <m/>
    <x v="11"/>
    <m/>
    <x v="8"/>
    <n v="2026"/>
    <x v="0"/>
  </r>
  <r>
    <d v="2026-03-02T00:00:00"/>
    <s v="ONODA"/>
    <m/>
    <n v="856"/>
    <m/>
    <x v="11"/>
    <m/>
    <x v="8"/>
    <n v="2026"/>
    <x v="0"/>
  </r>
  <r>
    <d v="2026-03-02T00:00:00"/>
    <s v="ONODA"/>
    <m/>
    <n v="380"/>
    <m/>
    <x v="11"/>
    <m/>
    <x v="8"/>
    <n v="2026"/>
    <x v="0"/>
  </r>
  <r>
    <d v="2026-03-02T00:00:00"/>
    <s v="ONODA"/>
    <m/>
    <n v="344.8"/>
    <m/>
    <x v="11"/>
    <m/>
    <x v="8"/>
    <n v="2026"/>
    <x v="0"/>
  </r>
  <r>
    <d v="2026-03-02T00:00:00"/>
    <s v="ONODA"/>
    <m/>
    <n v="350"/>
    <m/>
    <x v="11"/>
    <m/>
    <x v="8"/>
    <n v="2026"/>
    <x v="0"/>
  </r>
  <r>
    <d v="2026-03-02T00:00:00"/>
    <s v="ONODA"/>
    <m/>
    <n v="2262.67"/>
    <m/>
    <x v="11"/>
    <m/>
    <x v="8"/>
    <n v="2026"/>
    <x v="0"/>
  </r>
  <r>
    <d v="2026-03-02T00:00:00"/>
    <s v="ONODA"/>
    <m/>
    <n v="1000"/>
    <m/>
    <x v="11"/>
    <m/>
    <x v="8"/>
    <n v="2026"/>
    <x v="0"/>
  </r>
  <r>
    <d v="2026-03-02T00:00:00"/>
    <s v="ONODA"/>
    <m/>
    <n v="9250"/>
    <m/>
    <x v="11"/>
    <m/>
    <x v="8"/>
    <n v="2026"/>
    <x v="0"/>
  </r>
  <r>
    <d v="2026-03-02T00:00:00"/>
    <s v="ONODA"/>
    <m/>
    <n v="10000"/>
    <m/>
    <x v="11"/>
    <m/>
    <x v="8"/>
    <n v="2026"/>
    <x v="0"/>
  </r>
  <r>
    <d v="2026-03-02T00:00:00"/>
    <s v="ONODA"/>
    <m/>
    <n v="948.45"/>
    <m/>
    <x v="11"/>
    <m/>
    <x v="8"/>
    <n v="2026"/>
    <x v="0"/>
  </r>
  <r>
    <d v="2026-03-02T00:00:00"/>
    <s v="ONODA"/>
    <m/>
    <n v="258"/>
    <m/>
    <x v="11"/>
    <m/>
    <x v="8"/>
    <n v="2026"/>
    <x v="0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  <r>
    <m/>
    <s v="ONODA"/>
    <m/>
    <m/>
    <m/>
    <x v="11"/>
    <m/>
    <x v="9"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d v="2025-08-03T00:00:00"/>
    <x v="0"/>
    <x v="0"/>
    <n v="84"/>
    <n v="43540"/>
    <n v="518.33333333333337"/>
    <n v="22350.400000000001"/>
    <n v="266.0761904761905"/>
    <n v="0.51333027101515849"/>
    <n v="401502.68"/>
    <n v="4779.7938095238096"/>
    <n v="269.46006335457082"/>
    <s v="COPERFRIGU"/>
    <x v="0"/>
    <n v="2025"/>
    <s v="PASTO"/>
    <n v="43.119742765273315"/>
    <s v="SÃO FRANCISCO II"/>
    <s v="-"/>
    <x v="0"/>
    <x v="0"/>
  </r>
  <r>
    <d v="2026-03-27T00:00:00"/>
    <x v="0"/>
    <x v="0"/>
    <n v="189"/>
    <n v="106680"/>
    <n v="564.44444444444446"/>
    <n v="60225"/>
    <n v="318.65079365079367"/>
    <n v="0.56453880764904385"/>
    <n v="1302000"/>
    <n v="6888.8888888888887"/>
    <n v="324.28393524283933"/>
    <s v="COPERFRIGU"/>
    <x v="1"/>
    <n v="2026"/>
    <s v="PASTO"/>
    <m/>
    <s v="SÃO FRANCISCO II"/>
    <s v="-"/>
    <x v="0"/>
    <x v="0"/>
  </r>
  <r>
    <d v="2026-04-24T00:00:00"/>
    <x v="0"/>
    <x v="0"/>
    <n v="81"/>
    <n v="45000"/>
    <n v="555.55555555555554"/>
    <n v="25555"/>
    <n v="315.49382716049382"/>
    <n v="0.56788888888888889"/>
    <n v="595083.55000000005"/>
    <n v="7346.7104938271614"/>
    <n v="349.29576403834869"/>
    <s v="COPERFRIGU"/>
    <x v="2"/>
    <n v="2026"/>
    <s v="PASTO"/>
    <m/>
    <s v="SÃO FRANCISCO II"/>
    <s v="-"/>
    <x v="0"/>
    <x v="0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  <r>
    <m/>
    <x v="1"/>
    <x v="1"/>
    <m/>
    <m/>
    <e v="#DIV/0!"/>
    <m/>
    <e v="#DIV/0!"/>
    <e v="#DIV/0!"/>
    <m/>
    <e v="#DIV/0!"/>
    <e v="#DIV/0!"/>
    <m/>
    <x v="3"/>
    <m/>
    <m/>
    <m/>
    <m/>
    <m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d v="2025-07-20T00:00:00"/>
    <n v="96"/>
    <x v="0"/>
    <n v="225000"/>
    <n v="2343.75"/>
    <s v="SÃO FRANCISCO"/>
    <x v="0"/>
    <x v="0"/>
    <n v="2025"/>
    <x v="0"/>
    <s v="-"/>
    <s v="-"/>
    <s v="-"/>
    <s v="-"/>
    <s v="-"/>
  </r>
  <r>
    <d v="2025-08-20T00:00:00"/>
    <n v="40"/>
    <x v="0"/>
    <n v="110000"/>
    <n v="2750"/>
    <s v="SÃO FRANCISCO"/>
    <x v="1"/>
    <x v="0"/>
    <n v="2025"/>
    <x v="0"/>
    <s v="-"/>
    <s v="-"/>
    <s v="-"/>
    <s v="-"/>
    <s v="-"/>
  </r>
  <r>
    <d v="2025-10-17T00:00:00"/>
    <n v="12"/>
    <x v="0"/>
    <n v="28800"/>
    <n v="2400"/>
    <s v="SÃO FRANCISCO"/>
    <x v="2"/>
    <x v="0"/>
    <n v="2025"/>
    <x v="0"/>
    <s v="-"/>
    <s v="-"/>
    <s v="-"/>
    <s v="-"/>
    <m/>
  </r>
  <r>
    <d v="2025-10-23T00:00:00"/>
    <n v="42"/>
    <x v="0"/>
    <n v="105000"/>
    <n v="2500"/>
    <s v="SÃO FRANCISCO"/>
    <x v="2"/>
    <x v="0"/>
    <n v="2025"/>
    <x v="0"/>
    <s v="-"/>
    <s v="-"/>
    <s v="-"/>
    <s v="-"/>
    <m/>
  </r>
  <r>
    <d v="2025-12-08T00:00:00"/>
    <n v="69"/>
    <x v="0"/>
    <n v="138000"/>
    <n v="2000"/>
    <s v="SÃO FRANCISCO"/>
    <x v="3"/>
    <x v="0"/>
    <n v="2025"/>
    <x v="0"/>
    <s v="-"/>
    <s v="-"/>
    <s v="-"/>
    <s v="-"/>
    <m/>
  </r>
  <r>
    <d v="2025-11-20T00:00:00"/>
    <n v="150"/>
    <x v="0"/>
    <n v="375000"/>
    <n v="2500"/>
    <s v="SÃO FRANCISCO"/>
    <x v="4"/>
    <x v="0"/>
    <n v="2025"/>
    <x v="0"/>
    <s v="-"/>
    <s v="-"/>
    <s v="-"/>
    <s v="-"/>
    <m/>
  </r>
  <r>
    <d v="2025-12-29T00:00:00"/>
    <n v="105"/>
    <x v="0"/>
    <n v="260172.15"/>
    <n v="2477.83"/>
    <s v="SÃO FRANCISCO"/>
    <x v="3"/>
    <x v="1"/>
    <n v="2025"/>
    <x v="0"/>
    <s v="-"/>
    <s v="-"/>
    <m/>
    <m/>
    <m/>
  </r>
  <r>
    <d v="2025-11-28T00:00:00"/>
    <n v="40"/>
    <x v="0"/>
    <n v="98000"/>
    <n v="2450"/>
    <s v="SÃO FRANCISCO"/>
    <x v="4"/>
    <x v="1"/>
    <n v="2025"/>
    <x v="0"/>
    <s v="-"/>
    <s v="-"/>
    <m/>
    <m/>
    <m/>
  </r>
  <r>
    <d v="2026-03-17T00:00:00"/>
    <n v="6"/>
    <x v="0"/>
    <n v="14200"/>
    <n v="2366.6666666666665"/>
    <s v="SÃO FRANCISCO"/>
    <x v="5"/>
    <x v="1"/>
    <n v="2026"/>
    <x v="0"/>
    <s v="-"/>
    <s v="-"/>
    <m/>
    <m/>
    <m/>
  </r>
  <r>
    <d v="2026-04-27T00:00:00"/>
    <n v="130"/>
    <x v="0"/>
    <n v="344500"/>
    <n v="2650"/>
    <s v="SÃO FRANCISCO"/>
    <x v="6"/>
    <x v="1"/>
    <n v="2026"/>
    <x v="0"/>
    <m/>
    <m/>
    <m/>
    <m/>
    <m/>
  </r>
  <r>
    <d v="2026-04-27T00:00:00"/>
    <n v="120"/>
    <x v="0"/>
    <n v="318000"/>
    <n v="2650"/>
    <s v="SÃO FRANCISCO"/>
    <x v="6"/>
    <x v="1"/>
    <n v="2026"/>
    <x v="0"/>
    <m/>
    <m/>
    <m/>
    <m/>
    <m/>
  </r>
  <r>
    <d v="2026-04-27T00:00:00"/>
    <n v="18"/>
    <x v="0"/>
    <n v="53000"/>
    <n v="2944.4444444444443"/>
    <s v="SÃO FRANCISCO"/>
    <x v="6"/>
    <x v="1"/>
    <n v="2026"/>
    <x v="0"/>
    <m/>
    <m/>
    <m/>
    <m/>
    <m/>
  </r>
  <r>
    <d v="2026-04-27T00:00:00"/>
    <n v="126"/>
    <x v="0"/>
    <n v="388080"/>
    <n v="3080"/>
    <s v="SÃO FRANCISCO"/>
    <x v="6"/>
    <x v="0"/>
    <n v="2026"/>
    <x v="0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  <r>
    <m/>
    <m/>
    <x v="1"/>
    <m/>
    <e v="#DIV/0!"/>
    <m/>
    <x v="7"/>
    <x v="1"/>
    <m/>
    <x v="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Tabela dinâmica6" cacheId="1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>
  <location ref="I3:I4" firstHeaderRow="1" firstDataRow="1" firstDataCol="0" rowPageCount="1" colPageCount="1"/>
  <pivotFields count="21">
    <pivotField numFmtId="14" showAll="0"/>
    <pivotField showAll="0"/>
    <pivotField showAll="0"/>
    <pivotField dataField="1" showAll="0"/>
    <pivotField showAll="0"/>
    <pivotField numFmtId="2" showAll="0"/>
    <pivotField showAll="0"/>
    <pivotField numFmtId="2" showAll="0"/>
    <pivotField numFmtId="10" showAll="0"/>
    <pivotField numFmtId="44" showAll="0"/>
    <pivotField numFmtId="44" showAll="0"/>
    <pivotField numFmtId="4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</pivotFields>
  <rowItems count="1">
    <i/>
  </rowItems>
  <colItems count="1">
    <i/>
  </colItems>
  <pageFields count="1">
    <pageField fld="20" hier="0"/>
  </pageFields>
  <dataFields count="1">
    <dataField name="Soma de ANIMAIS" fld="3" baseField="0" baseItem="0"/>
  </dataFields>
  <formats count="3"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Tabela dinâmica10" cacheId="1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 chartFormat="1">
  <location ref="U3:V7" firstHeaderRow="1" firstDataRow="1" firstDataCol="1" rowPageCount="1" colPageCount="1"/>
  <pivotFields count="21">
    <pivotField numFmtId="14" showAll="0"/>
    <pivotField showAll="0"/>
    <pivotField showAll="0"/>
    <pivotField dataField="1" showAll="0"/>
    <pivotField showAll="0"/>
    <pivotField numFmtId="2" showAll="0"/>
    <pivotField showAll="0"/>
    <pivotField numFmtId="2" showAll="0"/>
    <pivotField numFmtId="10" showAll="0"/>
    <pivotField numFmtId="44" showAll="0"/>
    <pivotField numFmtId="44" showAll="0"/>
    <pivotField numFmtId="44" showAll="0"/>
    <pivotField showAll="0"/>
    <pivotField axis="axisRow" showAll="0">
      <items count="12">
        <item m="1" x="10"/>
        <item m="1" x="4"/>
        <item x="0"/>
        <item x="1"/>
        <item x="2"/>
        <item m="1" x="7"/>
        <item m="1" x="5"/>
        <item m="1" x="8"/>
        <item m="1" x="6"/>
        <item x="3"/>
        <item m="1" x="9"/>
        <item t="default"/>
      </items>
    </pivotField>
    <pivotField showAll="0"/>
    <pivotField showAll="0"/>
    <pivotField numFmtId="9"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</pivotFields>
  <rowFields count="1">
    <field x="13"/>
  </rowFields>
  <rowItems count="4">
    <i>
      <x v="2"/>
    </i>
    <i>
      <x v="3"/>
    </i>
    <i>
      <x v="4"/>
    </i>
    <i t="grand">
      <x/>
    </i>
  </rowItems>
  <colItems count="1">
    <i/>
  </colItems>
  <pageFields count="1">
    <pageField fld="20" hier="0"/>
  </pageFields>
  <dataFields count="1">
    <dataField name="Soma de ANIMAIS" fld="3" baseField="0" baseItem="0"/>
  </dataFields>
  <formats count="6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3" type="button" dataOnly="0" labelOnly="1" outline="0" axis="axisRow" fieldPosition="0"/>
    </format>
    <format dxfId="49">
      <pivotArea dataOnly="0" labelOnly="1" fieldPosition="0">
        <references count="1">
          <reference field="13" count="1">
            <x v="6"/>
          </reference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Tabela dinâmica9" cacheId="1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 chartFormat="1">
  <location ref="R3:S5" firstHeaderRow="1" firstDataRow="1" firstDataCol="1" rowPageCount="1" colPageCount="1"/>
  <pivotFields count="21">
    <pivotField numFmtId="14" showAll="0"/>
    <pivotField showAll="0"/>
    <pivotField axis="axisRow" showAll="0">
      <items count="11">
        <item m="1" x="3"/>
        <item m="1" x="7"/>
        <item m="1" x="8"/>
        <item m="1" x="6"/>
        <item m="1" x="5"/>
        <item m="1" x="2"/>
        <item m="1" x="9"/>
        <item x="1"/>
        <item m="1" x="4"/>
        <item x="0"/>
        <item t="default"/>
      </items>
    </pivotField>
    <pivotField dataField="1" showAll="0"/>
    <pivotField showAll="0"/>
    <pivotField numFmtId="2" showAll="0"/>
    <pivotField showAll="0"/>
    <pivotField numFmtId="2" showAll="0"/>
    <pivotField numFmtId="10" showAll="0"/>
    <pivotField numFmtId="44" showAll="0"/>
    <pivotField numFmtId="44" showAll="0"/>
    <pivotField numFmtId="4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</pivotFields>
  <rowFields count="1">
    <field x="2"/>
  </rowFields>
  <rowItems count="2">
    <i>
      <x v="9"/>
    </i>
    <i t="grand">
      <x/>
    </i>
  </rowItems>
  <colItems count="1">
    <i/>
  </colItems>
  <pageFields count="1">
    <pageField fld="20" hier="0"/>
  </pageFields>
  <dataFields count="1">
    <dataField name="Soma de ANIMAIS" fld="3" baseField="0" baseItem="0"/>
  </dataFields>
  <formats count="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2" type="button" dataOnly="0" labelOnly="1" outline="0" fieldPosition="0"/>
    </format>
    <format dxfId="55">
      <pivotArea dataOnly="0" labelOnly="1" fieldPosition="0">
        <references count="1">
          <reference field="2" count="4">
            <x v="1"/>
            <x v="2"/>
            <x v="3"/>
            <x v="6"/>
          </reference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ela dinâmica8" cacheId="1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 chartFormat="1">
  <location ref="O3:P5" firstHeaderRow="1" firstDataRow="1" firstDataCol="1" rowPageCount="1" colPageCount="1"/>
  <pivotFields count="21">
    <pivotField numFmtId="14" showAll="0"/>
    <pivotField axis="axisRow" showAll="0">
      <items count="4">
        <item x="0"/>
        <item m="1" x="2"/>
        <item x="1"/>
        <item t="default"/>
      </items>
    </pivotField>
    <pivotField showAll="0"/>
    <pivotField dataField="1" showAll="0"/>
    <pivotField showAll="0"/>
    <pivotField numFmtId="2" showAll="0"/>
    <pivotField showAll="0"/>
    <pivotField numFmtId="2" showAll="0"/>
    <pivotField numFmtId="10" showAll="0"/>
    <pivotField numFmtId="44" showAll="0"/>
    <pivotField numFmtId="44" showAll="0"/>
    <pivotField numFmtId="4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pageFields count="1">
    <pageField fld="20" hier="0"/>
  </pageFields>
  <dataFields count="1">
    <dataField name="Soma de ANIMAIS" fld="3" baseField="0" baseItem="0"/>
  </dataFields>
  <formats count="6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" type="button" dataOnly="0" labelOnly="1" outline="0" fieldPosition="0"/>
    </format>
    <format dxfId="61">
      <pivotArea dataOnly="0" labelOnly="1" fieldPosition="0">
        <references count="1">
          <reference field="1" count="0"/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Tabela dinâmica7" cacheId="1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>
  <location ref="L3:L4" firstHeaderRow="1" firstDataRow="1" firstDataCol="0" rowPageCount="1" colPageCount="1"/>
  <pivotFields count="21">
    <pivotField numFmtId="14" showAll="0"/>
    <pivotField showAll="0"/>
    <pivotField showAll="0"/>
    <pivotField showAll="0"/>
    <pivotField showAll="0"/>
    <pivotField numFmtId="2" showAll="0"/>
    <pivotField showAll="0"/>
    <pivotField numFmtId="2" showAll="0"/>
    <pivotField numFmtId="10" showAll="0"/>
    <pivotField dataField="1" numFmtId="44" showAll="0"/>
    <pivotField numFmtId="44" showAll="0"/>
    <pivotField numFmtId="4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</pivotFields>
  <rowItems count="1">
    <i/>
  </rowItems>
  <colItems count="1">
    <i/>
  </colItems>
  <pageFields count="1">
    <pageField fld="20" hier="0"/>
  </pageFields>
  <dataFields count="1">
    <dataField name="Soma de VALOR TOTAL" fld="9" baseField="0" baseItem="0"/>
  </dataFields>
  <formats count="3"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7000000}" name="Tabela dinâmica5" cacheId="2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 chartFormat="1">
  <location ref="U3:V11" firstHeaderRow="1" firstDataRow="1" firstDataCol="1" rowPageCount="1" colPageCount="1"/>
  <pivotFields count="15">
    <pivotField numFmtId="14" showAll="0"/>
    <pivotField dataField="1" showAll="0"/>
    <pivotField showAll="0"/>
    <pivotField showAll="0"/>
    <pivotField showAll="0"/>
    <pivotField showAll="0"/>
    <pivotField axis="axisRow" showAll="0">
      <items count="14">
        <item m="1" x="9"/>
        <item m="1" x="12"/>
        <item m="1" x="11"/>
        <item m="1" x="10"/>
        <item x="0"/>
        <item x="1"/>
        <item m="1" x="8"/>
        <item x="2"/>
        <item x="4"/>
        <item x="3"/>
        <item x="7"/>
        <item x="5"/>
        <item x="6"/>
        <item t="default"/>
      </items>
    </pivotField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8">
    <i>
      <x v="4"/>
    </i>
    <i>
      <x v="5"/>
    </i>
    <i>
      <x v="7"/>
    </i>
    <i>
      <x v="8"/>
    </i>
    <i>
      <x v="9"/>
    </i>
    <i>
      <x v="11"/>
    </i>
    <i>
      <x v="12"/>
    </i>
    <i t="grand">
      <x/>
    </i>
  </rowItems>
  <colItems count="1">
    <i/>
  </colItems>
  <pageFields count="1">
    <pageField fld="9" hier="0"/>
  </pageFields>
  <dataFields count="1">
    <dataField name="Soma de QUANT." fld="1" baseField="0" baseItem="0"/>
  </dataFields>
  <formats count="3"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6000000}" name="Tabela dinâmica4" cacheId="2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 chartFormat="1">
  <location ref="R3:S5" firstHeaderRow="1" firstDataRow="1" firstDataCol="1" rowPageCount="1" colPageCount="1"/>
  <pivotFields count="15">
    <pivotField numFmtId="14" showAll="0"/>
    <pivotField showAll="0"/>
    <pivotField axis="axisRow" showAll="0">
      <items count="8">
        <item m="1" x="5"/>
        <item m="1" x="4"/>
        <item m="1" x="6"/>
        <item m="1" x="3"/>
        <item x="1"/>
        <item x="0"/>
        <item m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2">
    <i>
      <x v="5"/>
    </i>
    <i t="grand">
      <x/>
    </i>
  </rowItems>
  <colItems count="1">
    <i/>
  </colItems>
  <pageFields count="1">
    <pageField fld="9" hier="0"/>
  </pageFields>
  <dataFields count="1">
    <dataField name="Média de MÉDIA / CAB" fld="4" subtotal="average" baseField="2" baseItem="0" numFmtId="164"/>
  </dataFields>
  <formats count="4"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outline="0" fieldPosition="0"/>
    </format>
    <format dxfId="3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5000000}" name="Tabela dinâmica3" cacheId="2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 chartFormat="1">
  <location ref="O3:P5" firstHeaderRow="1" firstDataRow="1" firstDataCol="1" rowPageCount="1" colPageCount="1"/>
  <pivotFields count="15">
    <pivotField numFmtId="14" showAll="0"/>
    <pivotField dataField="1" showAll="0"/>
    <pivotField axis="axisRow" showAll="0">
      <items count="8">
        <item m="1" x="5"/>
        <item m="1" x="4"/>
        <item m="1" x="6"/>
        <item m="1" x="3"/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2">
    <i>
      <x v="5"/>
    </i>
    <i t="grand">
      <x/>
    </i>
  </rowItems>
  <colItems count="1">
    <i/>
  </colItems>
  <pageFields count="1">
    <pageField fld="9" hier="0"/>
  </pageFields>
  <dataFields count="1">
    <dataField name="Soma de QUANT." fld="1" baseField="0" baseItem="0"/>
  </dataFields>
  <formats count="3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9000000}" name="Tabela dinâmica2" cacheId="2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>
  <location ref="L3:L4" firstHeaderRow="1" firstDataRow="1" firstDataCol="0" rowPageCount="1" colPageCount="1"/>
  <pivotFields count="15"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9" hier="0"/>
  </pageFields>
  <dataFields count="1">
    <dataField name="Soma de VALOR TOTAL DA COMPRA" fld="3" baseField="0" baseItem="0"/>
  </dataFields>
  <formats count="3"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8000000}" name="Tabela dinâmica1" cacheId="2" applyNumberFormats="0" applyBorderFormats="0" applyFontFormats="0" applyPatternFormats="0" applyAlignmentFormats="0" applyWidthHeightFormats="1" dataCaption="Valores" updatedVersion="8" minRefreshableVersion="3" useAutoFormatting="1" createdVersion="6" indent="0" outline="1" outlineData="1" multipleFieldFilters="0">
  <location ref="I3:I4" firstHeaderRow="1" firstDataRow="1" firstDataCol="0" rowPageCount="1" colPageCount="1"/>
  <pivotFields count="15"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9" hier="0"/>
  </pageFields>
  <dataFields count="1">
    <dataField name="Soma de QUANT." fld="1" baseField="0" baseItem="0"/>
  </dataFields>
  <formats count="3"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A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I3:I4" firstHeaderRow="1" firstDataRow="1" firstDataCol="0" rowPageCount="1" colPageCount="1"/>
  <pivotFields count="10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</pivotFields>
  <rowItems count="1">
    <i/>
  </rowItems>
  <colItems count="1">
    <i/>
  </colItems>
  <pageFields count="1">
    <pageField fld="9" hier="0"/>
  </pageFields>
  <dataFields count="1">
    <dataField name="Sum of VALOR TOTAL" fld="3" baseField="0" baseItem="0"/>
  </dataFields>
  <formats count="3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C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">
  <location ref="O3:P13" firstHeaderRow="1" firstDataRow="1" firstDataCol="1" rowPageCount="1" colPageCount="1"/>
  <pivotFields count="10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m="1" x="10"/>
        <item m="1" x="12"/>
        <item m="1" x="11"/>
        <item x="0"/>
        <item x="1"/>
        <item x="2"/>
        <item x="3"/>
        <item x="4"/>
        <item x="5"/>
        <item x="9"/>
        <item x="6"/>
        <item x="7"/>
        <item x="8"/>
        <item t="default"/>
      </items>
    </pivotField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</pivotFields>
  <rowFields count="1">
    <field x="7"/>
  </rowFields>
  <rowItems count="10"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pageFields count="1">
    <pageField fld="9" hier="0"/>
  </pageFields>
  <dataFields count="1">
    <dataField name="Sum of VALOR TOTAL" fld="3" baseField="0" baseItem="0" numFmtId="164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2">
            <x v="2"/>
            <x v="3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B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L3:M16" firstHeaderRow="1" firstDataRow="1" firstDataCol="1" rowPageCount="1" colPageCount="1"/>
  <pivotFields count="10">
    <pivotField showAll="0"/>
    <pivotField showAll="0"/>
    <pivotField showAll="0"/>
    <pivotField dataField="1" showAll="0"/>
    <pivotField showAll="0"/>
    <pivotField axis="axisRow" showAll="0">
      <items count="18">
        <item m="1" x="12"/>
        <item m="1" x="15"/>
        <item m="1" x="14"/>
        <item m="1" x="16"/>
        <item x="3"/>
        <item m="1" x="13"/>
        <item x="5"/>
        <item x="0"/>
        <item x="11"/>
        <item x="1"/>
        <item x="2"/>
        <item x="6"/>
        <item x="8"/>
        <item x="7"/>
        <item x="4"/>
        <item x="9"/>
        <item x="10"/>
        <item t="default"/>
      </items>
    </pivotField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</pivotFields>
  <rowFields count="1">
    <field x="5"/>
  </rowFields>
  <rowItems count="13"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9" hier="0"/>
  </pageFields>
  <dataFields count="1">
    <dataField name="Sum of VALOR TOTAL" fld="3" baseField="0" baseItem="0" numFmtId="164"/>
  </dataFields>
  <formats count="14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5" type="button" dataOnly="0" labelOnly="1" outline="0" fieldPosition="0"/>
    </format>
    <format dxfId="24">
      <pivotArea dataOnly="0" labelOnly="1" fieldPosition="0">
        <references count="1">
          <reference field="5" count="6">
            <x v="0"/>
            <x v="1"/>
            <x v="3"/>
            <x v="4"/>
            <x v="5"/>
            <x v="6"/>
          </reference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5" type="button" dataOnly="0" labelOnly="1" outline="0" fieldPosition="0"/>
    </format>
    <format dxfId="18">
      <pivotArea dataOnly="0" labelOnly="1" fieldPosition="0">
        <references count="1">
          <reference field="5" count="6">
            <x v="0"/>
            <x v="1"/>
            <x v="3"/>
            <x v="4"/>
            <x v="5"/>
            <x v="6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/>
    </format>
    <format dxfId="15">
      <pivotArea collapsedLevelsAreSubtotals="1" fieldPosition="0">
        <references count="1">
          <reference field="5" count="1">
            <x v="0"/>
          </reference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E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L3:L4" firstHeaderRow="1" firstDataRow="1" firstDataCol="0" rowPageCount="1" colPageCount="1"/>
  <pivotFields count="10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</pivotFields>
  <rowItems count="1">
    <i/>
  </rowItems>
  <colItems count="1">
    <i/>
  </colItems>
  <pageFields count="1">
    <pageField fld="9" hier="0"/>
  </pageFields>
  <dataFields count="1">
    <dataField name="Sum of VALOR 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D000000}" name="PivotTable4" cacheId="2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I3:I4" firstHeaderRow="1" firstDataRow="1" firstDataCol="0" rowPageCount="1" colPageCount="1"/>
  <pivotFields count="15">
    <pivotField numFmtId="14"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6">
        <item h="1" m="1" x="2"/>
        <item m="1" x="3"/>
        <item h="1" m="1" x="4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7" hier="0"/>
  </pageFields>
  <dataFields count="1">
    <dataField name="Sum of VALOR TOTAL DA COMPR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F000000}" name="PivotTable6" cacheId="1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P3:P4" firstHeaderRow="1" firstDataRow="1" firstDataCol="0" rowPageCount="1" colPageCount="1"/>
  <pivotFields count="21">
    <pivotField numFmtId="14" showAll="0"/>
    <pivotField showAll="0"/>
    <pivotField showAll="0"/>
    <pivotField showAll="0"/>
    <pivotField showAll="0"/>
    <pivotField numFmtId="2" showAll="0"/>
    <pivotField showAll="0"/>
    <pivotField numFmtId="2" showAll="0"/>
    <pivotField numFmtId="10" showAll="0"/>
    <pivotField dataField="1" numFmtId="44" showAll="0"/>
    <pivotField numFmtId="44" showAll="0"/>
    <pivotField numFmtId="44" showAll="0"/>
    <pivotField showAll="0"/>
    <pivotField showAll="0"/>
    <pivotField showAll="0"/>
    <pivotField showAll="0"/>
    <pivotField numFmtId="9" showAll="0"/>
    <pivotField showAll="0"/>
    <pivotField showAll="0"/>
    <pivotField axis="axisPage" multipleItemSelectionAllowed="1" showAll="0">
      <items count="5">
        <item h="1" m="1" x="2"/>
        <item m="1" x="3"/>
        <item h="1" x="1"/>
        <item h="1" x="0"/>
        <item t="default"/>
      </items>
    </pivotField>
    <pivotField showAll="0"/>
  </pivotFields>
  <rowItems count="1">
    <i/>
  </rowItems>
  <colItems count="1">
    <i/>
  </colItems>
  <pageFields count="1">
    <pageField fld="19" hier="0"/>
  </pageFields>
  <dataFields count="1">
    <dataField name="Sum of VALOR TOTAL" fld="9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2234" displayName="Tabela2234" ref="A19:I567" totalsRowShown="0">
  <autoFilter ref="A19:I567" xr:uid="{00000000-000C-0000-FFFF-FFFF00000000}"/>
  <tableColumns count="9">
    <tableColumn id="1" xr3:uid="{00000000-0010-0000-0000-000001000000}" name="DATA"/>
    <tableColumn id="14" xr3:uid="{00000000-0010-0000-0000-00000E000000}" name="MÊS" dataDxfId="135">
      <calculatedColumnFormula>TEXT(Tabela2234[[#This Row],[DATA]],"mmmm")</calculatedColumnFormula>
    </tableColumn>
    <tableColumn id="2" xr3:uid="{00000000-0010-0000-0000-000002000000}" name="CATEGORIA"/>
    <tableColumn id="3" xr3:uid="{00000000-0010-0000-0000-000003000000}" name="TIPO"/>
    <tableColumn id="4" xr3:uid="{00000000-0010-0000-0000-000004000000}" name="QUANTIDADE"/>
    <tableColumn id="15" xr3:uid="{00000000-0010-0000-0000-00000F000000}" name="SAIDA"/>
    <tableColumn id="5" xr3:uid="{00000000-0010-0000-0000-000005000000}" name="DESTINO" dataDxfId="134"/>
    <tableColumn id="6" xr3:uid="{00000000-0010-0000-0000-000006000000}" name="PESO TOTAL" dataDxfId="133"/>
    <tableColumn id="7" xr3:uid="{00000000-0010-0000-0000-000007000000}" name="PESO MÉDIO" dataDxfId="132">
      <calculatedColumnFormula>Tabela2234[[#This Row],[PESO TOTAL]]/Tabela2234[[#This Row],[QUANTIDADE]]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22" displayName="Tabela22" ref="A19:I572" totalsRowShown="0">
  <autoFilter ref="A19:I57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DATA"/>
    <tableColumn id="14" xr3:uid="{00000000-0010-0000-0100-00000E000000}" name="MÊS" dataDxfId="131">
      <calculatedColumnFormula>TEXT(Tabela22[[#This Row],[DATA]],"mmmm")</calculatedColumnFormula>
    </tableColumn>
    <tableColumn id="2" xr3:uid="{00000000-0010-0000-0100-000002000000}" name="CATEGORIA"/>
    <tableColumn id="3" xr3:uid="{00000000-0010-0000-0100-000003000000}" name="TIPO"/>
    <tableColumn id="4" xr3:uid="{00000000-0010-0000-0100-000004000000}" name="QUANTIDADE"/>
    <tableColumn id="5" xr3:uid="{00000000-0010-0000-0100-000005000000}" name="SAIDA"/>
    <tableColumn id="6" xr3:uid="{00000000-0010-0000-0100-000006000000}" name="DESTINO" dataDxfId="130"/>
    <tableColumn id="7" xr3:uid="{00000000-0010-0000-0100-000007000000}" name="PESO TOTAL" dataDxfId="129"/>
    <tableColumn id="8" xr3:uid="{00000000-0010-0000-0100-000008000000}" name="PESO MÉDIO" dataDxfId="128">
      <calculatedColumnFormula>Tabela22[[#This Row],[PESO TOTAL]]/Tabela22[[#This Row],[QUANTIDADE]]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a223" displayName="Tabela223" ref="A19:I572" totalsRowShown="0">
  <autoFilter ref="A19:I57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200-000001000000}" name="DATA"/>
    <tableColumn id="14" xr3:uid="{00000000-0010-0000-0200-00000E000000}" name="MÊS" dataDxfId="127">
      <calculatedColumnFormula>TEXT(Tabela223[[#This Row],[DATA]],"mmmm")</calculatedColumnFormula>
    </tableColumn>
    <tableColumn id="2" xr3:uid="{00000000-0010-0000-0200-000002000000}" name="CATEGORIA"/>
    <tableColumn id="3" xr3:uid="{00000000-0010-0000-0200-000003000000}" name="TIPO"/>
    <tableColumn id="4" xr3:uid="{00000000-0010-0000-0200-000004000000}" name="QUANTIDADE"/>
    <tableColumn id="15" xr3:uid="{00000000-0010-0000-0200-00000F000000}" name="SAIDA"/>
    <tableColumn id="5" xr3:uid="{00000000-0010-0000-0200-000005000000}" name="DESTINO" dataDxfId="126"/>
    <tableColumn id="6" xr3:uid="{00000000-0010-0000-0200-000006000000}" name="PESO TOTAL" dataDxfId="125"/>
    <tableColumn id="7" xr3:uid="{00000000-0010-0000-0200-000007000000}" name="PESO MÉDIO" dataDxfId="124">
      <calculatedColumnFormula>Tabela22[[#This Row],[PESO TOTAL]]/Tabela22[[#This Row],[QUANTIDADE]]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22345" displayName="Tabela22345" ref="A19:I571" totalsRowShown="0">
  <autoFilter ref="A19:I571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300-000001000000}" name="DATA"/>
    <tableColumn id="14" xr3:uid="{00000000-0010-0000-0300-00000E000000}" name="MÊS" dataDxfId="123">
      <calculatedColumnFormula>TEXT(Tabela22345[[#This Row],[DATA]],"mmmm")</calculatedColumnFormula>
    </tableColumn>
    <tableColumn id="2" xr3:uid="{00000000-0010-0000-0300-000002000000}" name="CATEGORIA"/>
    <tableColumn id="3" xr3:uid="{00000000-0010-0000-0300-000003000000}" name="TIPO"/>
    <tableColumn id="4" xr3:uid="{00000000-0010-0000-0300-000004000000}" name="QUANTIDADE"/>
    <tableColumn id="15" xr3:uid="{00000000-0010-0000-0300-00000F000000}" name="SAIDA"/>
    <tableColumn id="5" xr3:uid="{00000000-0010-0000-0300-000005000000}" name="DESTINO" dataDxfId="122"/>
    <tableColumn id="6" xr3:uid="{00000000-0010-0000-0300-000006000000}" name="PESO TOTAL" dataDxfId="121"/>
    <tableColumn id="7" xr3:uid="{00000000-0010-0000-0300-000007000000}" name="PESO MÉDIO" dataDxfId="120">
      <calculatedColumnFormula>Tabela22[[#This Row],[PESO TOTAL]]/Tabela22[[#This Row],[QUANTIDADE]]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223456" displayName="Tabela223456" ref="A19:I572" totalsRowShown="0">
  <autoFilter ref="A19:I572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400-000001000000}" name="DATA"/>
    <tableColumn id="14" xr3:uid="{00000000-0010-0000-0400-00000E000000}" name="MÊS" dataDxfId="119">
      <calculatedColumnFormula>TEXT(Tabela223456[[#This Row],[DATA]],"mmmm")</calculatedColumnFormula>
    </tableColumn>
    <tableColumn id="2" xr3:uid="{00000000-0010-0000-0400-000002000000}" name="CATEGORIA"/>
    <tableColumn id="3" xr3:uid="{00000000-0010-0000-0400-000003000000}" name="TIPO"/>
    <tableColumn id="4" xr3:uid="{00000000-0010-0000-0400-000004000000}" name="QUANTIDADE"/>
    <tableColumn id="15" xr3:uid="{00000000-0010-0000-0400-00000F000000}" name="SAIDA"/>
    <tableColumn id="5" xr3:uid="{00000000-0010-0000-0400-000005000000}" name="DESTINO" dataDxfId="118"/>
    <tableColumn id="6" xr3:uid="{00000000-0010-0000-0400-000006000000}" name="PESO TOTAL" dataDxfId="117"/>
    <tableColumn id="7" xr3:uid="{00000000-0010-0000-0400-000007000000}" name="PESO MÉDIO" dataDxfId="116">
      <calculatedColumnFormula>Tabela22[[#This Row],[PESO TOTAL]]/Tabela22[[#This Row],[QUANTIDADE]]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5000000}" name="Tabela5" displayName="Tabela5" ref="AF7:AG738" totalsRowShown="0">
  <autoFilter ref="AF7:AG738" xr:uid="{00000000-0009-0000-0100-000018000000}"/>
  <tableColumns count="2">
    <tableColumn id="1" xr3:uid="{00000000-0010-0000-0500-000001000000}" name="DATA" dataDxfId="115"/>
    <tableColumn id="2" xr3:uid="{00000000-0010-0000-0500-000002000000}" name="MÊS" dataDxfId="1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6000000}" name="Tabela27" displayName="Tabela27" ref="B7:P335" totalsRowShown="0">
  <autoFilter ref="B7:P335" xr:uid="{00000000-0009-0000-0100-00001B000000}"/>
  <tableColumns count="15">
    <tableColumn id="1" xr3:uid="{00000000-0010-0000-0600-000001000000}" name="DATA" dataDxfId="113"/>
    <tableColumn id="2" xr3:uid="{00000000-0010-0000-0600-000002000000}" name="QUANT." dataDxfId="112"/>
    <tableColumn id="3" xr3:uid="{00000000-0010-0000-0600-000003000000}" name="NOVILHAS / BOIS" dataDxfId="111"/>
    <tableColumn id="4" xr3:uid="{00000000-0010-0000-0600-000004000000}" name="VALOR TOTAL DA COMPRA" dataDxfId="110" dataCellStyle="Moeda"/>
    <tableColumn id="5" xr3:uid="{00000000-0010-0000-0600-000005000000}" name="MÉDIA / CAB" dataDxfId="109">
      <calculatedColumnFormula>Tabela27[[#This Row],[VALOR TOTAL DA COMPRA]]/Tabela27[[#This Row],[QUANT.]]</calculatedColumnFormula>
    </tableColumn>
    <tableColumn id="6" xr3:uid="{00000000-0010-0000-0600-000006000000}" name="FAZENDA" dataDxfId="108"/>
    <tableColumn id="7" xr3:uid="{00000000-0010-0000-0600-000007000000}" name="MÊS" dataDxfId="107"/>
    <tableColumn id="8" xr3:uid="{00000000-0010-0000-0600-000008000000}" name="PARCERIA" dataDxfId="106"/>
    <tableColumn id="9" xr3:uid="{00000000-0010-0000-0600-000009000000}" name="ANO" dataDxfId="105"/>
    <tableColumn id="10" xr3:uid="{00000000-0010-0000-0600-00000A000000}" name="SAFRA" dataDxfId="104"/>
    <tableColumn id="11" xr3:uid="{00000000-0010-0000-0600-00000B000000}" name="FRETE" dataDxfId="103"/>
    <tableColumn id="12" xr3:uid="{00000000-0010-0000-0600-00000C000000}" name="COMISSÃO" dataDxfId="102"/>
    <tableColumn id="13" xr3:uid="{00000000-0010-0000-0600-00000D000000}" name="OBSERVAÇÕES" dataDxfId="101"/>
    <tableColumn id="14" xr3:uid="{00000000-0010-0000-0600-00000E000000}" name="IMPOSTOS" dataDxfId="100"/>
    <tableColumn id="15" xr3:uid="{00000000-0010-0000-0600-00000F000000}" name="OBSERVAÇÕES 2" dataDxfId="9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7000000}" name="Tabela10" displayName="Tabela10" ref="B2:K419" totalsRowShown="0">
  <autoFilter ref="B2:K419" xr:uid="{00000000-0009-0000-0100-000019000000}"/>
  <tableColumns count="10">
    <tableColumn id="1" xr3:uid="{00000000-0010-0000-0700-000001000000}" name="DATA" dataDxfId="98"/>
    <tableColumn id="2" xr3:uid="{00000000-0010-0000-0700-000002000000}" name="PAGADOR" dataDxfId="97"/>
    <tableColumn id="3" xr3:uid="{00000000-0010-0000-0700-000003000000}" name="ITEM" dataDxfId="96"/>
    <tableColumn id="4" xr3:uid="{00000000-0010-0000-0700-000004000000}" name="VALOR TOTAL" dataDxfId="95"/>
    <tableColumn id="10" xr3:uid="{00000000-0010-0000-0700-00000A000000}" name="SUB CENTRO" dataDxfId="94"/>
    <tableColumn id="5" xr3:uid="{00000000-0010-0000-0700-000005000000}" name="CENTRO DE CUSTO" dataDxfId="93"/>
    <tableColumn id="6" xr3:uid="{00000000-0010-0000-0700-000006000000}" name="CLASSE" dataDxfId="92"/>
    <tableColumn id="7" xr3:uid="{00000000-0010-0000-0700-000007000000}" name="MÊS" dataDxfId="91"/>
    <tableColumn id="8" xr3:uid="{00000000-0010-0000-0700-000008000000}" name="ANO" dataDxfId="90"/>
    <tableColumn id="9" xr3:uid="{00000000-0010-0000-0700-000009000000}" name="SAFRA" dataDxfId="8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8000000}" name="Tabela3" displayName="Tabela3" ref="B4:V68" totalsRowShown="0">
  <autoFilter ref="B4:V68" xr:uid="{00000000-0009-0000-0100-00001A000000}"/>
  <tableColumns count="21">
    <tableColumn id="1" xr3:uid="{00000000-0010-0000-0800-000001000000}" name="DATA" dataDxfId="88"/>
    <tableColumn id="2" xr3:uid="{00000000-0010-0000-0800-000002000000}" name="TIPO DE VENDA" dataDxfId="87"/>
    <tableColumn id="3" xr3:uid="{00000000-0010-0000-0800-000003000000}" name="CATEGORIA" dataDxfId="86"/>
    <tableColumn id="4" xr3:uid="{00000000-0010-0000-0800-000004000000}" name="ANIMAIS" dataDxfId="85"/>
    <tableColumn id="5" xr3:uid="{00000000-0010-0000-0800-000005000000}" name="PESO TOTAL" dataDxfId="84"/>
    <tableColumn id="6" xr3:uid="{00000000-0010-0000-0800-000006000000}" name="PESO MÉDIO" dataDxfId="83">
      <calculatedColumnFormula>Tabela3[[#This Row],[PESO TOTAL]]/Tabela3[[#This Row],[ANIMAIS]]</calculatedColumnFormula>
    </tableColumn>
    <tableColumn id="7" xr3:uid="{00000000-0010-0000-0800-000007000000}" name="CARCAÇA TOTAL" dataDxfId="82"/>
    <tableColumn id="8" xr3:uid="{00000000-0010-0000-0800-000008000000}" name="CARCAÇA MÉDIA" dataDxfId="81">
      <calculatedColumnFormula>Tabela3[[#This Row],[CARCAÇA TOTAL]]/Tabela3[[#This Row],[ANIMAIS]]</calculatedColumnFormula>
    </tableColumn>
    <tableColumn id="9" xr3:uid="{00000000-0010-0000-0800-000009000000}" name="RENDIMENTO %" dataDxfId="80">
      <calculatedColumnFormula>Tabela3[[#This Row],[CARCAÇA MÉDIA]]/Tabela3[[#This Row],[PESO MÉDIO]]</calculatedColumnFormula>
    </tableColumn>
    <tableColumn id="10" xr3:uid="{00000000-0010-0000-0800-00000A000000}" name="VALOR TOTAL" dataDxfId="79"/>
    <tableColumn id="11" xr3:uid="{00000000-0010-0000-0800-00000B000000}" name="VALOR CABEÇA" dataDxfId="78">
      <calculatedColumnFormula>K5/E5</calculatedColumnFormula>
    </tableColumn>
    <tableColumn id="12" xr3:uid="{00000000-0010-0000-0800-00000C000000}" name="VALOR POR @" dataDxfId="77">
      <calculatedColumnFormula>Tabela3[[#This Row],[VALOR CABEÇA]]/(Tabela3[[#This Row],[CARCAÇA MÉDIA]]/15)</calculatedColumnFormula>
    </tableColumn>
    <tableColumn id="13" xr3:uid="{00000000-0010-0000-0800-00000D000000}" name="COMPRADOR" dataDxfId="76"/>
    <tableColumn id="14" xr3:uid="{00000000-0010-0000-0800-00000E000000}" name="MÊS" dataDxfId="75"/>
    <tableColumn id="15" xr3:uid="{00000000-0010-0000-0800-00000F000000}" name="ANO" dataDxfId="74"/>
    <tableColumn id="17" xr3:uid="{00000000-0010-0000-0800-000011000000}" name="FORMA" dataDxfId="73"/>
    <tableColumn id="16" xr3:uid="{00000000-0010-0000-0800-000010000000}" name="SOMA RENDIMENTO" dataDxfId="72">
      <calculatedColumnFormula>Tabela3[[#This Row],[RENDIMENTO %]]*Tabela3[[#This Row],[ANIMAIS]]</calculatedColumnFormula>
    </tableColumn>
    <tableColumn id="18" xr3:uid="{00000000-0010-0000-0800-000012000000}" name="FAZENDA" dataDxfId="71"/>
    <tableColumn id="19" xr3:uid="{00000000-0010-0000-0800-000013000000}" name="STATUS" dataDxfId="70"/>
    <tableColumn id="20" xr3:uid="{00000000-0010-0000-0800-000014000000}" name="PARCERIA" dataDxfId="69"/>
    <tableColumn id="21" xr3:uid="{00000000-0010-0000-0800-000015000000}" name="SAFRA" dataDxfId="6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drawing" Target="../drawings/drawing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drawing" Target="../drawings/drawing13.xml"/><Relationship Id="rId4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tabColor theme="1"/>
  </sheetPr>
  <dimension ref="A1:AG422"/>
  <sheetViews>
    <sheetView showGridLines="0" tabSelected="1" topLeftCell="A6" zoomScale="115" zoomScaleNormal="115" workbookViewId="0">
      <selection sqref="A1:Q4"/>
    </sheetView>
  </sheetViews>
  <sheetFormatPr defaultColWidth="9" defaultRowHeight="14.4"/>
  <cols>
    <col min="1" max="1" width="13" customWidth="1"/>
    <col min="5" max="5" width="8" customWidth="1"/>
    <col min="6" max="6" width="2.109375" customWidth="1"/>
  </cols>
  <sheetData>
    <row r="1" spans="1:33">
      <c r="A1" s="231" t="s">
        <v>43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13"/>
      <c r="S1" s="213"/>
      <c r="T1" s="214" t="str">
        <f>A1</f>
        <v>SÃO FRANCISCO</v>
      </c>
      <c r="U1" s="214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</row>
    <row r="2" spans="1:33">
      <c r="A2" s="233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13"/>
      <c r="S2" s="213"/>
      <c r="T2" s="214"/>
      <c r="U2" s="214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</row>
    <row r="3" spans="1:33">
      <c r="A3" s="233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</row>
    <row r="4" spans="1:33" ht="12.75" customHeight="1">
      <c r="A4" s="233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</row>
    <row r="5" spans="1:33" ht="15" customHeight="1">
      <c r="A5" s="235"/>
      <c r="B5" s="235"/>
      <c r="C5" s="235"/>
      <c r="D5" s="235"/>
      <c r="E5" s="235"/>
      <c r="F5" s="212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</row>
    <row r="6" spans="1:33" ht="21">
      <c r="A6" s="235"/>
      <c r="B6" s="235"/>
      <c r="C6" s="235"/>
      <c r="D6" s="235"/>
      <c r="E6" s="235"/>
      <c r="F6" s="212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</row>
    <row r="7" spans="1:33" ht="21">
      <c r="A7" s="235"/>
      <c r="B7" s="235"/>
      <c r="C7" s="235"/>
      <c r="D7" s="235"/>
      <c r="E7" s="235"/>
      <c r="F7" s="212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</row>
    <row r="8" spans="1:33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</row>
    <row r="9" spans="1:33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</row>
    <row r="10" spans="1:33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</row>
    <row r="11" spans="1:33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</row>
    <row r="12" spans="1:33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</row>
    <row r="13" spans="1:3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</row>
    <row r="14" spans="1:33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</row>
    <row r="15" spans="1:33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</row>
    <row r="16" spans="1:33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</row>
    <row r="17" spans="1:33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</row>
    <row r="18" spans="1:33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</row>
    <row r="19" spans="1:33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</row>
    <row r="20" spans="1:33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</row>
    <row r="21" spans="1:33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</row>
    <row r="22" spans="1:33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</row>
    <row r="23" spans="1:33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</row>
    <row r="24" spans="1:33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</row>
    <row r="25" spans="1:33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</row>
    <row r="26" spans="1:33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</row>
    <row r="27" spans="1:33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</row>
    <row r="28" spans="1:33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</row>
    <row r="29" spans="1:33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</row>
    <row r="30" spans="1:33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</row>
    <row r="31" spans="1:33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</row>
    <row r="32" spans="1:33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</row>
    <row r="33" spans="1:33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</row>
    <row r="34" spans="1:33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</row>
    <row r="35" spans="1:33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</row>
    <row r="36" spans="1:33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</row>
    <row r="37" spans="1:33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</row>
    <row r="38" spans="1:33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</row>
    <row r="39" spans="1:33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</row>
    <row r="40" spans="1:33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</row>
    <row r="41" spans="1:33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</row>
    <row r="42" spans="1:33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</row>
    <row r="43" spans="1:33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</row>
    <row r="44" spans="1:33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</row>
    <row r="45" spans="1:33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</row>
    <row r="46" spans="1:33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</row>
    <row r="47" spans="1:33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</row>
    <row r="48" spans="1:33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</row>
    <row r="49" spans="1:33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</row>
    <row r="50" spans="1:33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</row>
    <row r="51" spans="1:33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  <c r="AE51" s="213"/>
      <c r="AF51" s="213"/>
      <c r="AG51" s="213"/>
    </row>
    <row r="52" spans="1:33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</row>
    <row r="53" spans="1:33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3"/>
    </row>
    <row r="54" spans="1:33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</row>
    <row r="55" spans="1:33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</row>
    <row r="56" spans="1:33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/>
      <c r="AG56" s="213"/>
    </row>
    <row r="57" spans="1:33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</row>
    <row r="58" spans="1:33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</row>
    <row r="59" spans="1:33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</row>
    <row r="60" spans="1:33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/>
    </row>
    <row r="61" spans="1:33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</row>
    <row r="62" spans="1:33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213"/>
    </row>
    <row r="63" spans="1:33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</row>
    <row r="64" spans="1:33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</row>
    <row r="65" spans="1:33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</row>
    <row r="66" spans="1:33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</row>
    <row r="67" spans="1:33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</row>
    <row r="68" spans="1:33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</row>
    <row r="69" spans="1:33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</row>
    <row r="70" spans="1:33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</row>
    <row r="71" spans="1:33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</row>
    <row r="72" spans="1:33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</row>
    <row r="73" spans="1:33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</row>
    <row r="74" spans="1:33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</row>
    <row r="75" spans="1:33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213"/>
      <c r="AE75" s="213"/>
      <c r="AF75" s="213"/>
      <c r="AG75" s="213"/>
    </row>
    <row r="76" spans="1:33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</row>
    <row r="77" spans="1:33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</row>
    <row r="78" spans="1:33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</row>
    <row r="79" spans="1:33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</row>
    <row r="80" spans="1:33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</row>
    <row r="81" spans="1:33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</row>
    <row r="82" spans="1:33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</row>
    <row r="83" spans="1:33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</row>
    <row r="84" spans="1:33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</row>
    <row r="85" spans="1:33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213"/>
      <c r="AD85" s="213"/>
      <c r="AE85" s="213"/>
      <c r="AF85" s="213"/>
      <c r="AG85" s="213"/>
    </row>
    <row r="86" spans="1:33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</row>
    <row r="87" spans="1:33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</row>
    <row r="88" spans="1:33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  <c r="AE88" s="213"/>
      <c r="AF88" s="213"/>
      <c r="AG88" s="213"/>
    </row>
    <row r="89" spans="1:33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</row>
    <row r="90" spans="1:33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</row>
    <row r="91" spans="1:33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</row>
    <row r="92" spans="1:33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</row>
    <row r="93" spans="1:33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</row>
    <row r="94" spans="1:33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</row>
    <row r="95" spans="1:33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</row>
    <row r="96" spans="1:33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</row>
    <row r="97" spans="1:33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3"/>
      <c r="AC97" s="213"/>
      <c r="AD97" s="213"/>
      <c r="AE97" s="213"/>
      <c r="AF97" s="213"/>
      <c r="AG97" s="213"/>
    </row>
    <row r="98" spans="1:33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</row>
    <row r="99" spans="1:33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</row>
    <row r="100" spans="1:33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</row>
    <row r="101" spans="1:33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</row>
    <row r="102" spans="1:33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</row>
    <row r="103" spans="1:33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</row>
    <row r="104" spans="1:33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</row>
    <row r="105" spans="1:33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</row>
    <row r="106" spans="1:33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</row>
    <row r="107" spans="1:33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</row>
    <row r="108" spans="1:33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</row>
    <row r="109" spans="1:33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</row>
    <row r="110" spans="1:33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</row>
    <row r="111" spans="1:33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</row>
    <row r="112" spans="1:33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213"/>
      <c r="AD112" s="213"/>
      <c r="AE112" s="213"/>
      <c r="AF112" s="213"/>
      <c r="AG112" s="213"/>
    </row>
    <row r="113" spans="1:33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</row>
    <row r="114" spans="1:33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213"/>
      <c r="AD114" s="213"/>
      <c r="AE114" s="213"/>
      <c r="AF114" s="213"/>
      <c r="AG114" s="213"/>
    </row>
    <row r="115" spans="1:33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213"/>
      <c r="AD115" s="213"/>
      <c r="AE115" s="213"/>
      <c r="AF115" s="213"/>
      <c r="AG115" s="213"/>
    </row>
    <row r="116" spans="1:33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</row>
    <row r="117" spans="1:33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  <c r="AC117" s="213"/>
      <c r="AD117" s="213"/>
      <c r="AE117" s="213"/>
      <c r="AF117" s="213"/>
      <c r="AG117" s="213"/>
    </row>
    <row r="118" spans="1:33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  <c r="AA118" s="213"/>
      <c r="AB118" s="213"/>
      <c r="AC118" s="213"/>
      <c r="AD118" s="213"/>
      <c r="AE118" s="213"/>
      <c r="AF118" s="213"/>
      <c r="AG118" s="213"/>
    </row>
    <row r="119" spans="1:33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  <c r="AA119" s="213"/>
      <c r="AB119" s="213"/>
      <c r="AC119" s="213"/>
      <c r="AD119" s="213"/>
      <c r="AE119" s="213"/>
      <c r="AF119" s="213"/>
      <c r="AG119" s="213"/>
    </row>
    <row r="120" spans="1:33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  <c r="AA120" s="213"/>
      <c r="AB120" s="213"/>
      <c r="AC120" s="213"/>
      <c r="AD120" s="213"/>
      <c r="AE120" s="213"/>
      <c r="AF120" s="213"/>
      <c r="AG120" s="213"/>
    </row>
    <row r="121" spans="1:33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213"/>
      <c r="AD121" s="213"/>
      <c r="AE121" s="213"/>
      <c r="AF121" s="213"/>
      <c r="AG121" s="213"/>
    </row>
    <row r="122" spans="1:33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  <c r="AA122" s="213"/>
      <c r="AB122" s="213"/>
      <c r="AC122" s="213"/>
      <c r="AD122" s="213"/>
      <c r="AE122" s="213"/>
      <c r="AF122" s="213"/>
      <c r="AG122" s="213"/>
    </row>
    <row r="123" spans="1:33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  <c r="AA123" s="213"/>
      <c r="AB123" s="213"/>
      <c r="AC123" s="213"/>
      <c r="AD123" s="213"/>
      <c r="AE123" s="213"/>
      <c r="AF123" s="213"/>
      <c r="AG123" s="213"/>
    </row>
    <row r="124" spans="1:33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  <c r="AE124" s="213"/>
      <c r="AF124" s="213"/>
      <c r="AG124" s="213"/>
    </row>
    <row r="125" spans="1:33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  <c r="AA125" s="213"/>
      <c r="AB125" s="213"/>
      <c r="AC125" s="213"/>
      <c r="AD125" s="213"/>
      <c r="AE125" s="213"/>
      <c r="AF125" s="213"/>
      <c r="AG125" s="213"/>
    </row>
    <row r="126" spans="1:33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</row>
    <row r="127" spans="1:33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  <c r="AA127" s="213"/>
      <c r="AB127" s="213"/>
      <c r="AC127" s="213"/>
      <c r="AD127" s="213"/>
      <c r="AE127" s="213"/>
      <c r="AF127" s="213"/>
      <c r="AG127" s="213"/>
    </row>
    <row r="128" spans="1:33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  <c r="AA128" s="213"/>
      <c r="AB128" s="213"/>
      <c r="AC128" s="213"/>
      <c r="AD128" s="213"/>
      <c r="AE128" s="213"/>
      <c r="AF128" s="213"/>
      <c r="AG128" s="213"/>
    </row>
    <row r="129" spans="1:33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  <c r="AA129" s="213"/>
      <c r="AB129" s="213"/>
      <c r="AC129" s="213"/>
      <c r="AD129" s="213"/>
      <c r="AE129" s="213"/>
      <c r="AF129" s="213"/>
      <c r="AG129" s="213"/>
    </row>
    <row r="130" spans="1:33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  <c r="AA130" s="213"/>
      <c r="AB130" s="213"/>
      <c r="AC130" s="213"/>
      <c r="AD130" s="213"/>
      <c r="AE130" s="213"/>
      <c r="AF130" s="213"/>
      <c r="AG130" s="213"/>
    </row>
    <row r="131" spans="1:33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  <c r="AA131" s="213"/>
      <c r="AB131" s="213"/>
      <c r="AC131" s="213"/>
      <c r="AD131" s="213"/>
      <c r="AE131" s="213"/>
      <c r="AF131" s="213"/>
      <c r="AG131" s="213"/>
    </row>
    <row r="132" spans="1:33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  <c r="AA132" s="213"/>
      <c r="AB132" s="213"/>
      <c r="AC132" s="213"/>
      <c r="AD132" s="213"/>
      <c r="AE132" s="213"/>
      <c r="AF132" s="213"/>
      <c r="AG132" s="213"/>
    </row>
    <row r="133" spans="1:33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  <c r="AA133" s="213"/>
      <c r="AB133" s="213"/>
      <c r="AC133" s="213"/>
      <c r="AD133" s="213"/>
      <c r="AE133" s="213"/>
      <c r="AF133" s="213"/>
      <c r="AG133" s="213"/>
    </row>
    <row r="134" spans="1:33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  <c r="AA134" s="213"/>
      <c r="AB134" s="213"/>
      <c r="AC134" s="213"/>
      <c r="AD134" s="213"/>
      <c r="AE134" s="213"/>
      <c r="AF134" s="213"/>
      <c r="AG134" s="213"/>
    </row>
    <row r="135" spans="1:33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3"/>
      <c r="AB135" s="213"/>
      <c r="AC135" s="213"/>
      <c r="AD135" s="213"/>
      <c r="AE135" s="213"/>
      <c r="AF135" s="213"/>
      <c r="AG135" s="213"/>
    </row>
    <row r="136" spans="1:33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3"/>
      <c r="AC136" s="213"/>
      <c r="AD136" s="213"/>
      <c r="AE136" s="213"/>
      <c r="AF136" s="213"/>
      <c r="AG136" s="213"/>
    </row>
    <row r="137" spans="1:33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3"/>
      <c r="AC137" s="213"/>
      <c r="AD137" s="213"/>
      <c r="AE137" s="213"/>
      <c r="AF137" s="213"/>
      <c r="AG137" s="213"/>
    </row>
    <row r="138" spans="1:33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3"/>
      <c r="AC138" s="213"/>
      <c r="AD138" s="213"/>
      <c r="AE138" s="213"/>
      <c r="AF138" s="213"/>
      <c r="AG138" s="213"/>
    </row>
    <row r="139" spans="1:33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  <c r="AE139" s="213"/>
      <c r="AF139" s="213"/>
      <c r="AG139" s="213"/>
    </row>
    <row r="140" spans="1:33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3"/>
      <c r="AC140" s="213"/>
      <c r="AD140" s="213"/>
      <c r="AE140" s="213"/>
      <c r="AF140" s="213"/>
      <c r="AG140" s="213"/>
    </row>
    <row r="141" spans="1:33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3"/>
      <c r="AC141" s="213"/>
      <c r="AD141" s="213"/>
      <c r="AE141" s="213"/>
      <c r="AF141" s="213"/>
      <c r="AG141" s="213"/>
    </row>
    <row r="142" spans="1:33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  <c r="AE142" s="213"/>
      <c r="AF142" s="213"/>
      <c r="AG142" s="213"/>
    </row>
    <row r="143" spans="1:33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3"/>
      <c r="AC143" s="213"/>
      <c r="AD143" s="213"/>
      <c r="AE143" s="213"/>
      <c r="AF143" s="213"/>
      <c r="AG143" s="213"/>
    </row>
    <row r="144" spans="1:33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3"/>
      <c r="AC144" s="213"/>
      <c r="AD144" s="213"/>
      <c r="AE144" s="213"/>
      <c r="AF144" s="213"/>
      <c r="AG144" s="213"/>
    </row>
    <row r="145" spans="1:33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3"/>
      <c r="AC145" s="213"/>
      <c r="AD145" s="213"/>
      <c r="AE145" s="213"/>
      <c r="AF145" s="213"/>
      <c r="AG145" s="213"/>
    </row>
    <row r="146" spans="1:33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3"/>
      <c r="AC146" s="213"/>
      <c r="AD146" s="213"/>
      <c r="AE146" s="213"/>
      <c r="AF146" s="213"/>
      <c r="AG146" s="213"/>
    </row>
    <row r="147" spans="1:33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3"/>
      <c r="AC147" s="213"/>
      <c r="AD147" s="213"/>
      <c r="AE147" s="213"/>
      <c r="AF147" s="213"/>
      <c r="AG147" s="213"/>
    </row>
    <row r="148" spans="1:33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3"/>
      <c r="AC148" s="213"/>
      <c r="AD148" s="213"/>
      <c r="AE148" s="213"/>
      <c r="AF148" s="213"/>
      <c r="AG148" s="213"/>
    </row>
    <row r="149" spans="1:33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3"/>
      <c r="AC149" s="213"/>
      <c r="AD149" s="213"/>
      <c r="AE149" s="213"/>
      <c r="AF149" s="213"/>
      <c r="AG149" s="213"/>
    </row>
    <row r="150" spans="1:33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3"/>
      <c r="AC150" s="213"/>
      <c r="AD150" s="213"/>
      <c r="AE150" s="213"/>
      <c r="AF150" s="213"/>
      <c r="AG150" s="213"/>
    </row>
    <row r="151" spans="1:33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3"/>
      <c r="AD151" s="213"/>
      <c r="AE151" s="213"/>
      <c r="AF151" s="213"/>
      <c r="AG151" s="213"/>
    </row>
    <row r="152" spans="1:33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  <c r="AA152" s="213"/>
      <c r="AB152" s="213"/>
      <c r="AC152" s="213"/>
      <c r="AD152" s="213"/>
      <c r="AE152" s="213"/>
      <c r="AF152" s="213"/>
      <c r="AG152" s="213"/>
    </row>
    <row r="153" spans="1:33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  <c r="AA153" s="213"/>
      <c r="AB153" s="213"/>
      <c r="AC153" s="213"/>
      <c r="AD153" s="213"/>
      <c r="AE153" s="213"/>
      <c r="AF153" s="213"/>
      <c r="AG153" s="213"/>
    </row>
    <row r="154" spans="1:33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  <c r="AA154" s="213"/>
      <c r="AB154" s="213"/>
      <c r="AC154" s="213"/>
      <c r="AD154" s="213"/>
      <c r="AE154" s="213"/>
      <c r="AF154" s="213"/>
      <c r="AG154" s="213"/>
    </row>
    <row r="155" spans="1:33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  <c r="AA155" s="213"/>
      <c r="AB155" s="213"/>
      <c r="AC155" s="213"/>
      <c r="AD155" s="213"/>
      <c r="AE155" s="213"/>
      <c r="AF155" s="213"/>
      <c r="AG155" s="213"/>
    </row>
    <row r="156" spans="1:33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  <c r="AA156" s="213"/>
      <c r="AB156" s="213"/>
      <c r="AC156" s="213"/>
      <c r="AD156" s="213"/>
      <c r="AE156" s="213"/>
      <c r="AF156" s="213"/>
      <c r="AG156" s="213"/>
    </row>
    <row r="157" spans="1:33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  <c r="AA157" s="213"/>
      <c r="AB157" s="213"/>
      <c r="AC157" s="213"/>
      <c r="AD157" s="213"/>
      <c r="AE157" s="213"/>
      <c r="AF157" s="213"/>
      <c r="AG157" s="213"/>
    </row>
    <row r="158" spans="1:33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  <c r="AA158" s="213"/>
      <c r="AB158" s="213"/>
      <c r="AC158" s="213"/>
      <c r="AD158" s="213"/>
      <c r="AE158" s="213"/>
      <c r="AF158" s="213"/>
      <c r="AG158" s="213"/>
    </row>
    <row r="159" spans="1:33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  <c r="AA159" s="213"/>
      <c r="AB159" s="213"/>
      <c r="AC159" s="213"/>
      <c r="AD159" s="213"/>
      <c r="AE159" s="213"/>
      <c r="AF159" s="213"/>
      <c r="AG159" s="213"/>
    </row>
    <row r="160" spans="1:33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  <c r="AA160" s="213"/>
      <c r="AB160" s="213"/>
      <c r="AC160" s="213"/>
      <c r="AD160" s="213"/>
      <c r="AE160" s="213"/>
      <c r="AF160" s="213"/>
      <c r="AG160" s="213"/>
    </row>
    <row r="161" spans="1:33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  <c r="AC161" s="213"/>
      <c r="AD161" s="213"/>
      <c r="AE161" s="213"/>
      <c r="AF161" s="213"/>
      <c r="AG161" s="213"/>
    </row>
    <row r="162" spans="1:33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  <c r="AA162" s="213"/>
      <c r="AB162" s="213"/>
      <c r="AC162" s="213"/>
      <c r="AD162" s="213"/>
      <c r="AE162" s="213"/>
      <c r="AF162" s="213"/>
      <c r="AG162" s="213"/>
    </row>
    <row r="163" spans="1:33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  <c r="AA163" s="213"/>
      <c r="AB163" s="213"/>
      <c r="AC163" s="213"/>
      <c r="AD163" s="213"/>
      <c r="AE163" s="213"/>
      <c r="AF163" s="213"/>
      <c r="AG163" s="213"/>
    </row>
    <row r="164" spans="1:33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  <c r="AA164" s="213"/>
      <c r="AB164" s="213"/>
      <c r="AC164" s="213"/>
      <c r="AD164" s="213"/>
      <c r="AE164" s="213"/>
      <c r="AF164" s="213"/>
      <c r="AG164" s="213"/>
    </row>
    <row r="165" spans="1:33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  <c r="AA165" s="213"/>
      <c r="AB165" s="213"/>
      <c r="AC165" s="213"/>
      <c r="AD165" s="213"/>
      <c r="AE165" s="213"/>
      <c r="AF165" s="213"/>
      <c r="AG165" s="213"/>
    </row>
    <row r="166" spans="1:33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  <c r="AA166" s="213"/>
      <c r="AB166" s="213"/>
      <c r="AC166" s="213"/>
      <c r="AD166" s="213"/>
      <c r="AE166" s="213"/>
      <c r="AF166" s="213"/>
      <c r="AG166" s="213"/>
    </row>
    <row r="167" spans="1:33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  <c r="AA167" s="213"/>
      <c r="AB167" s="213"/>
      <c r="AC167" s="213"/>
      <c r="AD167" s="213"/>
      <c r="AE167" s="213"/>
      <c r="AF167" s="213"/>
      <c r="AG167" s="213"/>
    </row>
    <row r="168" spans="1:33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  <c r="AA168" s="213"/>
      <c r="AB168" s="213"/>
      <c r="AC168" s="213"/>
      <c r="AD168" s="213"/>
      <c r="AE168" s="213"/>
      <c r="AF168" s="213"/>
      <c r="AG168" s="213"/>
    </row>
    <row r="169" spans="1:33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  <c r="AA169" s="213"/>
      <c r="AB169" s="213"/>
      <c r="AC169" s="213"/>
      <c r="AD169" s="213"/>
      <c r="AE169" s="213"/>
      <c r="AF169" s="213"/>
      <c r="AG169" s="213"/>
    </row>
    <row r="170" spans="1:33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  <c r="AA170" s="213"/>
      <c r="AB170" s="213"/>
      <c r="AC170" s="213"/>
      <c r="AD170" s="213"/>
      <c r="AE170" s="213"/>
      <c r="AF170" s="213"/>
      <c r="AG170" s="213"/>
    </row>
    <row r="171" spans="1:33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  <c r="AA171" s="213"/>
      <c r="AB171" s="213"/>
      <c r="AC171" s="213"/>
      <c r="AD171" s="213"/>
      <c r="AE171" s="213"/>
      <c r="AF171" s="213"/>
      <c r="AG171" s="213"/>
    </row>
    <row r="172" spans="1:33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  <c r="AA172" s="213"/>
      <c r="AB172" s="213"/>
      <c r="AC172" s="213"/>
      <c r="AD172" s="213"/>
      <c r="AE172" s="213"/>
      <c r="AF172" s="213"/>
      <c r="AG172" s="213"/>
    </row>
    <row r="173" spans="1:33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  <c r="AA173" s="213"/>
      <c r="AB173" s="213"/>
      <c r="AC173" s="213"/>
      <c r="AD173" s="213"/>
      <c r="AE173" s="213"/>
      <c r="AF173" s="213"/>
      <c r="AG173" s="213"/>
    </row>
    <row r="174" spans="1:33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  <c r="AA174" s="213"/>
      <c r="AB174" s="213"/>
      <c r="AC174" s="213"/>
      <c r="AD174" s="213"/>
      <c r="AE174" s="213"/>
      <c r="AF174" s="213"/>
      <c r="AG174" s="213"/>
    </row>
    <row r="175" spans="1:33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  <c r="AA175" s="213"/>
      <c r="AB175" s="213"/>
      <c r="AC175" s="213"/>
      <c r="AD175" s="213"/>
      <c r="AE175" s="213"/>
      <c r="AF175" s="213"/>
      <c r="AG175" s="213"/>
    </row>
    <row r="176" spans="1:33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  <c r="AA176" s="213"/>
      <c r="AB176" s="213"/>
      <c r="AC176" s="213"/>
      <c r="AD176" s="213"/>
      <c r="AE176" s="213"/>
      <c r="AF176" s="213"/>
      <c r="AG176" s="213"/>
    </row>
    <row r="177" spans="1:33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3"/>
      <c r="AB177" s="213"/>
      <c r="AC177" s="213"/>
      <c r="AD177" s="213"/>
      <c r="AE177" s="213"/>
      <c r="AF177" s="213"/>
      <c r="AG177" s="213"/>
    </row>
    <row r="178" spans="1:33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3"/>
      <c r="AC178" s="213"/>
      <c r="AD178" s="213"/>
      <c r="AE178" s="213"/>
      <c r="AF178" s="213"/>
      <c r="AG178" s="213"/>
    </row>
    <row r="179" spans="1:33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3"/>
      <c r="AC179" s="213"/>
      <c r="AD179" s="213"/>
      <c r="AE179" s="213"/>
      <c r="AF179" s="213"/>
      <c r="AG179" s="213"/>
    </row>
    <row r="180" spans="1:33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3"/>
      <c r="AC180" s="213"/>
      <c r="AD180" s="213"/>
      <c r="AE180" s="213"/>
      <c r="AF180" s="213"/>
      <c r="AG180" s="213"/>
    </row>
    <row r="181" spans="1:33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3"/>
      <c r="AC181" s="213"/>
      <c r="AD181" s="213"/>
      <c r="AE181" s="213"/>
      <c r="AF181" s="213"/>
      <c r="AG181" s="213"/>
    </row>
    <row r="182" spans="1:33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3"/>
      <c r="AC182" s="213"/>
      <c r="AD182" s="213"/>
      <c r="AE182" s="213"/>
      <c r="AF182" s="213"/>
      <c r="AG182" s="213"/>
    </row>
    <row r="183" spans="1:33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3"/>
      <c r="AC183" s="213"/>
      <c r="AD183" s="213"/>
      <c r="AE183" s="213"/>
      <c r="AF183" s="213"/>
      <c r="AG183" s="213"/>
    </row>
    <row r="184" spans="1:33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3"/>
      <c r="AC184" s="213"/>
      <c r="AD184" s="213"/>
      <c r="AE184" s="213"/>
      <c r="AF184" s="213"/>
      <c r="AG184" s="213"/>
    </row>
    <row r="185" spans="1:33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3"/>
      <c r="AC185" s="213"/>
      <c r="AD185" s="213"/>
      <c r="AE185" s="213"/>
      <c r="AF185" s="213"/>
      <c r="AG185" s="213"/>
    </row>
    <row r="186" spans="1:33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3"/>
      <c r="AC186" s="213"/>
      <c r="AD186" s="213"/>
      <c r="AE186" s="213"/>
      <c r="AF186" s="213"/>
      <c r="AG186" s="213"/>
    </row>
    <row r="187" spans="1:33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3"/>
      <c r="AC187" s="213"/>
      <c r="AD187" s="213"/>
      <c r="AE187" s="213"/>
      <c r="AF187" s="213"/>
      <c r="AG187" s="213"/>
    </row>
    <row r="188" spans="1:33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3"/>
      <c r="AC188" s="213"/>
      <c r="AD188" s="213"/>
      <c r="AE188" s="213"/>
      <c r="AF188" s="213"/>
      <c r="AG188" s="213"/>
    </row>
    <row r="189" spans="1:33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3"/>
      <c r="AC189" s="213"/>
      <c r="AD189" s="213"/>
      <c r="AE189" s="213"/>
      <c r="AF189" s="213"/>
      <c r="AG189" s="213"/>
    </row>
    <row r="190" spans="1:33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3"/>
      <c r="AC190" s="213"/>
      <c r="AD190" s="213"/>
      <c r="AE190" s="213"/>
      <c r="AF190" s="213"/>
      <c r="AG190" s="213"/>
    </row>
    <row r="191" spans="1:33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3"/>
      <c r="AC191" s="213"/>
      <c r="AD191" s="213"/>
      <c r="AE191" s="213"/>
      <c r="AF191" s="213"/>
      <c r="AG191" s="213"/>
    </row>
    <row r="192" spans="1:33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3"/>
      <c r="AC192" s="213"/>
      <c r="AD192" s="213"/>
      <c r="AE192" s="213"/>
      <c r="AF192" s="213"/>
      <c r="AG192" s="213"/>
    </row>
    <row r="193" spans="1:33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3"/>
      <c r="AC193" s="213"/>
      <c r="AD193" s="213"/>
      <c r="AE193" s="213"/>
      <c r="AF193" s="213"/>
      <c r="AG193" s="213"/>
    </row>
    <row r="194" spans="1:33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3"/>
      <c r="AC194" s="213"/>
      <c r="AD194" s="213"/>
      <c r="AE194" s="213"/>
      <c r="AF194" s="213"/>
      <c r="AG194" s="213"/>
    </row>
    <row r="195" spans="1:33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  <c r="AA195" s="213"/>
      <c r="AB195" s="213"/>
      <c r="AC195" s="213"/>
      <c r="AD195" s="213"/>
      <c r="AE195" s="213"/>
      <c r="AF195" s="213"/>
      <c r="AG195" s="213"/>
    </row>
    <row r="196" spans="1:33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  <c r="AA196" s="213"/>
      <c r="AB196" s="213"/>
      <c r="AC196" s="213"/>
      <c r="AD196" s="213"/>
      <c r="AE196" s="213"/>
      <c r="AF196" s="213"/>
      <c r="AG196" s="213"/>
    </row>
    <row r="197" spans="1:33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  <c r="AA197" s="213"/>
      <c r="AB197" s="213"/>
      <c r="AC197" s="213"/>
      <c r="AD197" s="213"/>
      <c r="AE197" s="213"/>
      <c r="AF197" s="213"/>
      <c r="AG197" s="213"/>
    </row>
    <row r="198" spans="1:33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  <c r="AA198" s="213"/>
      <c r="AB198" s="213"/>
      <c r="AC198" s="213"/>
      <c r="AD198" s="213"/>
      <c r="AE198" s="213"/>
      <c r="AF198" s="213"/>
      <c r="AG198" s="213"/>
    </row>
    <row r="199" spans="1:33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  <c r="AA199" s="213"/>
      <c r="AB199" s="213"/>
      <c r="AC199" s="213"/>
      <c r="AD199" s="213"/>
      <c r="AE199" s="213"/>
      <c r="AF199" s="213"/>
      <c r="AG199" s="213"/>
    </row>
    <row r="200" spans="1:33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  <c r="AA200" s="213"/>
      <c r="AB200" s="213"/>
      <c r="AC200" s="213"/>
      <c r="AD200" s="213"/>
      <c r="AE200" s="213"/>
      <c r="AF200" s="213"/>
      <c r="AG200" s="213"/>
    </row>
    <row r="201" spans="1:33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  <c r="AA201" s="213"/>
      <c r="AB201" s="213"/>
      <c r="AC201" s="213"/>
      <c r="AD201" s="213"/>
      <c r="AE201" s="213"/>
      <c r="AF201" s="213"/>
      <c r="AG201" s="213"/>
    </row>
    <row r="202" spans="1:33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  <c r="AA202" s="213"/>
      <c r="AB202" s="213"/>
      <c r="AC202" s="213"/>
      <c r="AD202" s="213"/>
      <c r="AE202" s="213"/>
      <c r="AF202" s="213"/>
      <c r="AG202" s="213"/>
    </row>
    <row r="203" spans="1:33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  <c r="AA203" s="213"/>
      <c r="AB203" s="213"/>
      <c r="AC203" s="213"/>
      <c r="AD203" s="213"/>
      <c r="AE203" s="213"/>
      <c r="AF203" s="213"/>
      <c r="AG203" s="213"/>
    </row>
    <row r="204" spans="1:33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  <c r="AA204" s="213"/>
      <c r="AB204" s="213"/>
      <c r="AC204" s="213"/>
      <c r="AD204" s="213"/>
      <c r="AE204" s="213"/>
      <c r="AF204" s="213"/>
      <c r="AG204" s="213"/>
    </row>
    <row r="205" spans="1:33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  <c r="AA205" s="213"/>
      <c r="AB205" s="213"/>
      <c r="AC205" s="213"/>
      <c r="AD205" s="213"/>
      <c r="AE205" s="213"/>
      <c r="AF205" s="213"/>
      <c r="AG205" s="213"/>
    </row>
    <row r="206" spans="1:33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  <c r="AA206" s="213"/>
      <c r="AB206" s="213"/>
      <c r="AC206" s="213"/>
      <c r="AD206" s="213"/>
      <c r="AE206" s="213"/>
      <c r="AF206" s="213"/>
      <c r="AG206" s="213"/>
    </row>
    <row r="207" spans="1:33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  <c r="AA207" s="213"/>
      <c r="AB207" s="213"/>
      <c r="AC207" s="213"/>
      <c r="AD207" s="213"/>
      <c r="AE207" s="213"/>
      <c r="AF207" s="213"/>
      <c r="AG207" s="213"/>
    </row>
    <row r="208" spans="1:33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  <c r="AA208" s="213"/>
      <c r="AB208" s="213"/>
      <c r="AC208" s="213"/>
      <c r="AD208" s="213"/>
      <c r="AE208" s="213"/>
      <c r="AF208" s="213"/>
      <c r="AG208" s="213"/>
    </row>
    <row r="209" spans="1:33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  <c r="AA209" s="213"/>
      <c r="AB209" s="213"/>
      <c r="AC209" s="213"/>
      <c r="AD209" s="213"/>
      <c r="AE209" s="213"/>
      <c r="AF209" s="213"/>
      <c r="AG209" s="213"/>
    </row>
    <row r="210" spans="1:33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  <c r="AA210" s="213"/>
      <c r="AB210" s="213"/>
      <c r="AC210" s="213"/>
      <c r="AD210" s="213"/>
      <c r="AE210" s="213"/>
      <c r="AF210" s="213"/>
      <c r="AG210" s="213"/>
    </row>
    <row r="211" spans="1:33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  <c r="AA211" s="213"/>
      <c r="AB211" s="213"/>
      <c r="AC211" s="213"/>
      <c r="AD211" s="213"/>
      <c r="AE211" s="213"/>
      <c r="AF211" s="213"/>
      <c r="AG211" s="213"/>
    </row>
    <row r="212" spans="1:33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  <c r="AA212" s="213"/>
      <c r="AB212" s="213"/>
      <c r="AC212" s="213"/>
      <c r="AD212" s="213"/>
      <c r="AE212" s="213"/>
      <c r="AF212" s="213"/>
      <c r="AG212" s="213"/>
    </row>
    <row r="213" spans="1:33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  <c r="AA213" s="213"/>
      <c r="AB213" s="213"/>
      <c r="AC213" s="213"/>
      <c r="AD213" s="213"/>
      <c r="AE213" s="213"/>
      <c r="AF213" s="213"/>
      <c r="AG213" s="213"/>
    </row>
    <row r="214" spans="1:33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  <c r="AA214" s="213"/>
      <c r="AB214" s="213"/>
      <c r="AC214" s="213"/>
      <c r="AD214" s="213"/>
      <c r="AE214" s="213"/>
      <c r="AF214" s="213"/>
      <c r="AG214" s="213"/>
    </row>
    <row r="215" spans="1:33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  <c r="AA215" s="213"/>
      <c r="AB215" s="213"/>
      <c r="AC215" s="213"/>
      <c r="AD215" s="213"/>
      <c r="AE215" s="213"/>
      <c r="AF215" s="213"/>
      <c r="AG215" s="213"/>
    </row>
    <row r="216" spans="1:33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  <c r="AA216" s="213"/>
      <c r="AB216" s="213"/>
      <c r="AC216" s="213"/>
      <c r="AD216" s="213"/>
      <c r="AE216" s="213"/>
      <c r="AF216" s="213"/>
      <c r="AG216" s="213"/>
    </row>
    <row r="217" spans="1:33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  <c r="AA217" s="213"/>
      <c r="AB217" s="213"/>
      <c r="AC217" s="213"/>
      <c r="AD217" s="213"/>
      <c r="AE217" s="213"/>
      <c r="AF217" s="213"/>
      <c r="AG217" s="213"/>
    </row>
    <row r="218" spans="1:33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  <c r="AA218" s="213"/>
      <c r="AB218" s="213"/>
      <c r="AC218" s="213"/>
      <c r="AD218" s="213"/>
      <c r="AE218" s="213"/>
      <c r="AF218" s="213"/>
      <c r="AG218" s="213"/>
    </row>
    <row r="219" spans="1:33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  <c r="AA219" s="213"/>
      <c r="AB219" s="213"/>
      <c r="AC219" s="213"/>
      <c r="AD219" s="213"/>
      <c r="AE219" s="213"/>
      <c r="AF219" s="213"/>
      <c r="AG219" s="213"/>
    </row>
    <row r="220" spans="1:33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  <c r="AA220" s="213"/>
      <c r="AB220" s="213"/>
      <c r="AC220" s="213"/>
      <c r="AD220" s="213"/>
      <c r="AE220" s="213"/>
      <c r="AF220" s="213"/>
      <c r="AG220" s="213"/>
    </row>
    <row r="221" spans="1:33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  <c r="AA221" s="213"/>
      <c r="AB221" s="213"/>
      <c r="AC221" s="213"/>
      <c r="AD221" s="213"/>
      <c r="AE221" s="213"/>
      <c r="AF221" s="213"/>
      <c r="AG221" s="213"/>
    </row>
    <row r="222" spans="1:33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  <c r="AA222" s="213"/>
      <c r="AB222" s="213"/>
      <c r="AC222" s="213"/>
      <c r="AD222" s="213"/>
      <c r="AE222" s="213"/>
      <c r="AF222" s="213"/>
      <c r="AG222" s="213"/>
    </row>
    <row r="223" spans="1:33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  <c r="AA223" s="213"/>
      <c r="AB223" s="213"/>
      <c r="AC223" s="213"/>
      <c r="AD223" s="213"/>
      <c r="AE223" s="213"/>
      <c r="AF223" s="213"/>
      <c r="AG223" s="213"/>
    </row>
    <row r="224" spans="1:33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  <c r="AA224" s="213"/>
      <c r="AB224" s="213"/>
      <c r="AC224" s="213"/>
      <c r="AD224" s="213"/>
      <c r="AE224" s="213"/>
      <c r="AF224" s="213"/>
      <c r="AG224" s="213"/>
    </row>
    <row r="225" spans="1:33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  <c r="AA225" s="213"/>
      <c r="AB225" s="213"/>
      <c r="AC225" s="213"/>
      <c r="AD225" s="213"/>
      <c r="AE225" s="213"/>
      <c r="AF225" s="213"/>
      <c r="AG225" s="213"/>
    </row>
    <row r="226" spans="1:33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  <c r="AA226" s="213"/>
      <c r="AB226" s="213"/>
      <c r="AC226" s="213"/>
      <c r="AD226" s="213"/>
      <c r="AE226" s="213"/>
      <c r="AF226" s="213"/>
      <c r="AG226" s="213"/>
    </row>
    <row r="227" spans="1:33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  <c r="AA227" s="213"/>
      <c r="AB227" s="213"/>
      <c r="AC227" s="213"/>
      <c r="AD227" s="213"/>
      <c r="AE227" s="213"/>
      <c r="AF227" s="213"/>
      <c r="AG227" s="213"/>
    </row>
    <row r="228" spans="1:33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  <c r="AA228" s="213"/>
      <c r="AB228" s="213"/>
      <c r="AC228" s="213"/>
      <c r="AD228" s="213"/>
      <c r="AE228" s="213"/>
      <c r="AF228" s="213"/>
      <c r="AG228" s="213"/>
    </row>
    <row r="229" spans="1:33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  <c r="AA229" s="213"/>
      <c r="AB229" s="213"/>
      <c r="AC229" s="213"/>
      <c r="AD229" s="213"/>
      <c r="AE229" s="213"/>
      <c r="AF229" s="213"/>
      <c r="AG229" s="213"/>
    </row>
    <row r="230" spans="1:33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  <c r="AA230" s="213"/>
      <c r="AB230" s="213"/>
      <c r="AC230" s="213"/>
      <c r="AD230" s="213"/>
      <c r="AE230" s="213"/>
      <c r="AF230" s="213"/>
      <c r="AG230" s="213"/>
    </row>
    <row r="231" spans="1:33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  <c r="AA231" s="213"/>
      <c r="AB231" s="213"/>
      <c r="AC231" s="213"/>
      <c r="AD231" s="213"/>
      <c r="AE231" s="213"/>
      <c r="AF231" s="213"/>
      <c r="AG231" s="213"/>
    </row>
    <row r="232" spans="1:33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  <c r="AA232" s="213"/>
      <c r="AB232" s="213"/>
      <c r="AC232" s="213"/>
      <c r="AD232" s="213"/>
      <c r="AE232" s="213"/>
      <c r="AF232" s="213"/>
      <c r="AG232" s="213"/>
    </row>
    <row r="233" spans="1:33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  <c r="AA233" s="213"/>
      <c r="AB233" s="213"/>
      <c r="AC233" s="213"/>
      <c r="AD233" s="213"/>
      <c r="AE233" s="213"/>
      <c r="AF233" s="213"/>
      <c r="AG233" s="213"/>
    </row>
    <row r="234" spans="1:33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  <c r="AA234" s="213"/>
      <c r="AB234" s="213"/>
      <c r="AC234" s="213"/>
      <c r="AD234" s="213"/>
      <c r="AE234" s="213"/>
      <c r="AF234" s="213"/>
      <c r="AG234" s="213"/>
    </row>
    <row r="235" spans="1:33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  <c r="AA235" s="213"/>
      <c r="AB235" s="213"/>
      <c r="AC235" s="213"/>
      <c r="AD235" s="213"/>
      <c r="AE235" s="213"/>
      <c r="AF235" s="213"/>
      <c r="AG235" s="213"/>
    </row>
    <row r="236" spans="1:33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  <c r="AA236" s="213"/>
      <c r="AB236" s="213"/>
      <c r="AC236" s="213"/>
      <c r="AD236" s="213"/>
      <c r="AE236" s="213"/>
      <c r="AF236" s="213"/>
      <c r="AG236" s="213"/>
    </row>
    <row r="237" spans="1:33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  <c r="AA237" s="213"/>
      <c r="AB237" s="213"/>
      <c r="AC237" s="213"/>
      <c r="AD237" s="213"/>
      <c r="AE237" s="213"/>
      <c r="AF237" s="213"/>
      <c r="AG237" s="213"/>
    </row>
    <row r="238" spans="1:33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  <c r="AA238" s="213"/>
      <c r="AB238" s="213"/>
      <c r="AC238" s="213"/>
      <c r="AD238" s="213"/>
      <c r="AE238" s="213"/>
      <c r="AF238" s="213"/>
      <c r="AG238" s="213"/>
    </row>
    <row r="239" spans="1:33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  <c r="AA239" s="213"/>
      <c r="AB239" s="213"/>
      <c r="AC239" s="213"/>
      <c r="AD239" s="213"/>
      <c r="AE239" s="213"/>
      <c r="AF239" s="213"/>
      <c r="AG239" s="213"/>
    </row>
    <row r="240" spans="1:33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  <c r="AA240" s="213"/>
      <c r="AB240" s="213"/>
      <c r="AC240" s="213"/>
      <c r="AD240" s="213"/>
      <c r="AE240" s="213"/>
      <c r="AF240" s="213"/>
      <c r="AG240" s="213"/>
    </row>
    <row r="241" spans="1:33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  <c r="AA241" s="213"/>
      <c r="AB241" s="213"/>
      <c r="AC241" s="213"/>
      <c r="AD241" s="213"/>
      <c r="AE241" s="213"/>
      <c r="AF241" s="213"/>
      <c r="AG241" s="213"/>
    </row>
    <row r="242" spans="1:33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  <c r="AA242" s="213"/>
      <c r="AB242" s="213"/>
      <c r="AC242" s="213"/>
      <c r="AD242" s="213"/>
      <c r="AE242" s="213"/>
      <c r="AF242" s="213"/>
      <c r="AG242" s="213"/>
    </row>
    <row r="243" spans="1:33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  <c r="AA243" s="213"/>
      <c r="AB243" s="213"/>
      <c r="AC243" s="213"/>
      <c r="AD243" s="213"/>
      <c r="AE243" s="213"/>
      <c r="AF243" s="213"/>
      <c r="AG243" s="213"/>
    </row>
    <row r="244" spans="1:33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  <c r="AA244" s="213"/>
      <c r="AB244" s="213"/>
      <c r="AC244" s="213"/>
      <c r="AD244" s="213"/>
      <c r="AE244" s="213"/>
      <c r="AF244" s="213"/>
      <c r="AG244" s="213"/>
    </row>
    <row r="245" spans="1:33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  <c r="AA245" s="213"/>
      <c r="AB245" s="213"/>
      <c r="AC245" s="213"/>
      <c r="AD245" s="213"/>
      <c r="AE245" s="213"/>
      <c r="AF245" s="213"/>
      <c r="AG245" s="213"/>
    </row>
    <row r="246" spans="1:33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  <c r="AA246" s="213"/>
      <c r="AB246" s="213"/>
      <c r="AC246" s="213"/>
      <c r="AD246" s="213"/>
      <c r="AE246" s="213"/>
      <c r="AF246" s="213"/>
      <c r="AG246" s="213"/>
    </row>
    <row r="247" spans="1:33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  <c r="AA247" s="213"/>
      <c r="AB247" s="213"/>
      <c r="AC247" s="213"/>
      <c r="AD247" s="213"/>
      <c r="AE247" s="213"/>
      <c r="AF247" s="213"/>
      <c r="AG247" s="213"/>
    </row>
    <row r="248" spans="1:33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  <c r="AA248" s="213"/>
      <c r="AB248" s="213"/>
      <c r="AC248" s="213"/>
      <c r="AD248" s="213"/>
      <c r="AE248" s="213"/>
      <c r="AF248" s="213"/>
      <c r="AG248" s="213"/>
    </row>
    <row r="249" spans="1:33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3"/>
      <c r="AB249" s="213"/>
      <c r="AC249" s="213"/>
      <c r="AD249" s="213"/>
      <c r="AE249" s="213"/>
      <c r="AF249" s="213"/>
      <c r="AG249" s="213"/>
    </row>
    <row r="250" spans="1:33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3"/>
      <c r="AC250" s="213"/>
      <c r="AD250" s="213"/>
      <c r="AE250" s="213"/>
      <c r="AF250" s="213"/>
      <c r="AG250" s="213"/>
    </row>
    <row r="251" spans="1:33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3"/>
      <c r="AC251" s="213"/>
      <c r="AD251" s="213"/>
      <c r="AE251" s="213"/>
      <c r="AF251" s="213"/>
      <c r="AG251" s="213"/>
    </row>
    <row r="252" spans="1:33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3"/>
      <c r="AC252" s="213"/>
      <c r="AD252" s="213"/>
      <c r="AE252" s="213"/>
      <c r="AF252" s="213"/>
      <c r="AG252" s="213"/>
    </row>
    <row r="253" spans="1:33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3"/>
      <c r="AC253" s="213"/>
      <c r="AD253" s="213"/>
      <c r="AE253" s="213"/>
      <c r="AF253" s="213"/>
      <c r="AG253" s="213"/>
    </row>
    <row r="254" spans="1:33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3"/>
      <c r="AC254" s="213"/>
      <c r="AD254" s="213"/>
      <c r="AE254" s="213"/>
      <c r="AF254" s="213"/>
      <c r="AG254" s="213"/>
    </row>
    <row r="255" spans="1:33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3"/>
      <c r="AC255" s="213"/>
      <c r="AD255" s="213"/>
      <c r="AE255" s="213"/>
      <c r="AF255" s="213"/>
      <c r="AG255" s="213"/>
    </row>
    <row r="256" spans="1:33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3"/>
      <c r="AC256" s="213"/>
      <c r="AD256" s="213"/>
      <c r="AE256" s="213"/>
      <c r="AF256" s="213"/>
      <c r="AG256" s="213"/>
    </row>
    <row r="257" spans="1:33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3"/>
      <c r="AC257" s="213"/>
      <c r="AD257" s="213"/>
      <c r="AE257" s="213"/>
      <c r="AF257" s="213"/>
      <c r="AG257" s="213"/>
    </row>
    <row r="258" spans="1:33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3"/>
      <c r="AC258" s="213"/>
      <c r="AD258" s="213"/>
      <c r="AE258" s="213"/>
      <c r="AF258" s="213"/>
      <c r="AG258" s="213"/>
    </row>
    <row r="259" spans="1:33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3"/>
      <c r="AC259" s="213"/>
      <c r="AD259" s="213"/>
      <c r="AE259" s="213"/>
      <c r="AF259" s="213"/>
      <c r="AG259" s="213"/>
    </row>
    <row r="260" spans="1:33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3"/>
      <c r="AC260" s="213"/>
      <c r="AD260" s="213"/>
      <c r="AE260" s="213"/>
      <c r="AF260" s="213"/>
      <c r="AG260" s="213"/>
    </row>
    <row r="261" spans="1:33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3"/>
      <c r="AC261" s="213"/>
      <c r="AD261" s="213"/>
      <c r="AE261" s="213"/>
      <c r="AF261" s="213"/>
      <c r="AG261" s="213"/>
    </row>
    <row r="262" spans="1:33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3"/>
      <c r="AC262" s="213"/>
      <c r="AD262" s="213"/>
      <c r="AE262" s="213"/>
      <c r="AF262" s="213"/>
      <c r="AG262" s="213"/>
    </row>
    <row r="263" spans="1:33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3"/>
      <c r="AC263" s="213"/>
      <c r="AD263" s="213"/>
      <c r="AE263" s="213"/>
      <c r="AF263" s="213"/>
      <c r="AG263" s="213"/>
    </row>
    <row r="264" spans="1:33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3"/>
      <c r="AD264" s="213"/>
      <c r="AE264" s="213"/>
      <c r="AF264" s="213"/>
      <c r="AG264" s="213"/>
    </row>
    <row r="265" spans="1:33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  <c r="AA265" s="213"/>
      <c r="AB265" s="213"/>
      <c r="AC265" s="213"/>
      <c r="AD265" s="213"/>
      <c r="AE265" s="213"/>
      <c r="AF265" s="213"/>
      <c r="AG265" s="213"/>
    </row>
    <row r="266" spans="1:33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  <c r="AA266" s="213"/>
      <c r="AB266" s="213"/>
      <c r="AC266" s="213"/>
      <c r="AD266" s="213"/>
      <c r="AE266" s="213"/>
      <c r="AF266" s="213"/>
      <c r="AG266" s="213"/>
    </row>
    <row r="267" spans="1:33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  <c r="AA267" s="213"/>
      <c r="AB267" s="213"/>
      <c r="AC267" s="213"/>
      <c r="AD267" s="213"/>
      <c r="AE267" s="213"/>
      <c r="AF267" s="213"/>
      <c r="AG267" s="213"/>
    </row>
    <row r="268" spans="1:33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  <c r="AA268" s="213"/>
      <c r="AB268" s="213"/>
      <c r="AC268" s="213"/>
      <c r="AD268" s="213"/>
      <c r="AE268" s="213"/>
      <c r="AF268" s="213"/>
      <c r="AG268" s="213"/>
    </row>
    <row r="269" spans="1:33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  <c r="AA269" s="213"/>
      <c r="AB269" s="213"/>
      <c r="AC269" s="213"/>
      <c r="AD269" s="213"/>
      <c r="AE269" s="213"/>
      <c r="AF269" s="213"/>
      <c r="AG269" s="213"/>
    </row>
    <row r="270" spans="1:33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  <c r="AA270" s="213"/>
      <c r="AB270" s="213"/>
      <c r="AC270" s="213"/>
      <c r="AD270" s="213"/>
      <c r="AE270" s="213"/>
      <c r="AF270" s="213"/>
      <c r="AG270" s="213"/>
    </row>
    <row r="271" spans="1:33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  <c r="AA271" s="213"/>
      <c r="AB271" s="213"/>
      <c r="AC271" s="213"/>
      <c r="AD271" s="213"/>
      <c r="AE271" s="213"/>
      <c r="AF271" s="213"/>
      <c r="AG271" s="213"/>
    </row>
    <row r="272" spans="1:33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  <c r="AA272" s="213"/>
      <c r="AB272" s="213"/>
      <c r="AC272" s="213"/>
      <c r="AD272" s="213"/>
      <c r="AE272" s="213"/>
      <c r="AF272" s="213"/>
      <c r="AG272" s="213"/>
    </row>
    <row r="273" spans="1:33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  <c r="AA273" s="213"/>
      <c r="AB273" s="213"/>
      <c r="AC273" s="213"/>
      <c r="AD273" s="213"/>
      <c r="AE273" s="213"/>
      <c r="AF273" s="213"/>
      <c r="AG273" s="213"/>
    </row>
    <row r="274" spans="1:33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  <c r="AA274" s="213"/>
      <c r="AB274" s="213"/>
      <c r="AC274" s="213"/>
      <c r="AD274" s="213"/>
      <c r="AE274" s="213"/>
      <c r="AF274" s="213"/>
      <c r="AG274" s="213"/>
    </row>
    <row r="275" spans="1:33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  <c r="AA275" s="213"/>
      <c r="AB275" s="213"/>
      <c r="AC275" s="213"/>
      <c r="AD275" s="213"/>
      <c r="AE275" s="213"/>
      <c r="AF275" s="213"/>
      <c r="AG275" s="213"/>
    </row>
    <row r="276" spans="1:33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  <c r="AA276" s="213"/>
      <c r="AB276" s="213"/>
      <c r="AC276" s="213"/>
      <c r="AD276" s="213"/>
      <c r="AE276" s="213"/>
      <c r="AF276" s="213"/>
      <c r="AG276" s="213"/>
    </row>
    <row r="277" spans="1:33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  <c r="AA277" s="213"/>
      <c r="AB277" s="213"/>
      <c r="AC277" s="213"/>
      <c r="AD277" s="213"/>
      <c r="AE277" s="213"/>
      <c r="AF277" s="213"/>
      <c r="AG277" s="213"/>
    </row>
    <row r="278" spans="1:33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  <c r="AA278" s="213"/>
      <c r="AB278" s="213"/>
      <c r="AC278" s="213"/>
      <c r="AD278" s="213"/>
      <c r="AE278" s="213"/>
      <c r="AF278" s="213"/>
      <c r="AG278" s="213"/>
    </row>
    <row r="279" spans="1:33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  <c r="AA279" s="213"/>
      <c r="AB279" s="213"/>
      <c r="AC279" s="213"/>
      <c r="AD279" s="213"/>
      <c r="AE279" s="213"/>
      <c r="AF279" s="213"/>
      <c r="AG279" s="213"/>
    </row>
    <row r="280" spans="1:33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  <c r="AA280" s="213"/>
      <c r="AB280" s="213"/>
      <c r="AC280" s="213"/>
      <c r="AD280" s="213"/>
      <c r="AE280" s="213"/>
      <c r="AF280" s="213"/>
      <c r="AG280" s="213"/>
    </row>
    <row r="281" spans="1:33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  <c r="AA281" s="213"/>
      <c r="AB281" s="213"/>
      <c r="AC281" s="213"/>
      <c r="AD281" s="213"/>
      <c r="AE281" s="213"/>
      <c r="AF281" s="213"/>
      <c r="AG281" s="213"/>
    </row>
    <row r="282" spans="1:33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  <c r="AA282" s="213"/>
      <c r="AB282" s="213"/>
      <c r="AC282" s="213"/>
      <c r="AD282" s="213"/>
      <c r="AE282" s="213"/>
      <c r="AF282" s="213"/>
      <c r="AG282" s="213"/>
    </row>
    <row r="283" spans="1:33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  <c r="AA283" s="213"/>
      <c r="AB283" s="213"/>
      <c r="AC283" s="213"/>
      <c r="AD283" s="213"/>
      <c r="AE283" s="213"/>
      <c r="AF283" s="213"/>
      <c r="AG283" s="213"/>
    </row>
    <row r="284" spans="1:33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  <c r="AA284" s="213"/>
      <c r="AB284" s="213"/>
      <c r="AC284" s="213"/>
      <c r="AD284" s="213"/>
      <c r="AE284" s="213"/>
      <c r="AF284" s="213"/>
      <c r="AG284" s="213"/>
    </row>
    <row r="285" spans="1:33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  <c r="AA285" s="213"/>
      <c r="AB285" s="213"/>
      <c r="AC285" s="213"/>
      <c r="AD285" s="213"/>
      <c r="AE285" s="213"/>
      <c r="AF285" s="213"/>
      <c r="AG285" s="213"/>
    </row>
    <row r="286" spans="1:33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  <c r="AA286" s="213"/>
      <c r="AB286" s="213"/>
      <c r="AC286" s="213"/>
      <c r="AD286" s="213"/>
      <c r="AE286" s="213"/>
      <c r="AF286" s="213"/>
      <c r="AG286" s="213"/>
    </row>
    <row r="287" spans="1:33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  <c r="AA287" s="213"/>
      <c r="AB287" s="213"/>
      <c r="AC287" s="213"/>
      <c r="AD287" s="213"/>
      <c r="AE287" s="213"/>
      <c r="AF287" s="213"/>
      <c r="AG287" s="213"/>
    </row>
    <row r="288" spans="1:33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  <c r="AA288" s="213"/>
      <c r="AB288" s="213"/>
      <c r="AC288" s="213"/>
      <c r="AD288" s="213"/>
      <c r="AE288" s="213"/>
      <c r="AF288" s="213"/>
      <c r="AG288" s="213"/>
    </row>
    <row r="289" spans="1:33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  <c r="AA289" s="213"/>
      <c r="AB289" s="213"/>
      <c r="AC289" s="213"/>
      <c r="AD289" s="213"/>
      <c r="AE289" s="213"/>
      <c r="AF289" s="213"/>
      <c r="AG289" s="213"/>
    </row>
    <row r="290" spans="1:33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3"/>
      <c r="AB290" s="213"/>
      <c r="AC290" s="213"/>
      <c r="AD290" s="213"/>
      <c r="AE290" s="213"/>
      <c r="AF290" s="213"/>
      <c r="AG290" s="213"/>
    </row>
    <row r="291" spans="1:33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3"/>
      <c r="AC291" s="213"/>
      <c r="AD291" s="213"/>
      <c r="AE291" s="213"/>
      <c r="AF291" s="213"/>
      <c r="AG291" s="213"/>
    </row>
    <row r="292" spans="1:33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3"/>
      <c r="AC292" s="213"/>
      <c r="AD292" s="213"/>
      <c r="AE292" s="213"/>
      <c r="AF292" s="213"/>
      <c r="AG292" s="213"/>
    </row>
    <row r="293" spans="1:33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3"/>
      <c r="AC293" s="213"/>
      <c r="AD293" s="213"/>
      <c r="AE293" s="213"/>
      <c r="AF293" s="213"/>
      <c r="AG293" s="213"/>
    </row>
    <row r="294" spans="1:33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3"/>
      <c r="AC294" s="213"/>
      <c r="AD294" s="213"/>
      <c r="AE294" s="213"/>
      <c r="AF294" s="213"/>
      <c r="AG294" s="213"/>
    </row>
    <row r="295" spans="1:33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3"/>
      <c r="AC295" s="213"/>
      <c r="AD295" s="213"/>
      <c r="AE295" s="213"/>
      <c r="AF295" s="213"/>
      <c r="AG295" s="213"/>
    </row>
    <row r="296" spans="1:33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3"/>
      <c r="AC296" s="213"/>
      <c r="AD296" s="213"/>
      <c r="AE296" s="213"/>
      <c r="AF296" s="213"/>
      <c r="AG296" s="213"/>
    </row>
    <row r="297" spans="1:33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3"/>
      <c r="AC297" s="213"/>
      <c r="AD297" s="213"/>
      <c r="AE297" s="213"/>
      <c r="AF297" s="213"/>
      <c r="AG297" s="213"/>
    </row>
    <row r="298" spans="1:33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3"/>
      <c r="AC298" s="213"/>
      <c r="AD298" s="213"/>
      <c r="AE298" s="213"/>
      <c r="AF298" s="213"/>
      <c r="AG298" s="213"/>
    </row>
    <row r="299" spans="1:33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3"/>
      <c r="AC299" s="213"/>
      <c r="AD299" s="213"/>
      <c r="AE299" s="213"/>
      <c r="AF299" s="213"/>
      <c r="AG299" s="213"/>
    </row>
    <row r="300" spans="1:33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3"/>
      <c r="AC300" s="213"/>
      <c r="AD300" s="213"/>
      <c r="AE300" s="213"/>
      <c r="AF300" s="213"/>
      <c r="AG300" s="213"/>
    </row>
    <row r="301" spans="1:33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3"/>
      <c r="AC301" s="213"/>
      <c r="AD301" s="213"/>
      <c r="AE301" s="213"/>
      <c r="AF301" s="213"/>
      <c r="AG301" s="213"/>
    </row>
    <row r="302" spans="1:33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3"/>
      <c r="AC302" s="213"/>
      <c r="AD302" s="213"/>
      <c r="AE302" s="213"/>
      <c r="AF302" s="213"/>
      <c r="AG302" s="213"/>
    </row>
    <row r="303" spans="1:33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3"/>
      <c r="AC303" s="213"/>
      <c r="AD303" s="213"/>
      <c r="AE303" s="213"/>
      <c r="AF303" s="213"/>
      <c r="AG303" s="213"/>
    </row>
    <row r="304" spans="1:33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3"/>
      <c r="AC304" s="213"/>
      <c r="AD304" s="213"/>
      <c r="AE304" s="213"/>
      <c r="AF304" s="213"/>
      <c r="AG304" s="213"/>
    </row>
    <row r="305" spans="1:33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3"/>
      <c r="AD305" s="213"/>
      <c r="AE305" s="213"/>
      <c r="AF305" s="213"/>
      <c r="AG305" s="213"/>
    </row>
    <row r="306" spans="1:33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  <c r="AA306" s="213"/>
      <c r="AB306" s="213"/>
      <c r="AC306" s="213"/>
      <c r="AD306" s="213"/>
      <c r="AE306" s="213"/>
      <c r="AF306" s="213"/>
      <c r="AG306" s="213"/>
    </row>
    <row r="307" spans="1:33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  <c r="AA307" s="213"/>
      <c r="AB307" s="213"/>
      <c r="AC307" s="213"/>
      <c r="AD307" s="213"/>
      <c r="AE307" s="213"/>
      <c r="AF307" s="213"/>
      <c r="AG307" s="213"/>
    </row>
    <row r="308" spans="1:33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  <c r="AA308" s="213"/>
      <c r="AB308" s="213"/>
      <c r="AC308" s="213"/>
      <c r="AD308" s="213"/>
      <c r="AE308" s="213"/>
      <c r="AF308" s="213"/>
      <c r="AG308" s="213"/>
    </row>
    <row r="309" spans="1:33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  <c r="AA309" s="213"/>
      <c r="AB309" s="213"/>
      <c r="AC309" s="213"/>
      <c r="AD309" s="213"/>
      <c r="AE309" s="213"/>
      <c r="AF309" s="213"/>
      <c r="AG309" s="213"/>
    </row>
    <row r="310" spans="1:33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  <c r="AA310" s="213"/>
      <c r="AB310" s="213"/>
      <c r="AC310" s="213"/>
      <c r="AD310" s="213"/>
      <c r="AE310" s="213"/>
      <c r="AF310" s="213"/>
      <c r="AG310" s="213"/>
    </row>
    <row r="311" spans="1:33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  <c r="AA311" s="213"/>
      <c r="AB311" s="213"/>
      <c r="AC311" s="213"/>
      <c r="AD311" s="213"/>
      <c r="AE311" s="213"/>
      <c r="AF311" s="213"/>
      <c r="AG311" s="213"/>
    </row>
    <row r="312" spans="1:33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  <c r="AA312" s="213"/>
      <c r="AB312" s="213"/>
      <c r="AC312" s="213"/>
      <c r="AD312" s="213"/>
      <c r="AE312" s="213"/>
      <c r="AF312" s="213"/>
      <c r="AG312" s="213"/>
    </row>
    <row r="313" spans="1:33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  <c r="AA313" s="213"/>
      <c r="AB313" s="213"/>
      <c r="AC313" s="213"/>
      <c r="AD313" s="213"/>
      <c r="AE313" s="213"/>
      <c r="AF313" s="213"/>
      <c r="AG313" s="213"/>
    </row>
    <row r="314" spans="1:33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  <c r="AA314" s="213"/>
      <c r="AB314" s="213"/>
      <c r="AC314" s="213"/>
      <c r="AD314" s="213"/>
      <c r="AE314" s="213"/>
      <c r="AF314" s="213"/>
      <c r="AG314" s="213"/>
    </row>
    <row r="315" spans="1:33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  <c r="AA315" s="213"/>
      <c r="AB315" s="213"/>
      <c r="AC315" s="213"/>
      <c r="AD315" s="213"/>
      <c r="AE315" s="213"/>
      <c r="AF315" s="213"/>
      <c r="AG315" s="213"/>
    </row>
    <row r="316" spans="1:33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  <c r="AA316" s="213"/>
      <c r="AB316" s="213"/>
      <c r="AC316" s="213"/>
      <c r="AD316" s="213"/>
      <c r="AE316" s="213"/>
      <c r="AF316" s="213"/>
      <c r="AG316" s="213"/>
    </row>
    <row r="317" spans="1:33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  <c r="AA317" s="213"/>
      <c r="AB317" s="213"/>
      <c r="AC317" s="213"/>
      <c r="AD317" s="213"/>
      <c r="AE317" s="213"/>
      <c r="AF317" s="213"/>
      <c r="AG317" s="213"/>
    </row>
    <row r="318" spans="1:33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  <c r="AA318" s="213"/>
      <c r="AB318" s="213"/>
      <c r="AC318" s="213"/>
      <c r="AD318" s="213"/>
      <c r="AE318" s="213"/>
      <c r="AF318" s="213"/>
      <c r="AG318" s="213"/>
    </row>
    <row r="319" spans="1:33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  <c r="AA319" s="213"/>
      <c r="AB319" s="213"/>
      <c r="AC319" s="213"/>
      <c r="AD319" s="213"/>
      <c r="AE319" s="213"/>
      <c r="AF319" s="213"/>
      <c r="AG319" s="213"/>
    </row>
    <row r="320" spans="1:33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  <c r="AA320" s="213"/>
      <c r="AB320" s="213"/>
      <c r="AC320" s="213"/>
      <c r="AD320" s="213"/>
      <c r="AE320" s="213"/>
      <c r="AF320" s="213"/>
      <c r="AG320" s="213"/>
    </row>
    <row r="321" spans="1:33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  <c r="AA321" s="213"/>
      <c r="AB321" s="213"/>
      <c r="AC321" s="213"/>
      <c r="AD321" s="213"/>
      <c r="AE321" s="213"/>
      <c r="AF321" s="213"/>
      <c r="AG321" s="213"/>
    </row>
    <row r="322" spans="1:33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  <c r="AA322" s="213"/>
      <c r="AB322" s="213"/>
      <c r="AC322" s="213"/>
      <c r="AD322" s="213"/>
      <c r="AE322" s="213"/>
      <c r="AF322" s="213"/>
      <c r="AG322" s="213"/>
    </row>
    <row r="323" spans="1:33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  <c r="AA323" s="213"/>
      <c r="AB323" s="213"/>
      <c r="AC323" s="213"/>
      <c r="AD323" s="213"/>
      <c r="AE323" s="213"/>
      <c r="AF323" s="213"/>
      <c r="AG323" s="213"/>
    </row>
    <row r="324" spans="1:33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  <c r="AA324" s="213"/>
      <c r="AB324" s="213"/>
      <c r="AC324" s="213"/>
      <c r="AD324" s="213"/>
      <c r="AE324" s="213"/>
      <c r="AF324" s="213"/>
      <c r="AG324" s="213"/>
    </row>
    <row r="325" spans="1:33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  <c r="AA325" s="213"/>
      <c r="AB325" s="213"/>
      <c r="AC325" s="213"/>
      <c r="AD325" s="213"/>
      <c r="AE325" s="213"/>
      <c r="AF325" s="213"/>
      <c r="AG325" s="213"/>
    </row>
    <row r="326" spans="1:33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  <c r="AA326" s="213"/>
      <c r="AB326" s="213"/>
      <c r="AC326" s="213"/>
      <c r="AD326" s="213"/>
      <c r="AE326" s="213"/>
      <c r="AF326" s="213"/>
      <c r="AG326" s="213"/>
    </row>
    <row r="327" spans="1:33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  <c r="AA327" s="213"/>
      <c r="AB327" s="213"/>
      <c r="AC327" s="213"/>
      <c r="AD327" s="213"/>
      <c r="AE327" s="213"/>
      <c r="AF327" s="213"/>
      <c r="AG327" s="213"/>
    </row>
    <row r="328" spans="1:33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  <c r="AA328" s="213"/>
      <c r="AB328" s="213"/>
      <c r="AC328" s="213"/>
      <c r="AD328" s="213"/>
      <c r="AE328" s="213"/>
      <c r="AF328" s="213"/>
      <c r="AG328" s="213"/>
    </row>
    <row r="329" spans="1:33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  <c r="AA329" s="213"/>
      <c r="AB329" s="213"/>
      <c r="AC329" s="213"/>
      <c r="AD329" s="213"/>
      <c r="AE329" s="213"/>
      <c r="AF329" s="213"/>
      <c r="AG329" s="213"/>
    </row>
    <row r="330" spans="1:33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3"/>
      <c r="AB330" s="213"/>
      <c r="AC330" s="213"/>
      <c r="AD330" s="213"/>
      <c r="AE330" s="213"/>
      <c r="AF330" s="213"/>
      <c r="AG330" s="213"/>
    </row>
    <row r="331" spans="1:33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3"/>
      <c r="AC331" s="213"/>
      <c r="AD331" s="213"/>
      <c r="AE331" s="213"/>
      <c r="AF331" s="213"/>
      <c r="AG331" s="213"/>
    </row>
    <row r="332" spans="1:33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3"/>
      <c r="AC332" s="213"/>
      <c r="AD332" s="213"/>
      <c r="AE332" s="213"/>
      <c r="AF332" s="213"/>
      <c r="AG332" s="213"/>
    </row>
    <row r="333" spans="1:33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3"/>
      <c r="AC333" s="213"/>
      <c r="AD333" s="213"/>
      <c r="AE333" s="213"/>
      <c r="AF333" s="213"/>
      <c r="AG333" s="213"/>
    </row>
    <row r="334" spans="1:33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3"/>
      <c r="AC334" s="213"/>
      <c r="AD334" s="213"/>
      <c r="AE334" s="213"/>
      <c r="AF334" s="213"/>
      <c r="AG334" s="213"/>
    </row>
    <row r="335" spans="1:33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3"/>
      <c r="AC335" s="213"/>
      <c r="AD335" s="213"/>
      <c r="AE335" s="213"/>
      <c r="AF335" s="213"/>
      <c r="AG335" s="213"/>
    </row>
    <row r="336" spans="1:33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3"/>
      <c r="AC336" s="213"/>
      <c r="AD336" s="213"/>
      <c r="AE336" s="213"/>
      <c r="AF336" s="213"/>
      <c r="AG336" s="213"/>
    </row>
    <row r="337" spans="1:33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3"/>
      <c r="AC337" s="213"/>
      <c r="AD337" s="213"/>
      <c r="AE337" s="213"/>
      <c r="AF337" s="213"/>
      <c r="AG337" s="213"/>
    </row>
    <row r="338" spans="1:33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3"/>
      <c r="AC338" s="213"/>
      <c r="AD338" s="213"/>
      <c r="AE338" s="213"/>
      <c r="AF338" s="213"/>
      <c r="AG338" s="213"/>
    </row>
    <row r="339" spans="1:33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3"/>
      <c r="AC339" s="213"/>
      <c r="AD339" s="213"/>
      <c r="AE339" s="213"/>
      <c r="AF339" s="213"/>
      <c r="AG339" s="213"/>
    </row>
    <row r="340" spans="1:33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3"/>
      <c r="AC340" s="213"/>
      <c r="AD340" s="213"/>
      <c r="AE340" s="213"/>
      <c r="AF340" s="213"/>
      <c r="AG340" s="213"/>
    </row>
    <row r="341" spans="1:33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3"/>
      <c r="AC341" s="213"/>
      <c r="AD341" s="213"/>
      <c r="AE341" s="213"/>
      <c r="AF341" s="213"/>
      <c r="AG341" s="213"/>
    </row>
    <row r="342" spans="1:33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3"/>
      <c r="AC342" s="213"/>
      <c r="AD342" s="213"/>
      <c r="AE342" s="213"/>
      <c r="AF342" s="213"/>
      <c r="AG342" s="213"/>
    </row>
    <row r="343" spans="1:33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3"/>
      <c r="AC343" s="213"/>
      <c r="AD343" s="213"/>
      <c r="AE343" s="213"/>
      <c r="AF343" s="213"/>
      <c r="AG343" s="213"/>
    </row>
    <row r="344" spans="1:33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3"/>
      <c r="AC344" s="213"/>
      <c r="AD344" s="213"/>
      <c r="AE344" s="213"/>
      <c r="AF344" s="213"/>
      <c r="AG344" s="213"/>
    </row>
    <row r="345" spans="1:33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  <c r="AA345" s="213"/>
      <c r="AB345" s="213"/>
      <c r="AC345" s="213"/>
      <c r="AD345" s="213"/>
      <c r="AE345" s="213"/>
      <c r="AF345" s="213"/>
      <c r="AG345" s="213"/>
    </row>
    <row r="346" spans="1:33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  <c r="AA346" s="213"/>
      <c r="AB346" s="213"/>
      <c r="AC346" s="213"/>
      <c r="AD346" s="213"/>
      <c r="AE346" s="213"/>
      <c r="AF346" s="213"/>
      <c r="AG346" s="213"/>
    </row>
    <row r="347" spans="1:33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  <c r="AA347" s="213"/>
      <c r="AB347" s="213"/>
      <c r="AC347" s="213"/>
      <c r="AD347" s="213"/>
      <c r="AE347" s="213"/>
      <c r="AF347" s="213"/>
      <c r="AG347" s="213"/>
    </row>
    <row r="348" spans="1:33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  <c r="AA348" s="213"/>
      <c r="AB348" s="213"/>
      <c r="AC348" s="213"/>
      <c r="AD348" s="213"/>
      <c r="AE348" s="213"/>
      <c r="AF348" s="213"/>
      <c r="AG348" s="213"/>
    </row>
    <row r="349" spans="1:33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  <c r="AA349" s="213"/>
      <c r="AB349" s="213"/>
      <c r="AC349" s="213"/>
      <c r="AD349" s="213"/>
      <c r="AE349" s="213"/>
      <c r="AF349" s="213"/>
      <c r="AG349" s="213"/>
    </row>
    <row r="350" spans="1:33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  <c r="AA350" s="213"/>
      <c r="AB350" s="213"/>
      <c r="AC350" s="213"/>
      <c r="AD350" s="213"/>
      <c r="AE350" s="213"/>
      <c r="AF350" s="213"/>
      <c r="AG350" s="213"/>
    </row>
    <row r="351" spans="1:33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  <c r="AA351" s="213"/>
      <c r="AB351" s="213"/>
      <c r="AC351" s="213"/>
      <c r="AD351" s="213"/>
      <c r="AE351" s="213"/>
      <c r="AF351" s="213"/>
      <c r="AG351" s="213"/>
    </row>
    <row r="352" spans="1:33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  <c r="AA352" s="213"/>
      <c r="AB352" s="213"/>
      <c r="AC352" s="213"/>
      <c r="AD352" s="213"/>
      <c r="AE352" s="213"/>
      <c r="AF352" s="213"/>
      <c r="AG352" s="213"/>
    </row>
    <row r="353" spans="1:33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  <c r="AA353" s="213"/>
      <c r="AB353" s="213"/>
      <c r="AC353" s="213"/>
      <c r="AD353" s="213"/>
      <c r="AE353" s="213"/>
      <c r="AF353" s="213"/>
      <c r="AG353" s="213"/>
    </row>
    <row r="354" spans="1:33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  <c r="AA354" s="213"/>
      <c r="AB354" s="213"/>
      <c r="AC354" s="213"/>
      <c r="AD354" s="213"/>
      <c r="AE354" s="213"/>
      <c r="AF354" s="213"/>
      <c r="AG354" s="213"/>
    </row>
    <row r="355" spans="1:33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  <c r="AA355" s="213"/>
      <c r="AB355" s="213"/>
      <c r="AC355" s="213"/>
      <c r="AD355" s="213"/>
      <c r="AE355" s="213"/>
      <c r="AF355" s="213"/>
      <c r="AG355" s="213"/>
    </row>
    <row r="356" spans="1:33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  <c r="AA356" s="213"/>
      <c r="AB356" s="213"/>
      <c r="AC356" s="213"/>
      <c r="AD356" s="213"/>
      <c r="AE356" s="213"/>
      <c r="AF356" s="213"/>
      <c r="AG356" s="213"/>
    </row>
    <row r="357" spans="1:33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  <c r="AA357" s="213"/>
      <c r="AB357" s="213"/>
      <c r="AC357" s="213"/>
      <c r="AD357" s="213"/>
      <c r="AE357" s="213"/>
      <c r="AF357" s="213"/>
      <c r="AG357" s="213"/>
    </row>
    <row r="358" spans="1:33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  <c r="AA358" s="213"/>
      <c r="AB358" s="213"/>
      <c r="AC358" s="213"/>
      <c r="AD358" s="213"/>
      <c r="AE358" s="213"/>
      <c r="AF358" s="213"/>
      <c r="AG358" s="213"/>
    </row>
    <row r="359" spans="1:33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  <c r="AA359" s="213"/>
      <c r="AB359" s="213"/>
      <c r="AC359" s="213"/>
      <c r="AD359" s="213"/>
      <c r="AE359" s="213"/>
      <c r="AF359" s="213"/>
      <c r="AG359" s="213"/>
    </row>
    <row r="360" spans="1:33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  <c r="AA360" s="213"/>
      <c r="AB360" s="213"/>
      <c r="AC360" s="213"/>
      <c r="AD360" s="213"/>
      <c r="AE360" s="213"/>
      <c r="AF360" s="213"/>
      <c r="AG360" s="213"/>
    </row>
    <row r="361" spans="1:33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  <c r="AA361" s="213"/>
      <c r="AB361" s="213"/>
      <c r="AC361" s="213"/>
      <c r="AD361" s="213"/>
      <c r="AE361" s="213"/>
      <c r="AF361" s="213"/>
      <c r="AG361" s="213"/>
    </row>
    <row r="362" spans="1:33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  <c r="AA362" s="213"/>
      <c r="AB362" s="213"/>
      <c r="AC362" s="213"/>
      <c r="AD362" s="213"/>
      <c r="AE362" s="213"/>
      <c r="AF362" s="213"/>
      <c r="AG362" s="213"/>
    </row>
    <row r="363" spans="1:33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  <c r="AA363" s="213"/>
      <c r="AB363" s="213"/>
      <c r="AC363" s="213"/>
      <c r="AD363" s="213"/>
      <c r="AE363" s="213"/>
      <c r="AF363" s="213"/>
      <c r="AG363" s="213"/>
    </row>
    <row r="364" spans="1:33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  <c r="AA364" s="213"/>
      <c r="AB364" s="213"/>
      <c r="AC364" s="213"/>
      <c r="AD364" s="213"/>
      <c r="AE364" s="213"/>
      <c r="AF364" s="213"/>
      <c r="AG364" s="213"/>
    </row>
    <row r="365" spans="1:33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  <c r="AA365" s="213"/>
      <c r="AB365" s="213"/>
      <c r="AC365" s="213"/>
      <c r="AD365" s="213"/>
      <c r="AE365" s="213"/>
      <c r="AF365" s="213"/>
      <c r="AG365" s="213"/>
    </row>
    <row r="366" spans="1:33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  <c r="AA366" s="213"/>
      <c r="AB366" s="213"/>
      <c r="AC366" s="213"/>
      <c r="AD366" s="213"/>
      <c r="AE366" s="213"/>
      <c r="AF366" s="213"/>
      <c r="AG366" s="213"/>
    </row>
    <row r="367" spans="1:33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  <c r="AA367" s="213"/>
      <c r="AB367" s="213"/>
      <c r="AC367" s="213"/>
      <c r="AD367" s="213"/>
      <c r="AE367" s="213"/>
      <c r="AF367" s="213"/>
      <c r="AG367" s="213"/>
    </row>
    <row r="368" spans="1:33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  <c r="AA368" s="213"/>
      <c r="AB368" s="213"/>
      <c r="AC368" s="213"/>
      <c r="AD368" s="213"/>
      <c r="AE368" s="213"/>
      <c r="AF368" s="213"/>
      <c r="AG368" s="213"/>
    </row>
    <row r="369" spans="1:33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  <c r="AA369" s="213"/>
      <c r="AB369" s="213"/>
      <c r="AC369" s="213"/>
      <c r="AD369" s="213"/>
      <c r="AE369" s="213"/>
      <c r="AF369" s="213"/>
      <c r="AG369" s="213"/>
    </row>
    <row r="370" spans="1:33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  <c r="AA370" s="213"/>
      <c r="AB370" s="213"/>
      <c r="AC370" s="213"/>
      <c r="AD370" s="213"/>
      <c r="AE370" s="213"/>
      <c r="AF370" s="213"/>
      <c r="AG370" s="213"/>
    </row>
    <row r="371" spans="1:33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  <c r="AA371" s="213"/>
      <c r="AB371" s="213"/>
      <c r="AC371" s="213"/>
      <c r="AD371" s="213"/>
      <c r="AE371" s="213"/>
      <c r="AF371" s="213"/>
      <c r="AG371" s="213"/>
    </row>
    <row r="372" spans="1:33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  <c r="AA372" s="213"/>
      <c r="AB372" s="213"/>
      <c r="AC372" s="213"/>
      <c r="AD372" s="213"/>
      <c r="AE372" s="213"/>
      <c r="AF372" s="213"/>
      <c r="AG372" s="213"/>
    </row>
    <row r="373" spans="1:33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  <c r="AA373" s="213"/>
      <c r="AB373" s="213"/>
      <c r="AC373" s="213"/>
      <c r="AD373" s="213"/>
      <c r="AE373" s="213"/>
      <c r="AF373" s="213"/>
      <c r="AG373" s="213"/>
    </row>
    <row r="374" spans="1:33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  <c r="AA374" s="213"/>
      <c r="AB374" s="213"/>
      <c r="AC374" s="213"/>
      <c r="AD374" s="213"/>
      <c r="AE374" s="213"/>
      <c r="AF374" s="213"/>
      <c r="AG374" s="213"/>
    </row>
    <row r="375" spans="1:33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  <c r="AA375" s="213"/>
      <c r="AB375" s="213"/>
      <c r="AC375" s="213"/>
      <c r="AD375" s="213"/>
      <c r="AE375" s="213"/>
      <c r="AF375" s="213"/>
      <c r="AG375" s="213"/>
    </row>
    <row r="376" spans="1:33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  <c r="AA376" s="213"/>
      <c r="AB376" s="213"/>
      <c r="AC376" s="213"/>
      <c r="AD376" s="213"/>
      <c r="AE376" s="213"/>
      <c r="AF376" s="213"/>
      <c r="AG376" s="213"/>
    </row>
    <row r="377" spans="1:33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  <c r="AA377" s="213"/>
      <c r="AB377" s="213"/>
      <c r="AC377" s="213"/>
      <c r="AD377" s="213"/>
      <c r="AE377" s="213"/>
      <c r="AF377" s="213"/>
      <c r="AG377" s="213"/>
    </row>
    <row r="378" spans="1:33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  <c r="AA378" s="213"/>
      <c r="AB378" s="213"/>
      <c r="AC378" s="213"/>
      <c r="AD378" s="213"/>
      <c r="AE378" s="213"/>
      <c r="AF378" s="213"/>
      <c r="AG378" s="213"/>
    </row>
    <row r="379" spans="1:33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  <c r="AA379" s="213"/>
      <c r="AB379" s="213"/>
      <c r="AC379" s="213"/>
      <c r="AD379" s="213"/>
      <c r="AE379" s="213"/>
      <c r="AF379" s="213"/>
      <c r="AG379" s="213"/>
    </row>
    <row r="380" spans="1:33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  <c r="AA380" s="213"/>
      <c r="AB380" s="213"/>
      <c r="AC380" s="213"/>
      <c r="AD380" s="213"/>
      <c r="AE380" s="213"/>
      <c r="AF380" s="213"/>
      <c r="AG380" s="213"/>
    </row>
    <row r="381" spans="1:33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  <c r="AA381" s="213"/>
      <c r="AB381" s="213"/>
      <c r="AC381" s="213"/>
      <c r="AD381" s="213"/>
      <c r="AE381" s="213"/>
      <c r="AF381" s="213"/>
      <c r="AG381" s="213"/>
    </row>
    <row r="382" spans="1:33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  <c r="AA382" s="213"/>
      <c r="AB382" s="213"/>
      <c r="AC382" s="213"/>
      <c r="AD382" s="213"/>
      <c r="AE382" s="213"/>
      <c r="AF382" s="213"/>
      <c r="AG382" s="213"/>
    </row>
    <row r="383" spans="1:33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  <c r="AA383" s="213"/>
      <c r="AB383" s="213"/>
      <c r="AC383" s="213"/>
      <c r="AD383" s="213"/>
      <c r="AE383" s="213"/>
      <c r="AF383" s="213"/>
      <c r="AG383" s="213"/>
    </row>
    <row r="384" spans="1:33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  <c r="AA384" s="213"/>
      <c r="AB384" s="213"/>
      <c r="AC384" s="213"/>
      <c r="AD384" s="213"/>
      <c r="AE384" s="213"/>
      <c r="AF384" s="213"/>
      <c r="AG384" s="213"/>
    </row>
    <row r="385" spans="1:33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  <c r="AA385" s="213"/>
      <c r="AB385" s="213"/>
      <c r="AC385" s="213"/>
      <c r="AD385" s="213"/>
      <c r="AE385" s="213"/>
      <c r="AF385" s="213"/>
      <c r="AG385" s="213"/>
    </row>
    <row r="386" spans="1:33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  <c r="AA386" s="213"/>
      <c r="AB386" s="213"/>
      <c r="AC386" s="213"/>
      <c r="AD386" s="213"/>
      <c r="AE386" s="213"/>
      <c r="AF386" s="213"/>
      <c r="AG386" s="213"/>
    </row>
    <row r="387" spans="1:33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  <c r="AA387" s="213"/>
      <c r="AB387" s="213"/>
      <c r="AC387" s="213"/>
      <c r="AD387" s="213"/>
      <c r="AE387" s="213"/>
      <c r="AF387" s="213"/>
      <c r="AG387" s="213"/>
    </row>
    <row r="388" spans="1:33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  <c r="AA388" s="213"/>
      <c r="AB388" s="213"/>
      <c r="AC388" s="213"/>
      <c r="AD388" s="213"/>
      <c r="AE388" s="213"/>
      <c r="AF388" s="213"/>
      <c r="AG388" s="213"/>
    </row>
    <row r="389" spans="1:33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  <c r="AA389" s="213"/>
      <c r="AB389" s="213"/>
      <c r="AC389" s="213"/>
      <c r="AD389" s="213"/>
      <c r="AE389" s="213"/>
      <c r="AF389" s="213"/>
      <c r="AG389" s="213"/>
    </row>
    <row r="390" spans="1:33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  <c r="AA390" s="213"/>
      <c r="AB390" s="213"/>
      <c r="AC390" s="213"/>
      <c r="AD390" s="213"/>
      <c r="AE390" s="213"/>
      <c r="AF390" s="213"/>
      <c r="AG390" s="213"/>
    </row>
    <row r="391" spans="1:33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  <c r="AA391" s="213"/>
      <c r="AB391" s="213"/>
      <c r="AC391" s="213"/>
      <c r="AD391" s="213"/>
      <c r="AE391" s="213"/>
      <c r="AF391" s="213"/>
      <c r="AG391" s="213"/>
    </row>
    <row r="392" spans="1:33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  <c r="AA392" s="213"/>
      <c r="AB392" s="213"/>
      <c r="AC392" s="213"/>
      <c r="AD392" s="213"/>
      <c r="AE392" s="213"/>
      <c r="AF392" s="213"/>
      <c r="AG392" s="213"/>
    </row>
    <row r="393" spans="1:33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  <c r="AA393" s="213"/>
      <c r="AB393" s="213"/>
      <c r="AC393" s="213"/>
      <c r="AD393" s="213"/>
      <c r="AE393" s="213"/>
      <c r="AF393" s="213"/>
      <c r="AG393" s="213"/>
    </row>
    <row r="394" spans="1:33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  <c r="AA394" s="213"/>
      <c r="AB394" s="213"/>
      <c r="AC394" s="213"/>
      <c r="AD394" s="213"/>
      <c r="AE394" s="213"/>
      <c r="AF394" s="213"/>
      <c r="AG394" s="213"/>
    </row>
    <row r="395" spans="1:33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  <c r="AA395" s="213"/>
      <c r="AB395" s="213"/>
      <c r="AC395" s="213"/>
      <c r="AD395" s="213"/>
      <c r="AE395" s="213"/>
      <c r="AF395" s="213"/>
      <c r="AG395" s="213"/>
    </row>
    <row r="396" spans="1:33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  <c r="AA396" s="213"/>
      <c r="AB396" s="213"/>
      <c r="AC396" s="213"/>
      <c r="AD396" s="213"/>
      <c r="AE396" s="213"/>
      <c r="AF396" s="213"/>
      <c r="AG396" s="213"/>
    </row>
    <row r="397" spans="1:33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  <c r="AA397" s="213"/>
      <c r="AB397" s="213"/>
      <c r="AC397" s="213"/>
      <c r="AD397" s="213"/>
      <c r="AE397" s="213"/>
      <c r="AF397" s="213"/>
      <c r="AG397" s="213"/>
    </row>
    <row r="398" spans="1:33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  <c r="AA398" s="213"/>
      <c r="AB398" s="213"/>
      <c r="AC398" s="213"/>
      <c r="AD398" s="213"/>
      <c r="AE398" s="213"/>
      <c r="AF398" s="213"/>
      <c r="AG398" s="213"/>
    </row>
    <row r="399" spans="1:33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3"/>
      <c r="AB399" s="213"/>
      <c r="AC399" s="213"/>
      <c r="AD399" s="213"/>
      <c r="AE399" s="213"/>
      <c r="AF399" s="213"/>
      <c r="AG399" s="213"/>
    </row>
    <row r="400" spans="1:33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3"/>
      <c r="AC400" s="213"/>
      <c r="AD400" s="213"/>
      <c r="AE400" s="213"/>
      <c r="AF400" s="213"/>
      <c r="AG400" s="213"/>
    </row>
    <row r="401" spans="1:33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3"/>
      <c r="AC401" s="213"/>
      <c r="AD401" s="213"/>
      <c r="AE401" s="213"/>
      <c r="AF401" s="213"/>
      <c r="AG401" s="213"/>
    </row>
    <row r="402" spans="1:33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3"/>
      <c r="AC402" s="213"/>
      <c r="AD402" s="213"/>
      <c r="AE402" s="213"/>
      <c r="AF402" s="213"/>
      <c r="AG402" s="213"/>
    </row>
    <row r="403" spans="1:33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3"/>
      <c r="AC403" s="213"/>
      <c r="AD403" s="213"/>
      <c r="AE403" s="213"/>
      <c r="AF403" s="213"/>
      <c r="AG403" s="213"/>
    </row>
    <row r="404" spans="1:33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3"/>
      <c r="AC404" s="213"/>
      <c r="AD404" s="213"/>
      <c r="AE404" s="213"/>
      <c r="AF404" s="213"/>
      <c r="AG404" s="213"/>
    </row>
    <row r="405" spans="1:33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3"/>
      <c r="AC405" s="213"/>
      <c r="AD405" s="213"/>
      <c r="AE405" s="213"/>
      <c r="AF405" s="213"/>
      <c r="AG405" s="213"/>
    </row>
    <row r="406" spans="1:33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3"/>
      <c r="AC406" s="213"/>
      <c r="AD406" s="213"/>
      <c r="AE406" s="213"/>
      <c r="AF406" s="213"/>
      <c r="AG406" s="213"/>
    </row>
    <row r="407" spans="1:33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3"/>
      <c r="AC407" s="213"/>
      <c r="AD407" s="213"/>
      <c r="AE407" s="213"/>
      <c r="AF407" s="213"/>
      <c r="AG407" s="213"/>
    </row>
    <row r="408" spans="1:33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3"/>
      <c r="AC408" s="213"/>
      <c r="AD408" s="213"/>
      <c r="AE408" s="213"/>
      <c r="AF408" s="213"/>
      <c r="AG408" s="213"/>
    </row>
    <row r="409" spans="1:33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3"/>
      <c r="AC409" s="213"/>
      <c r="AD409" s="213"/>
      <c r="AE409" s="213"/>
      <c r="AF409" s="213"/>
      <c r="AG409" s="213"/>
    </row>
    <row r="410" spans="1:33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3"/>
      <c r="AC410" s="213"/>
      <c r="AD410" s="213"/>
      <c r="AE410" s="213"/>
      <c r="AF410" s="213"/>
      <c r="AG410" s="213"/>
    </row>
    <row r="411" spans="1:33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3"/>
      <c r="AC411" s="213"/>
      <c r="AD411" s="213"/>
      <c r="AE411" s="213"/>
      <c r="AF411" s="213"/>
      <c r="AG411" s="213"/>
    </row>
    <row r="412" spans="1:33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3"/>
      <c r="AC412" s="213"/>
      <c r="AD412" s="213"/>
      <c r="AE412" s="213"/>
      <c r="AF412" s="213"/>
      <c r="AG412" s="213"/>
    </row>
    <row r="413" spans="1:33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3"/>
      <c r="AC413" s="213"/>
      <c r="AD413" s="213"/>
      <c r="AE413" s="213"/>
      <c r="AF413" s="213"/>
      <c r="AG413" s="213"/>
    </row>
    <row r="414" spans="1:33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  <c r="AC414" s="213"/>
      <c r="AD414" s="213"/>
      <c r="AE414" s="213"/>
      <c r="AF414" s="213"/>
      <c r="AG414" s="213"/>
    </row>
    <row r="415" spans="1:33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  <c r="AA415" s="213"/>
      <c r="AB415" s="213"/>
      <c r="AC415" s="213"/>
      <c r="AD415" s="213"/>
      <c r="AE415" s="213"/>
      <c r="AF415" s="213"/>
      <c r="AG415" s="213"/>
    </row>
    <row r="416" spans="1:33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  <c r="AA416" s="213"/>
      <c r="AB416" s="213"/>
      <c r="AC416" s="213"/>
      <c r="AD416" s="213"/>
      <c r="AE416" s="213"/>
      <c r="AF416" s="213"/>
      <c r="AG416" s="213"/>
    </row>
    <row r="417" spans="1:33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  <c r="AA417" s="213"/>
      <c r="AB417" s="213"/>
      <c r="AC417" s="213"/>
      <c r="AD417" s="213"/>
      <c r="AE417" s="213"/>
      <c r="AF417" s="213"/>
      <c r="AG417" s="213"/>
    </row>
    <row r="418" spans="1:33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  <c r="AA418" s="213"/>
      <c r="AB418" s="213"/>
      <c r="AC418" s="213"/>
      <c r="AD418" s="213"/>
      <c r="AE418" s="213"/>
      <c r="AF418" s="213"/>
      <c r="AG418" s="213"/>
    </row>
    <row r="419" spans="1:33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  <c r="AA419" s="213"/>
      <c r="AB419" s="213"/>
      <c r="AC419" s="213"/>
      <c r="AD419" s="213"/>
      <c r="AE419" s="213"/>
      <c r="AF419" s="213"/>
      <c r="AG419" s="213"/>
    </row>
    <row r="420" spans="1:33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  <c r="AA420" s="213"/>
      <c r="AB420" s="213"/>
      <c r="AC420" s="213"/>
      <c r="AD420" s="213"/>
      <c r="AE420" s="213"/>
      <c r="AF420" s="213"/>
      <c r="AG420" s="213"/>
    </row>
    <row r="421" spans="1:33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  <c r="AA421" s="213"/>
      <c r="AB421" s="213"/>
      <c r="AC421" s="213"/>
      <c r="AD421" s="213"/>
      <c r="AE421" s="213"/>
      <c r="AF421" s="213"/>
      <c r="AG421" s="213"/>
    </row>
    <row r="422" spans="1:33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  <c r="AA422" s="213"/>
      <c r="AB422" s="213"/>
      <c r="AC422" s="213"/>
      <c r="AD422" s="213"/>
      <c r="AE422" s="213"/>
      <c r="AF422" s="213"/>
      <c r="AG422" s="213"/>
    </row>
  </sheetData>
  <mergeCells count="3">
    <mergeCell ref="A1:Q4"/>
    <mergeCell ref="A5:E7"/>
    <mergeCell ref="G5:Q7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S570"/>
  <sheetViews>
    <sheetView showGridLines="0" zoomScale="60" zoomScaleNormal="60" zoomScaleSheetLayoutView="50" workbookViewId="0">
      <selection activeCell="O16" sqref="O16"/>
    </sheetView>
  </sheetViews>
  <sheetFormatPr defaultColWidth="9" defaultRowHeight="14.4"/>
  <cols>
    <col min="1" max="1" width="15" customWidth="1"/>
    <col min="2" max="2" width="16.6640625" customWidth="1"/>
    <col min="3" max="3" width="23" customWidth="1"/>
    <col min="4" max="4" width="31.5546875" customWidth="1"/>
    <col min="5" max="5" width="20.33203125" customWidth="1"/>
    <col min="6" max="6" width="17.44140625" customWidth="1"/>
    <col min="7" max="7" width="24" customWidth="1"/>
    <col min="8" max="8" width="19.6640625" style="114" customWidth="1"/>
    <col min="9" max="9" width="17.88671875" customWidth="1"/>
    <col min="10" max="10" width="13.5546875" customWidth="1"/>
    <col min="11" max="11" width="18.5546875" style="115" customWidth="1"/>
    <col min="12" max="12" width="16.88671875" style="115" customWidth="1"/>
    <col min="13" max="13" width="18.5546875" style="115" customWidth="1"/>
    <col min="14" max="14" width="16.6640625" style="115" customWidth="1"/>
    <col min="15" max="15" width="15" style="115" customWidth="1"/>
    <col min="16" max="16" width="38.5546875" customWidth="1"/>
    <col min="17" max="17" width="17.44140625" customWidth="1"/>
    <col min="18" max="18" width="11" customWidth="1"/>
    <col min="19" max="19" width="19.88671875" customWidth="1"/>
  </cols>
  <sheetData>
    <row r="1" spans="1:19" ht="25.8">
      <c r="A1" s="236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7"/>
      <c r="Q1" s="7"/>
      <c r="S1" s="141" t="s">
        <v>1</v>
      </c>
    </row>
    <row r="2" spans="1:19" ht="25.8">
      <c r="A2" s="142"/>
      <c r="B2" s="142"/>
      <c r="C2" s="142"/>
      <c r="D2" s="243" t="s">
        <v>2</v>
      </c>
      <c r="E2" s="244"/>
      <c r="F2" s="244"/>
      <c r="G2" s="244"/>
      <c r="H2" s="244"/>
      <c r="I2" s="245"/>
      <c r="J2" s="243" t="s">
        <v>3</v>
      </c>
      <c r="K2" s="244"/>
      <c r="L2" s="244"/>
      <c r="M2" s="244"/>
      <c r="N2" s="245"/>
      <c r="O2" s="176" t="s">
        <v>4</v>
      </c>
      <c r="S2" s="141" t="s">
        <v>5</v>
      </c>
    </row>
    <row r="3" spans="1:19" ht="25.8">
      <c r="A3" s="143"/>
      <c r="B3" s="143"/>
      <c r="C3" s="144"/>
      <c r="D3" s="246"/>
      <c r="E3" s="247"/>
      <c r="F3" s="247"/>
      <c r="G3" s="247"/>
      <c r="H3" s="247"/>
      <c r="I3" s="248"/>
      <c r="J3" s="249"/>
      <c r="K3" s="250"/>
      <c r="L3" s="250"/>
      <c r="M3" s="250"/>
      <c r="N3" s="251"/>
      <c r="O3" s="177"/>
      <c r="S3" s="141" t="s">
        <v>6</v>
      </c>
    </row>
    <row r="4" spans="1:19" ht="25.8">
      <c r="A4" s="237" t="s">
        <v>7</v>
      </c>
      <c r="B4" s="238"/>
      <c r="C4" s="239"/>
      <c r="D4" s="145" t="s">
        <v>8</v>
      </c>
      <c r="E4" s="145" t="s">
        <v>1</v>
      </c>
      <c r="F4" s="145" t="s">
        <v>9</v>
      </c>
      <c r="G4" s="145" t="s">
        <v>5</v>
      </c>
      <c r="H4" s="145" t="s">
        <v>6</v>
      </c>
      <c r="I4" s="145" t="s">
        <v>10</v>
      </c>
      <c r="J4" s="145" t="s">
        <v>11</v>
      </c>
      <c r="K4" s="145" t="s">
        <v>12</v>
      </c>
      <c r="L4" s="145" t="s">
        <v>13</v>
      </c>
      <c r="M4" s="145" t="s">
        <v>14</v>
      </c>
      <c r="N4" s="145" t="s">
        <v>10</v>
      </c>
      <c r="O4" s="178" t="s">
        <v>15</v>
      </c>
      <c r="S4" s="141" t="s">
        <v>11</v>
      </c>
    </row>
    <row r="5" spans="1:19" ht="25.8">
      <c r="A5" s="146" t="s">
        <v>16</v>
      </c>
      <c r="B5" s="147"/>
      <c r="C5" s="148"/>
      <c r="D5" s="149"/>
      <c r="E5" s="149">
        <f t="shared" ref="E5:E15" si="0">SUMIFS($E$20:$E$1048576,$D$20:$D$1048576,$E$4,$C$20:$C$1048576,A5)</f>
        <v>0</v>
      </c>
      <c r="F5" s="149">
        <f t="shared" ref="F5:F14" si="1">SUMIFS($E$20:$E$1048576,$D$20:$D$1048576,$F$4,$C$20:$C$1048576,B5)</f>
        <v>0</v>
      </c>
      <c r="G5" s="150">
        <f t="shared" ref="G5:G15" si="2">SUMIFS($E$20:$E$1048576,$D$20:$D$1048576,$G$4,$C$20:$C$1048576,A5)</f>
        <v>0</v>
      </c>
      <c r="H5" s="150">
        <f t="shared" ref="H5:H15" si="3">SUMIFS($E$20:$E$1048576,$D$20:$D$1048576,$H$4,$C$20:$C$1048576,A5)</f>
        <v>0</v>
      </c>
      <c r="I5" s="156">
        <f>SUM(D5:H5)</f>
        <v>0</v>
      </c>
      <c r="J5" s="179">
        <f t="shared" ref="J5:J15" si="4">SUMIFS($E$20:$E$1048576,$D$20:$D$1048576,$J$4,$C$20:$C$1048576,A5)</f>
        <v>0</v>
      </c>
      <c r="K5" s="179">
        <f t="shared" ref="K5:K15" si="5">SUMIFS($E$20:$E$1048576,$D$20:$D$1048576,$K$4,$C$20:$C$1048576,A5)</f>
        <v>0</v>
      </c>
      <c r="L5" s="179">
        <f t="shared" ref="L5:L15" si="6">SUMIFS($E$20:$E$1048576,$D$20:$D$1048576,$L$4,$C$20:$C$1048576,A5)</f>
        <v>0</v>
      </c>
      <c r="M5" s="180">
        <f t="shared" ref="M5:M15" si="7">SUMIFS($E$20:$E$1048576,$D$20:$D$1048576,$M$4,$C$20:$C$1048576,A5)</f>
        <v>0</v>
      </c>
      <c r="N5" s="156">
        <f>SUM(J5:M5)</f>
        <v>0</v>
      </c>
      <c r="O5" s="181">
        <f>SUM(I5-N5)</f>
        <v>0</v>
      </c>
      <c r="S5" s="141" t="s">
        <v>12</v>
      </c>
    </row>
    <row r="6" spans="1:19" ht="25.8">
      <c r="A6" s="151" t="s">
        <v>17</v>
      </c>
      <c r="B6" s="152"/>
      <c r="C6" s="153"/>
      <c r="D6" s="149"/>
      <c r="E6" s="149">
        <f t="shared" si="0"/>
        <v>0</v>
      </c>
      <c r="F6" s="149">
        <f t="shared" si="1"/>
        <v>0</v>
      </c>
      <c r="G6" s="150">
        <f t="shared" si="2"/>
        <v>0</v>
      </c>
      <c r="H6" s="150">
        <f t="shared" si="3"/>
        <v>0</v>
      </c>
      <c r="I6" s="156">
        <f t="shared" ref="I6:I15" si="8">SUM(D6:H6)</f>
        <v>0</v>
      </c>
      <c r="J6" s="179">
        <f t="shared" si="4"/>
        <v>0</v>
      </c>
      <c r="K6" s="179">
        <f t="shared" si="5"/>
        <v>0</v>
      </c>
      <c r="L6" s="179">
        <f t="shared" si="6"/>
        <v>0</v>
      </c>
      <c r="M6" s="180">
        <f t="shared" si="7"/>
        <v>0</v>
      </c>
      <c r="N6" s="156">
        <f t="shared" ref="N6:N15" si="9">SUM(J6:M6)</f>
        <v>0</v>
      </c>
      <c r="O6" s="181">
        <f t="shared" ref="O6:O15" si="10">SUM(I6-N6)</f>
        <v>0</v>
      </c>
      <c r="S6" s="141" t="s">
        <v>14</v>
      </c>
    </row>
    <row r="7" spans="1:19" ht="25.8">
      <c r="A7" s="152" t="s">
        <v>18</v>
      </c>
      <c r="B7" s="154"/>
      <c r="C7" s="153"/>
      <c r="D7" s="149"/>
      <c r="E7" s="149">
        <f t="shared" si="0"/>
        <v>0</v>
      </c>
      <c r="F7" s="149">
        <f t="shared" si="1"/>
        <v>0</v>
      </c>
      <c r="G7" s="150">
        <f t="shared" si="2"/>
        <v>0</v>
      </c>
      <c r="H7" s="150">
        <f t="shared" si="3"/>
        <v>0</v>
      </c>
      <c r="I7" s="156">
        <f t="shared" si="8"/>
        <v>0</v>
      </c>
      <c r="J7" s="179">
        <f t="shared" si="4"/>
        <v>0</v>
      </c>
      <c r="K7" s="179">
        <f t="shared" si="5"/>
        <v>0</v>
      </c>
      <c r="L7" s="179">
        <f t="shared" si="6"/>
        <v>0</v>
      </c>
      <c r="M7" s="180">
        <f t="shared" si="7"/>
        <v>0</v>
      </c>
      <c r="N7" s="156">
        <f t="shared" si="9"/>
        <v>0</v>
      </c>
      <c r="O7" s="181">
        <f t="shared" si="10"/>
        <v>0</v>
      </c>
      <c r="S7" s="141" t="s">
        <v>8</v>
      </c>
    </row>
    <row r="8" spans="1:19" ht="25.8">
      <c r="A8" s="155" t="s">
        <v>19</v>
      </c>
      <c r="B8" s="154"/>
      <c r="C8" s="153"/>
      <c r="D8" s="156"/>
      <c r="E8" s="149">
        <f t="shared" si="0"/>
        <v>0</v>
      </c>
      <c r="F8" s="149">
        <f t="shared" si="1"/>
        <v>0</v>
      </c>
      <c r="G8" s="150">
        <f t="shared" si="2"/>
        <v>0</v>
      </c>
      <c r="H8" s="150">
        <f t="shared" si="3"/>
        <v>0</v>
      </c>
      <c r="I8" s="156">
        <f t="shared" si="8"/>
        <v>0</v>
      </c>
      <c r="J8" s="179">
        <f t="shared" si="4"/>
        <v>0</v>
      </c>
      <c r="K8" s="179">
        <f t="shared" si="5"/>
        <v>0</v>
      </c>
      <c r="L8" s="179">
        <f t="shared" si="6"/>
        <v>0</v>
      </c>
      <c r="M8" s="180">
        <f t="shared" si="7"/>
        <v>0</v>
      </c>
      <c r="N8" s="156">
        <f t="shared" si="9"/>
        <v>0</v>
      </c>
      <c r="O8" s="181">
        <f t="shared" si="10"/>
        <v>0</v>
      </c>
      <c r="S8" s="141" t="s">
        <v>9</v>
      </c>
    </row>
    <row r="9" spans="1:19" ht="25.8">
      <c r="A9" s="155" t="s">
        <v>20</v>
      </c>
      <c r="B9" s="154"/>
      <c r="C9" s="153"/>
      <c r="D9" s="149"/>
      <c r="E9" s="149">
        <f t="shared" si="0"/>
        <v>0</v>
      </c>
      <c r="F9" s="149">
        <f t="shared" si="1"/>
        <v>0</v>
      </c>
      <c r="G9" s="150">
        <f t="shared" si="2"/>
        <v>0</v>
      </c>
      <c r="H9" s="150">
        <f t="shared" si="3"/>
        <v>0</v>
      </c>
      <c r="I9" s="156">
        <f t="shared" si="8"/>
        <v>0</v>
      </c>
      <c r="J9" s="179">
        <f t="shared" si="4"/>
        <v>0</v>
      </c>
      <c r="K9" s="179">
        <f t="shared" si="5"/>
        <v>0</v>
      </c>
      <c r="L9" s="179">
        <f t="shared" si="6"/>
        <v>0</v>
      </c>
      <c r="M9" s="180">
        <f t="shared" si="7"/>
        <v>0</v>
      </c>
      <c r="N9" s="156">
        <f t="shared" si="9"/>
        <v>0</v>
      </c>
      <c r="O9" s="181">
        <f t="shared" si="10"/>
        <v>0</v>
      </c>
      <c r="S9" s="141" t="s">
        <v>13</v>
      </c>
    </row>
    <row r="10" spans="1:19" ht="25.8">
      <c r="A10" s="151" t="s">
        <v>21</v>
      </c>
      <c r="B10" s="155"/>
      <c r="C10" s="157"/>
      <c r="D10" s="149"/>
      <c r="E10" s="149">
        <f t="shared" si="0"/>
        <v>0</v>
      </c>
      <c r="F10" s="149">
        <f t="shared" si="1"/>
        <v>0</v>
      </c>
      <c r="G10" s="150">
        <f t="shared" si="2"/>
        <v>0</v>
      </c>
      <c r="H10" s="150">
        <f t="shared" si="3"/>
        <v>0</v>
      </c>
      <c r="I10" s="156">
        <f t="shared" si="8"/>
        <v>0</v>
      </c>
      <c r="J10" s="179">
        <f t="shared" si="4"/>
        <v>0</v>
      </c>
      <c r="K10" s="179">
        <f t="shared" si="5"/>
        <v>0</v>
      </c>
      <c r="L10" s="179">
        <f t="shared" si="6"/>
        <v>0</v>
      </c>
      <c r="M10" s="180">
        <f t="shared" si="7"/>
        <v>0</v>
      </c>
      <c r="N10" s="156">
        <f t="shared" si="9"/>
        <v>0</v>
      </c>
      <c r="O10" s="181">
        <f t="shared" si="10"/>
        <v>0</v>
      </c>
    </row>
    <row r="11" spans="1:19" ht="25.8">
      <c r="A11" s="151" t="s">
        <v>22</v>
      </c>
      <c r="B11" s="155"/>
      <c r="C11" s="157"/>
      <c r="D11" s="149">
        <v>552</v>
      </c>
      <c r="E11" s="149">
        <f t="shared" si="0"/>
        <v>828</v>
      </c>
      <c r="F11" s="149">
        <f t="shared" si="1"/>
        <v>0</v>
      </c>
      <c r="G11" s="150">
        <f t="shared" si="2"/>
        <v>0</v>
      </c>
      <c r="H11" s="150">
        <f t="shared" si="3"/>
        <v>0</v>
      </c>
      <c r="I11" s="156">
        <f t="shared" si="8"/>
        <v>1380</v>
      </c>
      <c r="J11" s="179">
        <f t="shared" si="4"/>
        <v>0</v>
      </c>
      <c r="K11" s="179">
        <f t="shared" si="5"/>
        <v>12</v>
      </c>
      <c r="L11" s="179">
        <f t="shared" si="6"/>
        <v>0</v>
      </c>
      <c r="M11" s="180">
        <f t="shared" si="7"/>
        <v>0</v>
      </c>
      <c r="N11" s="156">
        <f t="shared" si="9"/>
        <v>12</v>
      </c>
      <c r="O11" s="181">
        <f t="shared" si="10"/>
        <v>1368</v>
      </c>
      <c r="P11" s="2" t="s">
        <v>23</v>
      </c>
    </row>
    <row r="12" spans="1:19" ht="25.8">
      <c r="A12" s="151" t="s">
        <v>24</v>
      </c>
      <c r="B12" s="155"/>
      <c r="C12" s="157"/>
      <c r="D12" s="149">
        <v>171</v>
      </c>
      <c r="E12" s="149">
        <f t="shared" si="0"/>
        <v>0</v>
      </c>
      <c r="F12" s="149">
        <f t="shared" si="1"/>
        <v>0</v>
      </c>
      <c r="G12" s="150">
        <f t="shared" si="2"/>
        <v>0</v>
      </c>
      <c r="H12" s="150">
        <f t="shared" si="3"/>
        <v>0</v>
      </c>
      <c r="I12" s="156">
        <f t="shared" si="8"/>
        <v>171</v>
      </c>
      <c r="J12" s="179">
        <f t="shared" si="4"/>
        <v>0</v>
      </c>
      <c r="K12" s="179">
        <f t="shared" si="5"/>
        <v>8</v>
      </c>
      <c r="L12" s="179">
        <f t="shared" si="6"/>
        <v>0</v>
      </c>
      <c r="M12" s="180">
        <f t="shared" si="7"/>
        <v>0</v>
      </c>
      <c r="N12" s="156">
        <f t="shared" si="9"/>
        <v>8</v>
      </c>
      <c r="O12" s="181">
        <f t="shared" si="10"/>
        <v>163</v>
      </c>
      <c r="P12" s="2" t="s">
        <v>25</v>
      </c>
    </row>
    <row r="13" spans="1:19" ht="25.8">
      <c r="A13" s="152" t="s">
        <v>26</v>
      </c>
      <c r="B13" s="154"/>
      <c r="C13" s="153"/>
      <c r="D13" s="149">
        <v>780</v>
      </c>
      <c r="E13" s="149">
        <f t="shared" si="0"/>
        <v>0</v>
      </c>
      <c r="F13" s="149">
        <f t="shared" si="1"/>
        <v>0</v>
      </c>
      <c r="G13" s="150">
        <f t="shared" si="2"/>
        <v>0</v>
      </c>
      <c r="H13" s="150">
        <f t="shared" si="3"/>
        <v>0</v>
      </c>
      <c r="I13" s="156">
        <f t="shared" si="8"/>
        <v>780</v>
      </c>
      <c r="J13" s="179">
        <f t="shared" si="4"/>
        <v>354</v>
      </c>
      <c r="K13" s="179">
        <f t="shared" si="5"/>
        <v>3</v>
      </c>
      <c r="L13" s="179">
        <f t="shared" si="6"/>
        <v>0</v>
      </c>
      <c r="M13" s="180">
        <f t="shared" si="7"/>
        <v>0</v>
      </c>
      <c r="N13" s="156">
        <f t="shared" si="9"/>
        <v>357</v>
      </c>
      <c r="O13" s="181">
        <f t="shared" si="10"/>
        <v>423</v>
      </c>
      <c r="P13" s="2" t="s">
        <v>27</v>
      </c>
    </row>
    <row r="14" spans="1:19" ht="25.8">
      <c r="A14" s="158" t="s">
        <v>28</v>
      </c>
      <c r="B14" s="159"/>
      <c r="C14" s="160"/>
      <c r="D14" s="161"/>
      <c r="E14" s="161">
        <f t="shared" si="0"/>
        <v>0</v>
      </c>
      <c r="F14" s="161">
        <f t="shared" si="1"/>
        <v>0</v>
      </c>
      <c r="G14" s="162">
        <f t="shared" si="2"/>
        <v>0</v>
      </c>
      <c r="H14" s="162">
        <f t="shared" si="3"/>
        <v>0</v>
      </c>
      <c r="I14" s="182">
        <f t="shared" si="8"/>
        <v>0</v>
      </c>
      <c r="J14" s="183">
        <f t="shared" si="4"/>
        <v>0</v>
      </c>
      <c r="K14" s="183">
        <f t="shared" si="5"/>
        <v>0</v>
      </c>
      <c r="L14" s="183">
        <f t="shared" si="6"/>
        <v>0</v>
      </c>
      <c r="M14" s="184">
        <f t="shared" si="7"/>
        <v>0</v>
      </c>
      <c r="N14" s="182">
        <f t="shared" si="9"/>
        <v>0</v>
      </c>
      <c r="O14" s="204">
        <f t="shared" si="10"/>
        <v>0</v>
      </c>
    </row>
    <row r="15" spans="1:19" ht="25.8">
      <c r="A15" s="163" t="s">
        <v>29</v>
      </c>
      <c r="B15" s="163"/>
      <c r="C15" s="142"/>
      <c r="D15" s="156"/>
      <c r="E15" s="156">
        <f t="shared" si="0"/>
        <v>0</v>
      </c>
      <c r="F15" s="156">
        <v>0</v>
      </c>
      <c r="G15" s="156">
        <f t="shared" si="2"/>
        <v>0</v>
      </c>
      <c r="H15" s="156">
        <f t="shared" si="3"/>
        <v>0</v>
      </c>
      <c r="I15" s="156">
        <f t="shared" si="8"/>
        <v>0</v>
      </c>
      <c r="J15" s="156">
        <f t="shared" si="4"/>
        <v>0</v>
      </c>
      <c r="K15" s="156">
        <f t="shared" si="5"/>
        <v>0</v>
      </c>
      <c r="L15" s="156">
        <f t="shared" si="6"/>
        <v>0</v>
      </c>
      <c r="M15" s="156">
        <f t="shared" si="7"/>
        <v>0</v>
      </c>
      <c r="N15" s="156">
        <f t="shared" si="9"/>
        <v>0</v>
      </c>
      <c r="O15" s="204">
        <f t="shared" si="10"/>
        <v>0</v>
      </c>
    </row>
    <row r="16" spans="1:19" ht="25.8">
      <c r="A16" s="164" t="s">
        <v>10</v>
      </c>
      <c r="B16" s="165"/>
      <c r="C16" s="166"/>
      <c r="D16" s="203">
        <f t="shared" ref="D16:O16" si="11">SUM(D5:D15)</f>
        <v>1503</v>
      </c>
      <c r="E16" s="203">
        <f t="shared" si="11"/>
        <v>828</v>
      </c>
      <c r="F16" s="203">
        <f t="shared" si="11"/>
        <v>0</v>
      </c>
      <c r="G16" s="203">
        <f t="shared" si="11"/>
        <v>0</v>
      </c>
      <c r="H16" s="203">
        <f t="shared" si="11"/>
        <v>0</v>
      </c>
      <c r="I16" s="203">
        <f t="shared" si="11"/>
        <v>2331</v>
      </c>
      <c r="J16" s="203">
        <f t="shared" si="11"/>
        <v>354</v>
      </c>
      <c r="K16" s="203">
        <f t="shared" si="11"/>
        <v>23</v>
      </c>
      <c r="L16" s="203">
        <f t="shared" si="11"/>
        <v>0</v>
      </c>
      <c r="M16" s="203">
        <f t="shared" si="11"/>
        <v>0</v>
      </c>
      <c r="N16" s="203">
        <f t="shared" si="11"/>
        <v>377</v>
      </c>
      <c r="O16" s="186">
        <f t="shared" si="11"/>
        <v>1954</v>
      </c>
    </row>
    <row r="17" spans="1:17">
      <c r="H17"/>
      <c r="K17"/>
      <c r="L17"/>
      <c r="M17"/>
      <c r="N17"/>
      <c r="O17"/>
    </row>
    <row r="18" spans="1:17" ht="30" customHeight="1">
      <c r="A18" s="240" t="s">
        <v>30</v>
      </c>
      <c r="B18" s="241"/>
      <c r="C18" s="241"/>
      <c r="D18" s="241"/>
      <c r="E18" s="241"/>
      <c r="F18" s="241"/>
      <c r="G18" s="242"/>
      <c r="H18" s="168"/>
      <c r="I18" s="168"/>
      <c r="J18" s="168"/>
      <c r="K18" s="168"/>
      <c r="L18" s="168"/>
      <c r="M18" s="168"/>
      <c r="N18" s="168"/>
      <c r="O18" s="168"/>
      <c r="P18" s="168"/>
      <c r="Q18" s="196"/>
    </row>
    <row r="19" spans="1:17" ht="22.5" customHeight="1">
      <c r="A19" s="169" t="s">
        <v>31</v>
      </c>
      <c r="B19" s="169" t="s">
        <v>32</v>
      </c>
      <c r="C19" s="169" t="s">
        <v>33</v>
      </c>
      <c r="D19" s="170" t="s">
        <v>34</v>
      </c>
      <c r="E19" s="169" t="s">
        <v>35</v>
      </c>
      <c r="F19" s="169" t="s">
        <v>36</v>
      </c>
      <c r="G19" s="171" t="s">
        <v>37</v>
      </c>
      <c r="H19" s="172" t="s">
        <v>38</v>
      </c>
      <c r="I19" s="172" t="s">
        <v>39</v>
      </c>
      <c r="J19" s="187"/>
      <c r="K19" s="187"/>
      <c r="L19" s="187"/>
      <c r="M19" s="187"/>
      <c r="N19" s="187"/>
      <c r="O19" s="187"/>
      <c r="P19" s="187"/>
    </row>
    <row r="20" spans="1:17">
      <c r="A20" s="216">
        <v>45852</v>
      </c>
      <c r="B20" s="216" t="str">
        <f>TEXT(Tabela2234[[#This Row],[DATA]],"mmm")</f>
        <v>jul</v>
      </c>
      <c r="C20" s="217" t="s">
        <v>22</v>
      </c>
      <c r="D20" s="217" t="s">
        <v>12</v>
      </c>
      <c r="E20" s="217">
        <v>1</v>
      </c>
      <c r="F20" s="217" t="s">
        <v>12</v>
      </c>
      <c r="G20" s="217" t="s">
        <v>12</v>
      </c>
      <c r="H20" s="218">
        <v>150</v>
      </c>
      <c r="I20" s="218">
        <f>Tabela2234[[#This Row],[PESO TOTAL]]/Tabela2234[[#This Row],[QUANTIDADE]]</f>
        <v>150</v>
      </c>
      <c r="J20" s="188"/>
      <c r="K20" s="224"/>
      <c r="L20" s="225"/>
      <c r="M20" s="8"/>
      <c r="N20" s="190"/>
      <c r="O20" s="191"/>
      <c r="P20" s="192"/>
    </row>
    <row r="21" spans="1:17">
      <c r="A21" s="216">
        <v>45855</v>
      </c>
      <c r="B21" s="216" t="str">
        <f>TEXT(Tabela2234[[#This Row],[DATA]],"mmm")</f>
        <v>jul</v>
      </c>
      <c r="C21" s="217" t="s">
        <v>22</v>
      </c>
      <c r="D21" s="217" t="s">
        <v>12</v>
      </c>
      <c r="E21" s="217">
        <v>1</v>
      </c>
      <c r="F21" s="217" t="s">
        <v>12</v>
      </c>
      <c r="G21" s="219" t="s">
        <v>12</v>
      </c>
      <c r="H21" s="218">
        <v>150</v>
      </c>
      <c r="I21" s="218">
        <f>Tabela2234[[#This Row],[PESO TOTAL]]/Tabela2234[[#This Row],[QUANTIDADE]]</f>
        <v>150</v>
      </c>
      <c r="J21" s="188"/>
      <c r="K21" s="193"/>
      <c r="L21" s="226"/>
      <c r="M21" s="227"/>
      <c r="N21" s="8"/>
      <c r="O21" s="194"/>
      <c r="P21" s="195"/>
    </row>
    <row r="22" spans="1:17">
      <c r="A22" s="216">
        <v>45872</v>
      </c>
      <c r="B22" s="216" t="str">
        <f>TEXT(Tabela2234[[#This Row],[DATA]],"mmm")</f>
        <v>ago</v>
      </c>
      <c r="C22" s="217" t="s">
        <v>26</v>
      </c>
      <c r="D22" s="217" t="s">
        <v>11</v>
      </c>
      <c r="E22" s="217">
        <v>84</v>
      </c>
      <c r="F22" s="217" t="s">
        <v>11</v>
      </c>
      <c r="G22" s="219" t="s">
        <v>40</v>
      </c>
      <c r="H22" s="218">
        <v>47040</v>
      </c>
      <c r="I22" s="218">
        <f>Tabela2234[[#This Row],[PESO TOTAL]]/Tabela2234[[#This Row],[QUANTIDADE]]</f>
        <v>560</v>
      </c>
      <c r="J22" s="188"/>
      <c r="K22" s="193"/>
      <c r="L22" s="225"/>
      <c r="M22" s="225"/>
      <c r="N22" s="8"/>
      <c r="O22" s="194"/>
      <c r="P22" s="195"/>
    </row>
    <row r="23" spans="1:17">
      <c r="A23" s="216">
        <v>45860</v>
      </c>
      <c r="B23" s="216" t="str">
        <f>TEXT(Tabela2234[[#This Row],[DATA]],"mmm")</f>
        <v>jul</v>
      </c>
      <c r="C23" s="217" t="s">
        <v>22</v>
      </c>
      <c r="D23" s="217" t="s">
        <v>1</v>
      </c>
      <c r="E23" s="217">
        <v>1</v>
      </c>
      <c r="F23" s="217" t="s">
        <v>1</v>
      </c>
      <c r="G23" s="219" t="s">
        <v>41</v>
      </c>
      <c r="H23" s="218">
        <v>150</v>
      </c>
      <c r="I23" s="218">
        <f>Tabela2234[[#This Row],[PESO TOTAL]]/Tabela2234[[#This Row],[QUANTIDADE]]</f>
        <v>150</v>
      </c>
      <c r="J23" s="188"/>
      <c r="K23" s="193"/>
      <c r="L23" s="225"/>
      <c r="M23" s="225"/>
      <c r="N23" s="8"/>
      <c r="O23" s="194"/>
      <c r="P23" s="195"/>
    </row>
    <row r="24" spans="1:17">
      <c r="A24" s="216">
        <v>45909</v>
      </c>
      <c r="B24" s="216" t="str">
        <f>TEXT(Tabela2234[[#This Row],[DATA]],"mmm")</f>
        <v>set</v>
      </c>
      <c r="C24" s="217" t="s">
        <v>22</v>
      </c>
      <c r="D24" s="217" t="s">
        <v>1</v>
      </c>
      <c r="E24" s="217">
        <v>133</v>
      </c>
      <c r="F24" s="217" t="s">
        <v>1</v>
      </c>
      <c r="G24" s="219" t="s">
        <v>261</v>
      </c>
      <c r="H24" s="218">
        <v>27668</v>
      </c>
      <c r="I24" s="218">
        <f>Tabela2234[[#This Row],[PESO TOTAL]]/Tabela2234[[#This Row],[QUANTIDADE]]</f>
        <v>208.03007518796991</v>
      </c>
      <c r="J24" s="188"/>
      <c r="K24" s="193"/>
      <c r="L24" s="225"/>
      <c r="M24" s="225"/>
      <c r="N24" s="8"/>
      <c r="O24" s="194"/>
      <c r="P24" s="195"/>
    </row>
    <row r="25" spans="1:17">
      <c r="A25" s="216">
        <v>45894</v>
      </c>
      <c r="B25" s="216" t="str">
        <f>TEXT(Tabela2234[[#This Row],[DATA]],"mmm")</f>
        <v>ago</v>
      </c>
      <c r="C25" s="217" t="s">
        <v>22</v>
      </c>
      <c r="D25" s="217" t="s">
        <v>12</v>
      </c>
      <c r="E25" s="217">
        <v>1</v>
      </c>
      <c r="F25" s="217" t="s">
        <v>12</v>
      </c>
      <c r="G25" s="219"/>
      <c r="H25" s="218"/>
      <c r="I25" s="218">
        <f>Tabela2234[[#This Row],[PESO TOTAL]]/Tabela2234[[#This Row],[QUANTIDADE]]</f>
        <v>0</v>
      </c>
      <c r="J25" s="188"/>
      <c r="K25" s="193"/>
      <c r="L25" s="225"/>
      <c r="M25" s="225"/>
      <c r="N25" s="8"/>
      <c r="O25" s="194"/>
      <c r="P25" s="195"/>
    </row>
    <row r="26" spans="1:17">
      <c r="A26" s="216">
        <v>45898</v>
      </c>
      <c r="B26" s="216" t="str">
        <f>TEXT(Tabela2234[[#This Row],[DATA]],"mmm")</f>
        <v>ago</v>
      </c>
      <c r="C26" s="217" t="s">
        <v>22</v>
      </c>
      <c r="D26" s="217" t="s">
        <v>1</v>
      </c>
      <c r="E26" s="217">
        <v>2</v>
      </c>
      <c r="F26" s="217"/>
      <c r="G26" s="219" t="s">
        <v>261</v>
      </c>
      <c r="H26" s="218">
        <v>416</v>
      </c>
      <c r="I26" s="218">
        <f>Tabela2234[[#This Row],[PESO TOTAL]]/Tabela2234[[#This Row],[QUANTIDADE]]</f>
        <v>208</v>
      </c>
      <c r="J26" s="188"/>
      <c r="K26" s="193"/>
      <c r="L26" s="225"/>
      <c r="M26" s="225"/>
      <c r="N26" s="8"/>
      <c r="O26" s="194"/>
      <c r="P26" s="195"/>
    </row>
    <row r="27" spans="1:17">
      <c r="A27" s="216">
        <v>45908</v>
      </c>
      <c r="B27" s="216" t="str">
        <f>TEXT(Tabela2234[[#This Row],[DATA]],"mmmm")</f>
        <v>setembro</v>
      </c>
      <c r="C27" s="217" t="s">
        <v>22</v>
      </c>
      <c r="D27" s="217" t="s">
        <v>12</v>
      </c>
      <c r="E27" s="217">
        <v>1</v>
      </c>
      <c r="F27" s="217"/>
      <c r="G27" s="219"/>
      <c r="H27" s="218"/>
      <c r="I27" s="218">
        <f>Tabela2234[[#This Row],[PESO TOTAL]]/Tabela2234[[#This Row],[QUANTIDADE]]</f>
        <v>0</v>
      </c>
      <c r="J27" s="2"/>
      <c r="K27" s="193"/>
      <c r="L27" s="225"/>
      <c r="M27" s="225"/>
      <c r="N27" s="8"/>
      <c r="O27" s="194"/>
      <c r="P27" s="195"/>
    </row>
    <row r="28" spans="1:17">
      <c r="A28" s="216">
        <v>45947</v>
      </c>
      <c r="B28" s="216" t="str">
        <f>TEXT(Tabela2234[[#This Row],[DATA]],"mmmm")</f>
        <v>outubro</v>
      </c>
      <c r="C28" s="217" t="s">
        <v>24</v>
      </c>
      <c r="D28" s="217" t="s">
        <v>12</v>
      </c>
      <c r="E28" s="217">
        <v>1</v>
      </c>
      <c r="F28" s="217"/>
      <c r="G28" s="219"/>
      <c r="H28" s="218"/>
      <c r="I28" s="218">
        <f>Tabela2234[[#This Row],[PESO TOTAL]]/Tabela2234[[#This Row],[QUANTIDADE]]</f>
        <v>0</v>
      </c>
      <c r="J28" s="2"/>
      <c r="K28" s="193"/>
      <c r="L28" s="225"/>
      <c r="M28" s="225"/>
      <c r="N28" s="8"/>
      <c r="O28" s="194"/>
      <c r="P28" s="195"/>
    </row>
    <row r="29" spans="1:17">
      <c r="A29" s="216">
        <v>45947</v>
      </c>
      <c r="B29" s="216" t="str">
        <f>TEXT(Tabela2234[[#This Row],[DATA]],"mmmm")</f>
        <v>outubro</v>
      </c>
      <c r="C29" s="217" t="s">
        <v>22</v>
      </c>
      <c r="D29" s="217" t="s">
        <v>1</v>
      </c>
      <c r="E29" s="217">
        <v>12</v>
      </c>
      <c r="F29" s="217" t="s">
        <v>1</v>
      </c>
      <c r="G29" s="219"/>
      <c r="H29" s="218">
        <v>1775</v>
      </c>
      <c r="I29" s="218">
        <f>Tabela2234[[#This Row],[PESO TOTAL]]/Tabela2234[[#This Row],[QUANTIDADE]]</f>
        <v>147.91666666666666</v>
      </c>
      <c r="J29" s="2"/>
      <c r="K29" s="193"/>
      <c r="L29" s="225"/>
      <c r="M29" s="225"/>
      <c r="N29" s="8"/>
      <c r="O29" s="194"/>
      <c r="P29" s="195"/>
    </row>
    <row r="30" spans="1:17">
      <c r="A30" s="216">
        <v>45950</v>
      </c>
      <c r="B30" s="216" t="str">
        <f>TEXT(Tabela2234[[#This Row],[DATA]],"mmmm")</f>
        <v>outubro</v>
      </c>
      <c r="C30" s="217" t="s">
        <v>26</v>
      </c>
      <c r="D30" s="217" t="s">
        <v>12</v>
      </c>
      <c r="E30" s="217">
        <v>1</v>
      </c>
      <c r="F30" s="217"/>
      <c r="G30" s="219" t="s">
        <v>42</v>
      </c>
      <c r="H30" s="218"/>
      <c r="I30" s="218">
        <f>Tabela2234[[#This Row],[PESO TOTAL]]/Tabela2234[[#This Row],[QUANTIDADE]]</f>
        <v>0</v>
      </c>
      <c r="J30" s="2"/>
      <c r="K30" s="193"/>
      <c r="L30" s="225"/>
      <c r="M30" s="225"/>
      <c r="N30" s="8"/>
      <c r="O30" s="194"/>
      <c r="P30" s="195"/>
    </row>
    <row r="31" spans="1:17">
      <c r="A31" s="216">
        <v>45953</v>
      </c>
      <c r="B31" s="216" t="str">
        <f>TEXT(Tabela2234[[#This Row],[DATA]],"mmmm")</f>
        <v>outubro</v>
      </c>
      <c r="C31" s="217" t="s">
        <v>22</v>
      </c>
      <c r="D31" s="217" t="s">
        <v>1</v>
      </c>
      <c r="E31" s="217">
        <v>42</v>
      </c>
      <c r="F31" s="217" t="s">
        <v>1</v>
      </c>
      <c r="G31" s="219"/>
      <c r="H31" s="218">
        <v>5647</v>
      </c>
      <c r="I31" s="218">
        <f>Tabela2234[[#This Row],[PESO TOTAL]]/Tabela2234[[#This Row],[QUANTIDADE]]</f>
        <v>134.45238095238096</v>
      </c>
      <c r="J31" s="2"/>
      <c r="K31" s="193"/>
      <c r="L31" s="225"/>
      <c r="M31" s="225"/>
      <c r="N31" s="8"/>
      <c r="O31" s="194"/>
      <c r="P31" s="195"/>
    </row>
    <row r="32" spans="1:17">
      <c r="A32" s="216">
        <v>45959</v>
      </c>
      <c r="B32" s="216" t="str">
        <f>TEXT(Tabela2234[[#This Row],[DATA]],"mmmm")</f>
        <v>outubro</v>
      </c>
      <c r="C32" s="217" t="s">
        <v>22</v>
      </c>
      <c r="D32" s="217" t="s">
        <v>12</v>
      </c>
      <c r="E32" s="217">
        <v>1</v>
      </c>
      <c r="F32" s="217"/>
      <c r="G32" s="219"/>
      <c r="H32" s="218"/>
      <c r="I32" s="218">
        <f>Tabela2234[[#This Row],[PESO TOTAL]]/Tabela2234[[#This Row],[QUANTIDADE]]</f>
        <v>0</v>
      </c>
      <c r="J32" s="2"/>
      <c r="K32" s="193"/>
      <c r="L32" s="225"/>
      <c r="M32" s="225"/>
      <c r="N32" s="8"/>
      <c r="O32" s="194"/>
      <c r="P32" s="195"/>
    </row>
    <row r="33" spans="1:16">
      <c r="A33" s="216">
        <v>45974</v>
      </c>
      <c r="B33" s="216" t="str">
        <f>TEXT(Tabela2234[[#This Row],[DATA]],"mmmm")</f>
        <v>novembro</v>
      </c>
      <c r="C33" s="217" t="s">
        <v>22</v>
      </c>
      <c r="D33" s="217" t="s">
        <v>12</v>
      </c>
      <c r="E33" s="217">
        <v>1</v>
      </c>
      <c r="F33" s="217"/>
      <c r="G33" s="219"/>
      <c r="H33" s="218"/>
      <c r="I33" s="218">
        <f>Tabela2234[[#This Row],[PESO TOTAL]]/Tabela2234[[#This Row],[QUANTIDADE]]</f>
        <v>0</v>
      </c>
      <c r="J33" s="2"/>
      <c r="K33" s="193"/>
      <c r="L33" s="225"/>
      <c r="M33" s="225"/>
      <c r="N33" s="8"/>
      <c r="O33" s="194"/>
      <c r="P33" s="195"/>
    </row>
    <row r="34" spans="1:16">
      <c r="A34" s="216">
        <v>45982</v>
      </c>
      <c r="B34" s="216" t="str">
        <f>TEXT(Tabela2234[[#This Row],[DATA]],"mmmm")</f>
        <v>novembro</v>
      </c>
      <c r="C34" s="217" t="s">
        <v>22</v>
      </c>
      <c r="D34" s="217" t="s">
        <v>1</v>
      </c>
      <c r="E34" s="217">
        <v>150</v>
      </c>
      <c r="F34" s="217" t="s">
        <v>1</v>
      </c>
      <c r="G34" s="219"/>
      <c r="H34" s="218">
        <v>22279</v>
      </c>
      <c r="I34" s="218">
        <f>Tabela2234[[#This Row],[PESO TOTAL]]/Tabela2234[[#This Row],[QUANTIDADE]]</f>
        <v>148.52666666666667</v>
      </c>
      <c r="J34" s="2"/>
      <c r="K34" s="193"/>
      <c r="L34" s="225"/>
      <c r="M34" s="225"/>
      <c r="N34" s="8"/>
      <c r="O34" s="194"/>
      <c r="P34" s="195"/>
    </row>
    <row r="35" spans="1:16">
      <c r="A35" s="216">
        <v>45985</v>
      </c>
      <c r="B35" s="216" t="str">
        <f>TEXT(Tabela2234[[#This Row],[DATA]],"mmmm")</f>
        <v>novembro</v>
      </c>
      <c r="C35" s="217" t="s">
        <v>22</v>
      </c>
      <c r="D35" s="217" t="s">
        <v>12</v>
      </c>
      <c r="E35" s="217">
        <v>1</v>
      </c>
      <c r="F35" s="217"/>
      <c r="G35" s="219"/>
      <c r="H35" s="218"/>
      <c r="I35" s="218">
        <f>Tabela2234[[#This Row],[PESO TOTAL]]/Tabela2234[[#This Row],[QUANTIDADE]]</f>
        <v>0</v>
      </c>
      <c r="J35" s="2"/>
      <c r="K35" s="193"/>
      <c r="L35" s="225"/>
      <c r="M35" s="225"/>
      <c r="N35" s="8"/>
      <c r="O35" s="194"/>
      <c r="P35" s="195"/>
    </row>
    <row r="36" spans="1:16">
      <c r="A36" s="216">
        <v>45988</v>
      </c>
      <c r="B36" s="216" t="str">
        <f>TEXT(Tabela2234[[#This Row],[DATA]],"mmmm")</f>
        <v>novembro</v>
      </c>
      <c r="C36" s="217" t="s">
        <v>22</v>
      </c>
      <c r="D36" s="217" t="s">
        <v>1</v>
      </c>
      <c r="E36" s="217">
        <v>40</v>
      </c>
      <c r="F36" s="217" t="s">
        <v>1</v>
      </c>
      <c r="G36" s="219"/>
      <c r="H36" s="218">
        <v>5941</v>
      </c>
      <c r="I36" s="218">
        <f>Tabela2234[[#This Row],[PESO TOTAL]]/Tabela2234[[#This Row],[QUANTIDADE]]</f>
        <v>148.52500000000001</v>
      </c>
      <c r="J36" s="2"/>
      <c r="K36" s="193"/>
      <c r="L36" s="225"/>
      <c r="M36" s="225"/>
      <c r="N36" s="8"/>
      <c r="O36" s="194"/>
      <c r="P36" s="195"/>
    </row>
    <row r="37" spans="1:16">
      <c r="A37" s="216">
        <v>45999</v>
      </c>
      <c r="B37" s="216" t="str">
        <f>TEXT(Tabela2234[[#This Row],[DATA]],"mmmm")</f>
        <v>dezembro</v>
      </c>
      <c r="C37" s="217" t="s">
        <v>22</v>
      </c>
      <c r="D37" s="217" t="s">
        <v>12</v>
      </c>
      <c r="E37" s="217">
        <v>1</v>
      </c>
      <c r="F37" s="217"/>
      <c r="G37" s="219"/>
      <c r="H37" s="218"/>
      <c r="I37" s="218">
        <f>Tabela2234[[#This Row],[PESO TOTAL]]/Tabela2234[[#This Row],[QUANTIDADE]]</f>
        <v>0</v>
      </c>
      <c r="J37" s="2"/>
      <c r="K37" s="193"/>
      <c r="L37" s="225"/>
      <c r="M37" s="225"/>
      <c r="N37" s="8"/>
      <c r="O37" s="194"/>
      <c r="P37" s="195"/>
    </row>
    <row r="38" spans="1:16">
      <c r="A38" s="216">
        <v>46000</v>
      </c>
      <c r="B38" s="216" t="str">
        <f>TEXT(Tabela2234[[#This Row],[DATA]],"mmmm")</f>
        <v>dezembro</v>
      </c>
      <c r="C38" s="217" t="s">
        <v>22</v>
      </c>
      <c r="D38" s="217" t="s">
        <v>12</v>
      </c>
      <c r="E38" s="217">
        <v>1</v>
      </c>
      <c r="F38" s="217"/>
      <c r="G38" s="219"/>
      <c r="H38" s="218"/>
      <c r="I38" s="218">
        <f>Tabela2234[[#This Row],[PESO TOTAL]]/Tabela2234[[#This Row],[QUANTIDADE]]</f>
        <v>0</v>
      </c>
      <c r="J38" s="2"/>
      <c r="K38" s="193"/>
      <c r="L38" s="225"/>
      <c r="M38" s="225"/>
      <c r="N38" s="8"/>
      <c r="O38" s="194"/>
      <c r="P38" s="195"/>
    </row>
    <row r="39" spans="1:16">
      <c r="A39" s="216">
        <v>46004</v>
      </c>
      <c r="B39" s="216" t="str">
        <f>TEXT(Tabela2234[[#This Row],[DATA]],"mmmm")</f>
        <v>dezembro</v>
      </c>
      <c r="C39" s="217" t="s">
        <v>22</v>
      </c>
      <c r="D39" s="217" t="s">
        <v>12</v>
      </c>
      <c r="E39" s="217">
        <v>1</v>
      </c>
      <c r="F39" s="217"/>
      <c r="G39" s="219"/>
      <c r="H39" s="218"/>
      <c r="I39" s="218">
        <f>Tabela2234[[#This Row],[PESO TOTAL]]/Tabela2234[[#This Row],[QUANTIDADE]]</f>
        <v>0</v>
      </c>
      <c r="J39" s="2"/>
      <c r="K39" s="193"/>
      <c r="L39" s="225"/>
      <c r="M39" s="225"/>
      <c r="N39" s="8"/>
      <c r="O39" s="194"/>
      <c r="P39" s="195"/>
    </row>
    <row r="40" spans="1:16">
      <c r="A40" s="216">
        <v>46006</v>
      </c>
      <c r="B40" s="216" t="str">
        <f>TEXT(Tabela2234[[#This Row],[DATA]],"mmmm")</f>
        <v>dezembro</v>
      </c>
      <c r="C40" s="217" t="s">
        <v>24</v>
      </c>
      <c r="D40" s="217" t="s">
        <v>12</v>
      </c>
      <c r="E40" s="217">
        <v>1</v>
      </c>
      <c r="F40" s="217"/>
      <c r="G40" s="219"/>
      <c r="H40" s="218"/>
      <c r="I40" s="218">
        <f>Tabela2234[[#This Row],[PESO TOTAL]]/Tabela2234[[#This Row],[QUANTIDADE]]</f>
        <v>0</v>
      </c>
      <c r="J40" s="2"/>
      <c r="K40" s="193"/>
      <c r="L40" s="225"/>
      <c r="M40" s="225"/>
      <c r="N40" s="8"/>
      <c r="O40" s="194"/>
      <c r="P40" s="195"/>
    </row>
    <row r="41" spans="1:16">
      <c r="A41" s="216">
        <v>46021</v>
      </c>
      <c r="B41" s="216" t="str">
        <f>TEXT(Tabela2234[[#This Row],[DATA]],"mmmm")</f>
        <v>dezembro</v>
      </c>
      <c r="C41" s="217" t="s">
        <v>22</v>
      </c>
      <c r="D41" s="217" t="s">
        <v>1</v>
      </c>
      <c r="E41" s="217">
        <v>105</v>
      </c>
      <c r="F41" s="217" t="s">
        <v>1</v>
      </c>
      <c r="G41" s="219"/>
      <c r="H41" s="218">
        <v>18345</v>
      </c>
      <c r="I41" s="218">
        <f>Tabela2234[[#This Row],[PESO TOTAL]]/Tabela2234[[#This Row],[QUANTIDADE]]</f>
        <v>174.71428571428572</v>
      </c>
      <c r="J41" s="2"/>
      <c r="K41" s="193"/>
      <c r="L41" s="225"/>
      <c r="M41" s="225"/>
      <c r="N41" s="8"/>
      <c r="O41" s="194"/>
      <c r="P41" s="195"/>
    </row>
    <row r="42" spans="1:16">
      <c r="A42" s="216">
        <v>46027</v>
      </c>
      <c r="B42" s="216" t="str">
        <f>TEXT(Tabela2234[[#This Row],[DATA]],"mmmm")</f>
        <v>janeiro</v>
      </c>
      <c r="C42" s="217" t="s">
        <v>24</v>
      </c>
      <c r="D42" s="217" t="s">
        <v>12</v>
      </c>
      <c r="E42" s="217">
        <v>1</v>
      </c>
      <c r="F42" s="217"/>
      <c r="G42" s="219"/>
      <c r="H42" s="218"/>
      <c r="I42" s="218">
        <f>Tabela2234[[#This Row],[PESO TOTAL]]/Tabela2234[[#This Row],[QUANTIDADE]]</f>
        <v>0</v>
      </c>
      <c r="J42" s="2"/>
      <c r="K42" s="193"/>
      <c r="L42" s="225"/>
      <c r="M42" s="225"/>
      <c r="N42" s="8"/>
      <c r="O42" s="194"/>
      <c r="P42" s="195"/>
    </row>
    <row r="43" spans="1:16">
      <c r="A43" s="216">
        <v>46031</v>
      </c>
      <c r="B43" s="216" t="str">
        <f>TEXT(Tabela2234[[#This Row],[DATA]],"mmmm")</f>
        <v>janeiro</v>
      </c>
      <c r="C43" s="217" t="s">
        <v>24</v>
      </c>
      <c r="D43" s="217" t="s">
        <v>12</v>
      </c>
      <c r="E43" s="217">
        <v>1</v>
      </c>
      <c r="F43" s="217"/>
      <c r="G43" s="219" t="s">
        <v>42</v>
      </c>
      <c r="H43" s="218"/>
      <c r="I43" s="218">
        <f>Tabela2234[[#This Row],[PESO TOTAL]]/Tabela2234[[#This Row],[QUANTIDADE]]</f>
        <v>0</v>
      </c>
      <c r="J43" s="2"/>
      <c r="K43" s="193"/>
      <c r="L43" s="225"/>
      <c r="M43" s="225"/>
      <c r="N43" s="8"/>
      <c r="O43" s="194"/>
      <c r="P43" s="195"/>
    </row>
    <row r="44" spans="1:16">
      <c r="A44" s="216">
        <v>46049</v>
      </c>
      <c r="B44" s="216" t="str">
        <f>TEXT(Tabela2234[[#This Row],[DATA]],"mmmm")</f>
        <v>janeiro</v>
      </c>
      <c r="C44" s="217" t="s">
        <v>24</v>
      </c>
      <c r="D44" s="217" t="s">
        <v>12</v>
      </c>
      <c r="E44" s="217">
        <v>1</v>
      </c>
      <c r="F44" s="217"/>
      <c r="G44" s="219"/>
      <c r="H44" s="218"/>
      <c r="I44" s="218">
        <f>Tabela2234[[#This Row],[PESO TOTAL]]/Tabela2234[[#This Row],[QUANTIDADE]]</f>
        <v>0</v>
      </c>
      <c r="J44" s="2"/>
      <c r="K44" s="193"/>
      <c r="L44" s="225"/>
      <c r="M44" s="225"/>
      <c r="N44" s="8"/>
      <c r="O44" s="194"/>
      <c r="P44" s="195"/>
    </row>
    <row r="45" spans="1:16">
      <c r="A45" s="216">
        <v>46053</v>
      </c>
      <c r="B45" s="216" t="str">
        <f>TEXT(Tabela2234[[#This Row],[DATA]],"mmmm")</f>
        <v>janeiro</v>
      </c>
      <c r="C45" s="217" t="s">
        <v>24</v>
      </c>
      <c r="D45" s="217" t="s">
        <v>12</v>
      </c>
      <c r="E45" s="217">
        <v>1</v>
      </c>
      <c r="F45" s="217"/>
      <c r="G45" s="219"/>
      <c r="H45" s="218"/>
      <c r="I45" s="218">
        <f>Tabela2234[[#This Row],[PESO TOTAL]]/Tabela2234[[#This Row],[QUANTIDADE]]</f>
        <v>0</v>
      </c>
      <c r="J45" s="2"/>
      <c r="K45" s="193"/>
      <c r="M45" s="225"/>
      <c r="N45" s="8"/>
      <c r="O45" s="194"/>
      <c r="P45" s="195"/>
    </row>
    <row r="46" spans="1:16">
      <c r="A46" s="216">
        <v>46057</v>
      </c>
      <c r="B46" s="216" t="str">
        <f>TEXT(Tabela2234[[#This Row],[DATA]],"mmmm")</f>
        <v>fevereiro</v>
      </c>
      <c r="C46" s="217" t="s">
        <v>24</v>
      </c>
      <c r="D46" s="217" t="s">
        <v>12</v>
      </c>
      <c r="E46" s="217">
        <v>1</v>
      </c>
      <c r="F46" s="217"/>
      <c r="G46" s="219"/>
      <c r="H46" s="218"/>
      <c r="I46" s="218">
        <f>Tabela2234[[#This Row],[PESO TOTAL]]/Tabela2234[[#This Row],[QUANTIDADE]]</f>
        <v>0</v>
      </c>
      <c r="J46" s="2"/>
      <c r="K46" s="224"/>
      <c r="L46" s="225"/>
      <c r="M46" s="225"/>
      <c r="N46" s="8"/>
      <c r="O46" s="194"/>
      <c r="P46" s="195"/>
    </row>
    <row r="47" spans="1:16">
      <c r="A47" s="216">
        <v>46062</v>
      </c>
      <c r="B47" s="216" t="str">
        <f>TEXT(Tabela2234[[#This Row],[DATA]],"mmmm")</f>
        <v>fevereiro</v>
      </c>
      <c r="C47" s="217" t="s">
        <v>24</v>
      </c>
      <c r="D47" s="217" t="s">
        <v>12</v>
      </c>
      <c r="E47" s="217">
        <v>1</v>
      </c>
      <c r="F47" s="217"/>
      <c r="G47" s="219"/>
      <c r="H47" s="218"/>
      <c r="I47" s="218">
        <f>Tabela2234[[#This Row],[PESO TOTAL]]/Tabela2234[[#This Row],[QUANTIDADE]]</f>
        <v>0</v>
      </c>
      <c r="J47" s="2"/>
      <c r="K47" s="193"/>
      <c r="L47" s="8"/>
      <c r="M47" s="8"/>
      <c r="N47" s="8"/>
      <c r="O47" s="194"/>
      <c r="P47" s="195"/>
    </row>
    <row r="48" spans="1:16">
      <c r="A48" s="216">
        <v>46063</v>
      </c>
      <c r="B48" s="216" t="str">
        <f>TEXT(Tabela2234[[#This Row],[DATA]],"mmmm")</f>
        <v>fevereiro</v>
      </c>
      <c r="C48" s="217" t="s">
        <v>22</v>
      </c>
      <c r="D48" s="217" t="s">
        <v>12</v>
      </c>
      <c r="E48" s="217">
        <v>1</v>
      </c>
      <c r="F48" s="217"/>
      <c r="G48" s="219"/>
      <c r="H48" s="218"/>
      <c r="I48" s="218">
        <f>Tabela2234[[#This Row],[PESO TOTAL]]/Tabela2234[[#This Row],[QUANTIDADE]]</f>
        <v>0</v>
      </c>
      <c r="J48" s="2"/>
      <c r="K48" s="193"/>
      <c r="L48" s="8"/>
      <c r="M48" s="8"/>
      <c r="N48" s="8"/>
      <c r="O48" s="194"/>
      <c r="P48" s="195"/>
    </row>
    <row r="49" spans="1:16">
      <c r="A49" s="216">
        <v>46065</v>
      </c>
      <c r="B49" s="216" t="str">
        <f>TEXT(Tabela2234[[#This Row],[DATA]],"mmmm")</f>
        <v>fevereiro</v>
      </c>
      <c r="C49" s="217" t="s">
        <v>22</v>
      </c>
      <c r="D49" s="217" t="s">
        <v>12</v>
      </c>
      <c r="E49" s="217">
        <v>1</v>
      </c>
      <c r="F49" s="217"/>
      <c r="G49" s="219"/>
      <c r="H49" s="218"/>
      <c r="I49" s="218">
        <f>Tabela2234[[#This Row],[PESO TOTAL]]/Tabela2234[[#This Row],[QUANTIDADE]]</f>
        <v>0</v>
      </c>
      <c r="J49" s="2"/>
      <c r="K49" s="193"/>
      <c r="L49" s="8"/>
      <c r="M49" s="8"/>
      <c r="N49" s="8"/>
      <c r="O49" s="194"/>
      <c r="P49" s="195"/>
    </row>
    <row r="50" spans="1:16">
      <c r="A50" s="216">
        <v>46364</v>
      </c>
      <c r="B50" s="216" t="str">
        <f>TEXT(Tabela2234[[#This Row],[DATA]],"mmmm")</f>
        <v>dezembro</v>
      </c>
      <c r="C50" s="217" t="s">
        <v>22</v>
      </c>
      <c r="D50" s="217" t="s">
        <v>1</v>
      </c>
      <c r="E50" s="217">
        <v>69</v>
      </c>
      <c r="F50" s="217"/>
      <c r="G50" s="219"/>
      <c r="H50" s="218">
        <v>10695</v>
      </c>
      <c r="I50" s="218">
        <f>Tabela2234[[#This Row],[PESO TOTAL]]/Tabela2234[[#This Row],[QUANTIDADE]]</f>
        <v>155</v>
      </c>
      <c r="J50" s="2"/>
      <c r="K50" s="193"/>
      <c r="L50" s="8"/>
      <c r="M50" s="8"/>
      <c r="N50" s="8"/>
      <c r="O50" s="194"/>
      <c r="P50" s="195"/>
    </row>
    <row r="51" spans="1:16">
      <c r="A51" s="3">
        <v>46098</v>
      </c>
      <c r="B51" s="3" t="str">
        <f>TEXT(Tabela2234[[#This Row],[DATA]],"mmmm")</f>
        <v>março</v>
      </c>
      <c r="C51" s="2" t="s">
        <v>22</v>
      </c>
      <c r="D51" s="2" t="s">
        <v>1</v>
      </c>
      <c r="E51" s="2">
        <v>6</v>
      </c>
      <c r="F51" s="2" t="s">
        <v>1</v>
      </c>
      <c r="G51" s="173"/>
      <c r="H51" s="174">
        <v>1045</v>
      </c>
      <c r="I51" s="218">
        <f>Tabela2234[[#This Row],[PESO TOTAL]]/Tabela2234[[#This Row],[QUANTIDADE]]</f>
        <v>174.16666666666666</v>
      </c>
      <c r="J51" s="2"/>
      <c r="K51" s="193"/>
      <c r="L51" s="8"/>
      <c r="M51" s="8"/>
      <c r="N51" s="8"/>
      <c r="O51" s="194"/>
      <c r="P51" s="195"/>
    </row>
    <row r="52" spans="1:16">
      <c r="A52" s="3">
        <v>46107</v>
      </c>
      <c r="B52" s="3" t="str">
        <f>TEXT(Tabela2234[[#This Row],[DATA]],"mmmm")</f>
        <v>março</v>
      </c>
      <c r="C52" s="2" t="s">
        <v>26</v>
      </c>
      <c r="D52" s="2" t="s">
        <v>11</v>
      </c>
      <c r="E52" s="2">
        <v>189</v>
      </c>
      <c r="F52" s="2" t="s">
        <v>13</v>
      </c>
      <c r="G52" s="173"/>
      <c r="H52" s="174">
        <v>115617</v>
      </c>
      <c r="I52" s="218">
        <f>Tabela2234[[#This Row],[PESO TOTAL]]/Tabela2234[[#This Row],[QUANTIDADE]]</f>
        <v>611.73015873015868</v>
      </c>
      <c r="J52" s="2"/>
      <c r="K52" s="193"/>
      <c r="L52" s="8"/>
      <c r="M52" s="8"/>
      <c r="N52" s="8"/>
      <c r="O52" s="194"/>
      <c r="P52" s="195"/>
    </row>
    <row r="53" spans="1:16">
      <c r="A53" s="3">
        <v>46119</v>
      </c>
      <c r="B53" s="3" t="str">
        <f>TEXT(Tabela2234[[#This Row],[DATA]],"mmmm")</f>
        <v>abril</v>
      </c>
      <c r="C53" s="2" t="s">
        <v>26</v>
      </c>
      <c r="D53" s="2" t="s">
        <v>12</v>
      </c>
      <c r="E53" s="2">
        <v>1</v>
      </c>
      <c r="F53" s="2"/>
      <c r="G53" s="173" t="s">
        <v>42</v>
      </c>
      <c r="H53" s="174"/>
      <c r="I53" s="218">
        <f>Tabela2234[[#This Row],[PESO TOTAL]]/Tabela2234[[#This Row],[QUANTIDADE]]</f>
        <v>0</v>
      </c>
      <c r="J53" s="2"/>
      <c r="K53" s="193"/>
      <c r="L53" s="8"/>
      <c r="M53" s="8"/>
      <c r="N53" s="8"/>
      <c r="O53" s="194"/>
      <c r="P53" s="195"/>
    </row>
    <row r="54" spans="1:16">
      <c r="A54" s="3">
        <v>46135</v>
      </c>
      <c r="B54" s="3" t="str">
        <f>TEXT(Tabela2234[[#This Row],[DATA]],"mmmm")</f>
        <v>abril</v>
      </c>
      <c r="C54" s="2" t="s">
        <v>26</v>
      </c>
      <c r="D54" s="2" t="s">
        <v>11</v>
      </c>
      <c r="E54" s="2">
        <v>81</v>
      </c>
      <c r="F54" s="2"/>
      <c r="G54" s="173"/>
      <c r="H54" s="174">
        <v>47878</v>
      </c>
      <c r="I54" s="218">
        <f>Tabela2234[[#This Row],[PESO TOTAL]]/Tabela2234[[#This Row],[QUANTIDADE]]</f>
        <v>591.08641975308637</v>
      </c>
      <c r="J54" s="2"/>
      <c r="K54" s="193"/>
      <c r="L54" s="8"/>
      <c r="M54" s="8"/>
      <c r="N54" s="8"/>
      <c r="O54" s="194"/>
      <c r="P54" s="195"/>
    </row>
    <row r="55" spans="1:16">
      <c r="A55" s="3">
        <v>46140</v>
      </c>
      <c r="B55" s="3" t="str">
        <f>TEXT(Tabela2234[[#This Row],[DATA]],"mmmm")</f>
        <v>abril</v>
      </c>
      <c r="C55" s="2" t="s">
        <v>26</v>
      </c>
      <c r="D55" s="2" t="s">
        <v>12</v>
      </c>
      <c r="E55" s="2">
        <v>1</v>
      </c>
      <c r="F55" s="2" t="s">
        <v>12</v>
      </c>
      <c r="G55" s="173" t="s">
        <v>12</v>
      </c>
      <c r="H55" s="174"/>
      <c r="I55" s="218">
        <f>Tabela2234[[#This Row],[PESO TOTAL]]/Tabela2234[[#This Row],[QUANTIDADE]]</f>
        <v>0</v>
      </c>
      <c r="J55" s="2"/>
      <c r="K55" s="193"/>
      <c r="L55" s="8"/>
      <c r="M55" s="8"/>
      <c r="N55" s="8"/>
      <c r="O55" s="194"/>
      <c r="P55" s="195"/>
    </row>
    <row r="56" spans="1:16">
      <c r="A56" s="3">
        <v>46139</v>
      </c>
      <c r="B56" s="3" t="str">
        <f>TEXT(Tabela2234[[#This Row],[DATA]],"mmmm")</f>
        <v>abril</v>
      </c>
      <c r="C56" s="2" t="s">
        <v>22</v>
      </c>
      <c r="D56" s="2" t="s">
        <v>1</v>
      </c>
      <c r="E56" s="2">
        <v>268</v>
      </c>
      <c r="F56" s="2"/>
      <c r="G56" s="173"/>
      <c r="H56" s="174">
        <v>36116</v>
      </c>
      <c r="I56" s="218">
        <f>Tabela2234[[#This Row],[PESO TOTAL]]/Tabela2234[[#This Row],[QUANTIDADE]]</f>
        <v>134.76119402985074</v>
      </c>
      <c r="J56" s="2"/>
      <c r="K56" s="193"/>
      <c r="L56" s="8"/>
      <c r="M56" s="8"/>
      <c r="N56" s="8"/>
      <c r="O56" s="194"/>
      <c r="P56" s="195"/>
    </row>
    <row r="57" spans="1:16">
      <c r="A57" s="3"/>
      <c r="B57" s="3" t="str">
        <f>TEXT(Tabela2234[[#This Row],[DATA]],"mmmm")</f>
        <v>janeiro</v>
      </c>
      <c r="C57" s="2"/>
      <c r="D57" s="2"/>
      <c r="E57" s="2"/>
      <c r="F57" s="2"/>
      <c r="G57" s="173"/>
      <c r="H57" s="174"/>
      <c r="I57" s="218" t="e">
        <f>Tabela2234[[#This Row],[PESO TOTAL]]/Tabela2234[[#This Row],[QUANTIDADE]]</f>
        <v>#DIV/0!</v>
      </c>
      <c r="J57" s="2"/>
      <c r="K57" s="193"/>
      <c r="L57" s="8"/>
      <c r="M57" s="8"/>
      <c r="N57" s="8"/>
      <c r="O57" s="194"/>
      <c r="P57" s="195"/>
    </row>
    <row r="58" spans="1:16">
      <c r="A58" s="3"/>
      <c r="B58" s="3" t="str">
        <f>TEXT(Tabela2234[[#This Row],[DATA]],"mmmm")</f>
        <v>janeiro</v>
      </c>
      <c r="C58" s="2"/>
      <c r="D58" s="2"/>
      <c r="E58" s="2"/>
      <c r="F58" s="2"/>
      <c r="G58" s="173"/>
      <c r="H58" s="174"/>
      <c r="I58" s="218" t="e">
        <f>Tabela2234[[#This Row],[PESO TOTAL]]/Tabela2234[[#This Row],[QUANTIDADE]]</f>
        <v>#DIV/0!</v>
      </c>
      <c r="J58" s="2"/>
      <c r="K58" s="193"/>
      <c r="L58" s="8"/>
      <c r="M58" s="8"/>
      <c r="N58" s="8"/>
      <c r="O58" s="194"/>
      <c r="P58" s="195"/>
    </row>
    <row r="59" spans="1:16">
      <c r="A59" s="3"/>
      <c r="B59" s="3" t="str">
        <f>TEXT(Tabela2234[[#This Row],[DATA]],"mmmm")</f>
        <v>janeiro</v>
      </c>
      <c r="C59" s="2"/>
      <c r="D59" s="2"/>
      <c r="E59" s="2"/>
      <c r="F59" s="2"/>
      <c r="G59" s="173"/>
      <c r="H59" s="174"/>
      <c r="I59" s="218" t="e">
        <f>Tabela2234[[#This Row],[PESO TOTAL]]/Tabela2234[[#This Row],[QUANTIDADE]]</f>
        <v>#DIV/0!</v>
      </c>
      <c r="J59" s="2"/>
      <c r="K59" s="193"/>
      <c r="L59" s="8"/>
      <c r="M59" s="8"/>
      <c r="N59" s="8"/>
      <c r="O59" s="194"/>
      <c r="P59" s="195"/>
    </row>
    <row r="60" spans="1:16">
      <c r="A60" s="3"/>
      <c r="B60" s="3" t="str">
        <f>TEXT(Tabela2234[[#This Row],[DATA]],"mmmm")</f>
        <v>janeiro</v>
      </c>
      <c r="C60" s="2"/>
      <c r="D60" s="2"/>
      <c r="E60" s="2"/>
      <c r="F60" s="2"/>
      <c r="G60" s="173"/>
      <c r="H60" s="174"/>
      <c r="I60" s="218" t="e">
        <f>Tabela2234[[#This Row],[PESO TOTAL]]/Tabela2234[[#This Row],[QUANTIDADE]]</f>
        <v>#DIV/0!</v>
      </c>
      <c r="J60" s="2"/>
      <c r="K60" s="193"/>
      <c r="L60" s="8"/>
      <c r="M60" s="8"/>
      <c r="N60" s="8"/>
      <c r="O60" s="194"/>
      <c r="P60" s="195"/>
    </row>
    <row r="61" spans="1:16">
      <c r="A61" s="3"/>
      <c r="B61" s="3" t="str">
        <f>TEXT(Tabela2234[[#This Row],[DATA]],"mmmm")</f>
        <v>janeiro</v>
      </c>
      <c r="C61" s="2"/>
      <c r="D61" s="2"/>
      <c r="E61" s="2"/>
      <c r="F61" s="2"/>
      <c r="G61" s="173"/>
      <c r="H61" s="174"/>
      <c r="I61" s="218" t="e">
        <f>Tabela2234[[#This Row],[PESO TOTAL]]/Tabela2234[[#This Row],[QUANTIDADE]]</f>
        <v>#DIV/0!</v>
      </c>
      <c r="J61" s="2"/>
      <c r="K61" s="193"/>
      <c r="L61" s="8"/>
      <c r="M61" s="8"/>
      <c r="N61" s="8"/>
      <c r="O61" s="194"/>
      <c r="P61" s="195"/>
    </row>
    <row r="62" spans="1:16">
      <c r="A62" s="3"/>
      <c r="B62" s="3" t="str">
        <f>TEXT(Tabela2234[[#This Row],[DATA]],"mmmm")</f>
        <v>janeiro</v>
      </c>
      <c r="C62" s="2"/>
      <c r="D62" s="2"/>
      <c r="E62" s="2"/>
      <c r="F62" s="2"/>
      <c r="G62" s="173"/>
      <c r="H62" s="174"/>
      <c r="I62" s="218" t="e">
        <f>Tabela2234[[#This Row],[PESO TOTAL]]/Tabela2234[[#This Row],[QUANTIDADE]]</f>
        <v>#DIV/0!</v>
      </c>
      <c r="J62" s="2"/>
      <c r="K62" s="193"/>
      <c r="L62" s="8"/>
      <c r="M62" s="8"/>
      <c r="N62" s="8"/>
      <c r="O62" s="194"/>
      <c r="P62" s="195"/>
    </row>
    <row r="63" spans="1:16">
      <c r="A63" s="3"/>
      <c r="B63" s="3" t="str">
        <f>TEXT(Tabela2234[[#This Row],[DATA]],"mmmm")</f>
        <v>janeiro</v>
      </c>
      <c r="C63" s="2"/>
      <c r="D63" s="2"/>
      <c r="E63" s="2"/>
      <c r="F63" s="2"/>
      <c r="G63" s="173"/>
      <c r="H63" s="174"/>
      <c r="I63" s="218" t="e">
        <f>Tabela2234[[#This Row],[PESO TOTAL]]/Tabela2234[[#This Row],[QUANTIDADE]]</f>
        <v>#DIV/0!</v>
      </c>
      <c r="J63" s="2"/>
      <c r="K63" s="193"/>
      <c r="L63" s="8"/>
      <c r="M63" s="8"/>
      <c r="N63" s="8"/>
      <c r="O63" s="194"/>
      <c r="P63" s="195"/>
    </row>
    <row r="64" spans="1:16">
      <c r="A64" s="3"/>
      <c r="B64" s="3" t="str">
        <f>TEXT(Tabela2234[[#This Row],[DATA]],"mmmm")</f>
        <v>janeiro</v>
      </c>
      <c r="C64" s="2"/>
      <c r="D64" s="2"/>
      <c r="E64" s="2"/>
      <c r="F64" s="2"/>
      <c r="G64" s="173"/>
      <c r="H64" s="174"/>
      <c r="I64" s="218" t="e">
        <f>Tabela2234[[#This Row],[PESO TOTAL]]/Tabela2234[[#This Row],[QUANTIDADE]]</f>
        <v>#DIV/0!</v>
      </c>
      <c r="J64" s="2"/>
      <c r="K64" s="193"/>
      <c r="L64" s="8"/>
      <c r="M64" s="8"/>
      <c r="N64" s="8"/>
      <c r="O64" s="194"/>
      <c r="P64" s="195"/>
    </row>
    <row r="65" spans="1:16">
      <c r="A65" s="3"/>
      <c r="B65" s="3" t="str">
        <f>TEXT(Tabela2234[[#This Row],[DATA]],"mmmm")</f>
        <v>janeiro</v>
      </c>
      <c r="C65" s="2"/>
      <c r="D65" s="2"/>
      <c r="E65" s="2"/>
      <c r="F65" s="2"/>
      <c r="G65" s="173"/>
      <c r="H65" s="174"/>
      <c r="I65" s="218" t="e">
        <f>Tabela2234[[#This Row],[PESO TOTAL]]/Tabela2234[[#This Row],[QUANTIDADE]]</f>
        <v>#DIV/0!</v>
      </c>
      <c r="J65" s="2"/>
      <c r="K65" s="193"/>
      <c r="L65" s="8"/>
      <c r="M65" s="8"/>
      <c r="N65" s="8"/>
      <c r="O65" s="194"/>
      <c r="P65" s="195"/>
    </row>
    <row r="66" spans="1:16">
      <c r="A66" s="3"/>
      <c r="B66" s="3" t="str">
        <f>TEXT(Tabela2234[[#This Row],[DATA]],"mmmm")</f>
        <v>janeiro</v>
      </c>
      <c r="C66" s="2"/>
      <c r="D66" s="2"/>
      <c r="E66" s="2"/>
      <c r="F66" s="2"/>
      <c r="G66" s="173"/>
      <c r="H66" s="174"/>
      <c r="I66" s="218" t="e">
        <f>Tabela2234[[#This Row],[PESO TOTAL]]/Tabela2234[[#This Row],[QUANTIDADE]]</f>
        <v>#DIV/0!</v>
      </c>
      <c r="J66" s="2"/>
      <c r="K66" s="193"/>
      <c r="L66" s="8"/>
      <c r="M66" s="8"/>
      <c r="N66" s="8"/>
      <c r="O66" s="194"/>
      <c r="P66" s="195"/>
    </row>
    <row r="67" spans="1:16">
      <c r="A67" s="3"/>
      <c r="B67" s="3" t="str">
        <f>TEXT(Tabela2234[[#This Row],[DATA]],"mmmm")</f>
        <v>janeiro</v>
      </c>
      <c r="C67" s="2"/>
      <c r="D67" s="2"/>
      <c r="E67" s="2"/>
      <c r="F67" s="2"/>
      <c r="G67" s="173"/>
      <c r="H67" s="174"/>
      <c r="I67" s="218" t="e">
        <f>Tabela2234[[#This Row],[PESO TOTAL]]/Tabela2234[[#This Row],[QUANTIDADE]]</f>
        <v>#DIV/0!</v>
      </c>
      <c r="J67" s="2"/>
      <c r="K67" s="193"/>
      <c r="L67" s="8"/>
      <c r="M67" s="8"/>
      <c r="N67" s="8"/>
      <c r="O67" s="194"/>
      <c r="P67" s="195"/>
    </row>
    <row r="68" spans="1:16">
      <c r="A68" s="3"/>
      <c r="B68" s="3" t="str">
        <f>TEXT(Tabela2234[[#This Row],[DATA]],"mmmm")</f>
        <v>janeiro</v>
      </c>
      <c r="C68" s="2"/>
      <c r="D68" s="2"/>
      <c r="E68" s="2"/>
      <c r="F68" s="2"/>
      <c r="G68" s="173"/>
      <c r="H68" s="174"/>
      <c r="I68" s="218" t="e">
        <f>Tabela2234[[#This Row],[PESO TOTAL]]/Tabela2234[[#This Row],[QUANTIDADE]]</f>
        <v>#DIV/0!</v>
      </c>
      <c r="J68" s="2"/>
      <c r="K68" s="193"/>
      <c r="L68" s="8"/>
      <c r="M68" s="8"/>
      <c r="N68" s="8"/>
      <c r="O68" s="194"/>
      <c r="P68" s="195"/>
    </row>
    <row r="69" spans="1:16">
      <c r="A69" s="3"/>
      <c r="B69" s="3" t="str">
        <f>TEXT(Tabela2234[[#This Row],[DATA]],"mmmm")</f>
        <v>janeiro</v>
      </c>
      <c r="C69" s="2"/>
      <c r="D69" s="2"/>
      <c r="E69" s="2"/>
      <c r="F69" s="2"/>
      <c r="G69" s="173"/>
      <c r="H69" s="174"/>
      <c r="I69" s="218" t="e">
        <f>Tabela2234[[#This Row],[PESO TOTAL]]/Tabela2234[[#This Row],[QUANTIDADE]]</f>
        <v>#DIV/0!</v>
      </c>
      <c r="J69" s="2"/>
      <c r="K69" s="193"/>
      <c r="L69" s="8"/>
      <c r="M69" s="8"/>
      <c r="N69" s="8"/>
      <c r="O69" s="194"/>
      <c r="P69" s="195"/>
    </row>
    <row r="70" spans="1:16">
      <c r="A70" s="3"/>
      <c r="B70" s="3" t="str">
        <f>TEXT(Tabela2234[[#This Row],[DATA]],"mmmm")</f>
        <v>janeiro</v>
      </c>
      <c r="C70" s="2"/>
      <c r="D70" s="2"/>
      <c r="E70" s="2"/>
      <c r="F70" s="2"/>
      <c r="G70" s="173"/>
      <c r="H70" s="174"/>
      <c r="I70" s="218" t="e">
        <f>Tabela2234[[#This Row],[PESO TOTAL]]/Tabela2234[[#This Row],[QUANTIDADE]]</f>
        <v>#DIV/0!</v>
      </c>
      <c r="J70" s="2"/>
      <c r="K70" s="193"/>
      <c r="L70" s="8"/>
      <c r="M70" s="8"/>
      <c r="N70" s="8"/>
      <c r="O70" s="194"/>
      <c r="P70" s="195"/>
    </row>
    <row r="71" spans="1:16">
      <c r="A71" s="3"/>
      <c r="B71" s="3" t="str">
        <f>TEXT(Tabela2234[[#This Row],[DATA]],"mmmm")</f>
        <v>janeiro</v>
      </c>
      <c r="C71" s="2"/>
      <c r="D71" s="2"/>
      <c r="E71" s="2"/>
      <c r="F71" s="2"/>
      <c r="G71" s="173"/>
      <c r="H71" s="174"/>
      <c r="I71" s="218" t="e">
        <f>Tabela2234[[#This Row],[PESO TOTAL]]/Tabela2234[[#This Row],[QUANTIDADE]]</f>
        <v>#DIV/0!</v>
      </c>
      <c r="J71" s="2"/>
      <c r="K71" s="193"/>
      <c r="L71" s="8"/>
      <c r="M71" s="8"/>
      <c r="N71" s="8"/>
      <c r="O71" s="194"/>
      <c r="P71" s="195"/>
    </row>
    <row r="72" spans="1:16">
      <c r="A72" s="3"/>
      <c r="B72" s="3" t="str">
        <f>TEXT(Tabela2234[[#This Row],[DATA]],"mmmm")</f>
        <v>janeiro</v>
      </c>
      <c r="C72" s="2"/>
      <c r="D72" s="2"/>
      <c r="E72" s="2"/>
      <c r="F72" s="2"/>
      <c r="G72" s="173"/>
      <c r="H72" s="174"/>
      <c r="I72" s="218" t="e">
        <f>Tabela2234[[#This Row],[PESO TOTAL]]/Tabela2234[[#This Row],[QUANTIDADE]]</f>
        <v>#DIV/0!</v>
      </c>
      <c r="J72" s="2"/>
      <c r="K72" s="193"/>
      <c r="L72" s="8"/>
      <c r="M72" s="8"/>
      <c r="N72" s="8"/>
      <c r="O72" s="194"/>
      <c r="P72" s="195"/>
    </row>
    <row r="73" spans="1:16">
      <c r="A73" s="3"/>
      <c r="B73" s="3" t="str">
        <f>TEXT(Tabela2234[[#This Row],[DATA]],"mmmm")</f>
        <v>janeiro</v>
      </c>
      <c r="C73" s="2"/>
      <c r="D73" s="2"/>
      <c r="E73" s="2"/>
      <c r="F73" s="2"/>
      <c r="G73" s="173"/>
      <c r="H73" s="174"/>
      <c r="I73" s="218" t="e">
        <f>Tabela2234[[#This Row],[PESO TOTAL]]/Tabela2234[[#This Row],[QUANTIDADE]]</f>
        <v>#DIV/0!</v>
      </c>
      <c r="J73" s="2"/>
      <c r="K73" s="193"/>
      <c r="L73" s="8"/>
      <c r="M73" s="8"/>
      <c r="N73" s="8"/>
      <c r="O73" s="194"/>
      <c r="P73" s="195"/>
    </row>
    <row r="74" spans="1:16">
      <c r="A74" s="3"/>
      <c r="B74" s="3" t="str">
        <f>TEXT(Tabela2234[[#This Row],[DATA]],"mmmm")</f>
        <v>janeiro</v>
      </c>
      <c r="C74" s="2"/>
      <c r="D74" s="2"/>
      <c r="E74" s="2"/>
      <c r="F74" s="2"/>
      <c r="G74" s="173"/>
      <c r="H74" s="174"/>
      <c r="I74" s="218" t="e">
        <f>Tabela2234[[#This Row],[PESO TOTAL]]/Tabela2234[[#This Row],[QUANTIDADE]]</f>
        <v>#DIV/0!</v>
      </c>
      <c r="J74" s="2"/>
      <c r="K74" s="193"/>
      <c r="L74" s="8"/>
      <c r="M74" s="8"/>
      <c r="N74" s="8"/>
      <c r="O74" s="194"/>
      <c r="P74" s="195"/>
    </row>
    <row r="75" spans="1:16">
      <c r="A75" s="3"/>
      <c r="B75" s="3" t="str">
        <f>TEXT(Tabela2234[[#This Row],[DATA]],"mmmm")</f>
        <v>janeiro</v>
      </c>
      <c r="C75" s="2"/>
      <c r="D75" s="2"/>
      <c r="E75" s="2"/>
      <c r="F75" s="2"/>
      <c r="G75" s="173"/>
      <c r="H75" s="174"/>
      <c r="I75" s="218" t="e">
        <f>Tabela2234[[#This Row],[PESO TOTAL]]/Tabela2234[[#This Row],[QUANTIDADE]]</f>
        <v>#DIV/0!</v>
      </c>
      <c r="J75" s="2"/>
      <c r="K75" s="193"/>
      <c r="L75" s="8"/>
      <c r="M75" s="8"/>
      <c r="N75" s="8"/>
      <c r="O75" s="194"/>
      <c r="P75" s="195"/>
    </row>
    <row r="76" spans="1:16">
      <c r="A76" s="3"/>
      <c r="B76" s="3" t="str">
        <f>TEXT(Tabela2234[[#This Row],[DATA]],"mmmm")</f>
        <v>janeiro</v>
      </c>
      <c r="C76" s="2"/>
      <c r="D76" s="2"/>
      <c r="E76" s="2"/>
      <c r="F76" s="2"/>
      <c r="G76" s="173"/>
      <c r="H76" s="174"/>
      <c r="I76" s="218" t="e">
        <f>Tabela2234[[#This Row],[PESO TOTAL]]/Tabela2234[[#This Row],[QUANTIDADE]]</f>
        <v>#DIV/0!</v>
      </c>
      <c r="J76" s="2"/>
      <c r="K76" s="193"/>
      <c r="L76" s="8"/>
      <c r="M76" s="8"/>
      <c r="N76" s="8"/>
      <c r="O76" s="194"/>
      <c r="P76" s="195"/>
    </row>
    <row r="77" spans="1:16">
      <c r="A77" s="3"/>
      <c r="B77" s="3" t="str">
        <f>TEXT(Tabela2234[[#This Row],[DATA]],"mmmm")</f>
        <v>janeiro</v>
      </c>
      <c r="C77" s="2"/>
      <c r="D77" s="2"/>
      <c r="E77" s="2"/>
      <c r="F77" s="2"/>
      <c r="G77" s="173"/>
      <c r="H77" s="174"/>
      <c r="I77" s="218" t="e">
        <f>Tabela2234[[#This Row],[PESO TOTAL]]/Tabela2234[[#This Row],[QUANTIDADE]]</f>
        <v>#DIV/0!</v>
      </c>
      <c r="J77" s="2"/>
      <c r="K77" s="193"/>
      <c r="L77" s="8"/>
      <c r="M77" s="8"/>
      <c r="N77" s="8"/>
      <c r="O77" s="194"/>
      <c r="P77" s="195"/>
    </row>
    <row r="78" spans="1:16">
      <c r="A78" s="3"/>
      <c r="B78" s="3" t="str">
        <f>TEXT(Tabela2234[[#This Row],[DATA]],"mmmm")</f>
        <v>janeiro</v>
      </c>
      <c r="C78" s="2"/>
      <c r="D78" s="2"/>
      <c r="E78" s="2"/>
      <c r="F78" s="2"/>
      <c r="G78" s="173"/>
      <c r="H78" s="174"/>
      <c r="I78" s="218" t="e">
        <f>Tabela2234[[#This Row],[PESO TOTAL]]/Tabela2234[[#This Row],[QUANTIDADE]]</f>
        <v>#DIV/0!</v>
      </c>
      <c r="J78" s="2"/>
      <c r="K78" s="193"/>
      <c r="L78" s="8"/>
      <c r="M78" s="8"/>
      <c r="N78" s="8"/>
      <c r="O78" s="194"/>
      <c r="P78" s="195"/>
    </row>
    <row r="79" spans="1:16">
      <c r="A79" s="3"/>
      <c r="B79" s="3" t="str">
        <f>TEXT(Tabela2234[[#This Row],[DATA]],"mmmm")</f>
        <v>janeiro</v>
      </c>
      <c r="C79" s="2"/>
      <c r="D79" s="2"/>
      <c r="E79" s="2"/>
      <c r="F79" s="2"/>
      <c r="G79" s="173"/>
      <c r="H79" s="174"/>
      <c r="I79" s="218" t="e">
        <f>Tabela2234[[#This Row],[PESO TOTAL]]/Tabela2234[[#This Row],[QUANTIDADE]]</f>
        <v>#DIV/0!</v>
      </c>
      <c r="J79" s="2"/>
      <c r="K79" s="193"/>
      <c r="L79" s="8"/>
      <c r="M79" s="8"/>
      <c r="N79" s="8"/>
      <c r="O79" s="194"/>
      <c r="P79" s="195"/>
    </row>
    <row r="80" spans="1:16">
      <c r="A80" s="3"/>
      <c r="B80" s="3" t="str">
        <f>TEXT(Tabela2234[[#This Row],[DATA]],"mmmm")</f>
        <v>janeiro</v>
      </c>
      <c r="C80" s="2"/>
      <c r="D80" s="2"/>
      <c r="E80" s="2"/>
      <c r="F80" s="2"/>
      <c r="G80" s="173"/>
      <c r="H80" s="174"/>
      <c r="I80" s="218" t="e">
        <f>Tabela2234[[#This Row],[PESO TOTAL]]/Tabela2234[[#This Row],[QUANTIDADE]]</f>
        <v>#DIV/0!</v>
      </c>
      <c r="J80" s="2"/>
      <c r="K80" s="193"/>
      <c r="L80" s="8"/>
      <c r="M80" s="8"/>
      <c r="N80" s="8"/>
      <c r="O80" s="194"/>
      <c r="P80" s="195"/>
    </row>
    <row r="81" spans="1:16">
      <c r="A81" s="3"/>
      <c r="B81" s="3" t="str">
        <f>TEXT(Tabela2234[[#This Row],[DATA]],"mmmm")</f>
        <v>janeiro</v>
      </c>
      <c r="C81" s="2"/>
      <c r="D81" s="2"/>
      <c r="E81" s="2"/>
      <c r="F81" s="2"/>
      <c r="G81" s="173"/>
      <c r="H81" s="174"/>
      <c r="I81" s="218" t="e">
        <f>Tabela2234[[#This Row],[PESO TOTAL]]/Tabela2234[[#This Row],[QUANTIDADE]]</f>
        <v>#DIV/0!</v>
      </c>
      <c r="J81" s="2"/>
      <c r="K81" s="193"/>
      <c r="L81" s="8"/>
      <c r="M81" s="8"/>
      <c r="N81" s="8"/>
      <c r="O81" s="194"/>
      <c r="P81" s="195"/>
    </row>
    <row r="82" spans="1:16">
      <c r="A82" s="3"/>
      <c r="B82" s="3" t="str">
        <f>TEXT(Tabela2234[[#This Row],[DATA]],"mmmm")</f>
        <v>janeiro</v>
      </c>
      <c r="C82" s="2"/>
      <c r="D82" s="2"/>
      <c r="E82" s="2"/>
      <c r="F82" s="2"/>
      <c r="G82" s="173"/>
      <c r="H82" s="174"/>
      <c r="I82" s="218" t="e">
        <f>Tabela2234[[#This Row],[PESO TOTAL]]/Tabela2234[[#This Row],[QUANTIDADE]]</f>
        <v>#DIV/0!</v>
      </c>
      <c r="J82" s="2"/>
      <c r="K82" s="193"/>
      <c r="L82" s="8"/>
      <c r="M82" s="8"/>
      <c r="N82" s="8"/>
      <c r="O82" s="194"/>
      <c r="P82" s="195"/>
    </row>
    <row r="83" spans="1:16">
      <c r="A83" s="3"/>
      <c r="B83" s="3" t="str">
        <f>TEXT(Tabela2234[[#This Row],[DATA]],"mmmm")</f>
        <v>janeiro</v>
      </c>
      <c r="C83" s="2"/>
      <c r="D83" s="2"/>
      <c r="E83" s="2"/>
      <c r="F83" s="2"/>
      <c r="G83" s="173"/>
      <c r="H83" s="174"/>
      <c r="I83" s="218" t="e">
        <f>Tabela2234[[#This Row],[PESO TOTAL]]/Tabela2234[[#This Row],[QUANTIDADE]]</f>
        <v>#DIV/0!</v>
      </c>
      <c r="J83" s="2"/>
      <c r="K83" s="193"/>
      <c r="L83" s="8"/>
      <c r="M83" s="8"/>
      <c r="N83" s="8"/>
      <c r="O83" s="194"/>
      <c r="P83" s="195"/>
    </row>
    <row r="84" spans="1:16">
      <c r="A84" s="3"/>
      <c r="B84" s="3" t="str">
        <f>TEXT(Tabela2234[[#This Row],[DATA]],"mmmm")</f>
        <v>janeiro</v>
      </c>
      <c r="C84" s="2"/>
      <c r="D84" s="2"/>
      <c r="E84" s="2"/>
      <c r="F84" s="2"/>
      <c r="G84" s="173"/>
      <c r="H84" s="174"/>
      <c r="I84" s="218" t="e">
        <f>Tabela2234[[#This Row],[PESO TOTAL]]/Tabela2234[[#This Row],[QUANTIDADE]]</f>
        <v>#DIV/0!</v>
      </c>
      <c r="J84" s="2"/>
      <c r="K84" s="193"/>
      <c r="L84" s="8"/>
      <c r="M84" s="8"/>
      <c r="N84" s="8"/>
      <c r="O84" s="194"/>
      <c r="P84" s="195"/>
    </row>
    <row r="85" spans="1:16">
      <c r="A85" s="3"/>
      <c r="B85" s="3" t="str">
        <f>TEXT(Tabela2234[[#This Row],[DATA]],"mmmm")</f>
        <v>janeiro</v>
      </c>
      <c r="C85" s="2"/>
      <c r="D85" s="2"/>
      <c r="E85" s="2"/>
      <c r="F85" s="2"/>
      <c r="G85" s="173"/>
      <c r="H85" s="174"/>
      <c r="I85" s="218" t="e">
        <f>Tabela2234[[#This Row],[PESO TOTAL]]/Tabela2234[[#This Row],[QUANTIDADE]]</f>
        <v>#DIV/0!</v>
      </c>
      <c r="J85" s="2"/>
      <c r="K85" s="193"/>
      <c r="L85" s="8"/>
      <c r="M85" s="8"/>
      <c r="N85" s="8"/>
      <c r="O85" s="194"/>
      <c r="P85" s="195"/>
    </row>
    <row r="86" spans="1:16">
      <c r="A86" s="3"/>
      <c r="B86" s="3" t="str">
        <f>TEXT(Tabela2234[[#This Row],[DATA]],"mmmm")</f>
        <v>janeiro</v>
      </c>
      <c r="C86" s="2"/>
      <c r="D86" s="2"/>
      <c r="E86" s="2"/>
      <c r="F86" s="2"/>
      <c r="G86" s="173"/>
      <c r="H86" s="174"/>
      <c r="I86" s="218" t="e">
        <f>Tabela2234[[#This Row],[PESO TOTAL]]/Tabela2234[[#This Row],[QUANTIDADE]]</f>
        <v>#DIV/0!</v>
      </c>
      <c r="J86" s="2"/>
      <c r="K86" s="193"/>
      <c r="L86" s="8"/>
      <c r="M86" s="8"/>
      <c r="N86" s="8"/>
      <c r="O86" s="194"/>
      <c r="P86" s="195"/>
    </row>
    <row r="87" spans="1:16">
      <c r="A87" s="3"/>
      <c r="B87" s="3" t="str">
        <f>TEXT(Tabela2234[[#This Row],[DATA]],"mmmm")</f>
        <v>janeiro</v>
      </c>
      <c r="C87" s="2"/>
      <c r="D87" s="2"/>
      <c r="E87" s="2"/>
      <c r="F87" s="2"/>
      <c r="G87" s="173"/>
      <c r="H87" s="174"/>
      <c r="I87" s="218" t="e">
        <f>Tabela2234[[#This Row],[PESO TOTAL]]/Tabela2234[[#This Row],[QUANTIDADE]]</f>
        <v>#DIV/0!</v>
      </c>
      <c r="J87" s="2"/>
      <c r="K87" s="193"/>
      <c r="L87" s="8"/>
      <c r="M87" s="8"/>
      <c r="N87" s="8"/>
      <c r="O87" s="194"/>
      <c r="P87" s="195"/>
    </row>
    <row r="88" spans="1:16">
      <c r="A88" s="3"/>
      <c r="B88" s="3" t="str">
        <f>TEXT(Tabela2234[[#This Row],[DATA]],"mmmm")</f>
        <v>janeiro</v>
      </c>
      <c r="C88" s="2"/>
      <c r="D88" s="2"/>
      <c r="E88" s="2"/>
      <c r="F88" s="2"/>
      <c r="G88" s="173"/>
      <c r="H88" s="174"/>
      <c r="I88" s="218" t="e">
        <f>Tabela2234[[#This Row],[PESO TOTAL]]/Tabela2234[[#This Row],[QUANTIDADE]]</f>
        <v>#DIV/0!</v>
      </c>
      <c r="J88" s="2"/>
      <c r="K88" s="193"/>
      <c r="L88" s="8"/>
      <c r="M88" s="8"/>
      <c r="N88" s="8"/>
      <c r="O88" s="194"/>
      <c r="P88" s="195"/>
    </row>
    <row r="89" spans="1:16">
      <c r="A89" s="3"/>
      <c r="B89" s="3" t="str">
        <f>TEXT(Tabela2234[[#This Row],[DATA]],"mmmm")</f>
        <v>janeiro</v>
      </c>
      <c r="C89" s="2"/>
      <c r="D89" s="2"/>
      <c r="E89" s="2"/>
      <c r="F89" s="2"/>
      <c r="G89" s="173"/>
      <c r="H89" s="174"/>
      <c r="I89" s="218" t="e">
        <f>Tabela2234[[#This Row],[PESO TOTAL]]/Tabela2234[[#This Row],[QUANTIDADE]]</f>
        <v>#DIV/0!</v>
      </c>
      <c r="J89" s="2"/>
      <c r="K89" s="193"/>
      <c r="L89" s="8"/>
      <c r="M89" s="8"/>
      <c r="N89" s="8"/>
      <c r="O89" s="194"/>
      <c r="P89" s="195"/>
    </row>
    <row r="90" spans="1:16">
      <c r="A90" s="3"/>
      <c r="B90" s="3" t="str">
        <f>TEXT(Tabela2234[[#This Row],[DATA]],"mmmm")</f>
        <v>janeiro</v>
      </c>
      <c r="C90" s="2"/>
      <c r="D90" s="2"/>
      <c r="E90" s="2"/>
      <c r="F90" s="2"/>
      <c r="G90" s="173"/>
      <c r="H90" s="174"/>
      <c r="I90" s="218" t="e">
        <f>Tabela2234[[#This Row],[PESO TOTAL]]/Tabela2234[[#This Row],[QUANTIDADE]]</f>
        <v>#DIV/0!</v>
      </c>
      <c r="J90" s="2"/>
      <c r="K90" s="193"/>
      <c r="L90" s="8"/>
      <c r="M90" s="8"/>
      <c r="N90" s="8"/>
      <c r="O90" s="194"/>
      <c r="P90" s="195"/>
    </row>
    <row r="91" spans="1:16">
      <c r="A91" s="3"/>
      <c r="B91" s="3" t="str">
        <f>TEXT(Tabela2234[[#This Row],[DATA]],"mmmm")</f>
        <v>janeiro</v>
      </c>
      <c r="C91" s="2"/>
      <c r="D91" s="2"/>
      <c r="E91" s="2"/>
      <c r="F91" s="2"/>
      <c r="G91" s="173"/>
      <c r="H91" s="174"/>
      <c r="I91" s="218" t="e">
        <f>Tabela2234[[#This Row],[PESO TOTAL]]/Tabela2234[[#This Row],[QUANTIDADE]]</f>
        <v>#DIV/0!</v>
      </c>
      <c r="J91" s="2"/>
      <c r="K91" s="193"/>
      <c r="L91" s="8"/>
      <c r="M91" s="8"/>
      <c r="N91" s="8"/>
      <c r="O91" s="194"/>
      <c r="P91" s="195"/>
    </row>
    <row r="92" spans="1:16">
      <c r="A92" s="3"/>
      <c r="B92" s="3" t="str">
        <f>TEXT(Tabela2234[[#This Row],[DATA]],"mmmm")</f>
        <v>janeiro</v>
      </c>
      <c r="C92" s="2"/>
      <c r="D92" s="2"/>
      <c r="E92" s="2"/>
      <c r="F92" s="2"/>
      <c r="G92" s="173"/>
      <c r="H92" s="174"/>
      <c r="I92" s="218" t="e">
        <f>Tabela2234[[#This Row],[PESO TOTAL]]/Tabela2234[[#This Row],[QUANTIDADE]]</f>
        <v>#DIV/0!</v>
      </c>
      <c r="J92" s="2"/>
      <c r="K92" s="193"/>
      <c r="L92" s="8"/>
      <c r="M92" s="8"/>
      <c r="N92" s="8"/>
      <c r="O92" s="194"/>
      <c r="P92" s="195"/>
    </row>
    <row r="93" spans="1:16">
      <c r="A93" s="3"/>
      <c r="B93" s="3" t="str">
        <f>TEXT(Tabela2234[[#This Row],[DATA]],"mmmm")</f>
        <v>janeiro</v>
      </c>
      <c r="C93" s="2"/>
      <c r="D93" s="2"/>
      <c r="E93" s="2"/>
      <c r="F93" s="2"/>
      <c r="G93" s="173"/>
      <c r="H93" s="174"/>
      <c r="I93" s="218" t="e">
        <f>Tabela2234[[#This Row],[PESO TOTAL]]/Tabela2234[[#This Row],[QUANTIDADE]]</f>
        <v>#DIV/0!</v>
      </c>
      <c r="J93" s="2"/>
      <c r="K93" s="193"/>
      <c r="L93" s="8"/>
      <c r="M93" s="8"/>
      <c r="N93" s="8"/>
      <c r="O93" s="194"/>
      <c r="P93" s="195"/>
    </row>
    <row r="94" spans="1:16">
      <c r="A94" s="3"/>
      <c r="B94" s="3" t="str">
        <f>TEXT(Tabela2234[[#This Row],[DATA]],"mmmm")</f>
        <v>janeiro</v>
      </c>
      <c r="C94" s="2"/>
      <c r="D94" s="2"/>
      <c r="E94" s="2"/>
      <c r="F94" s="2"/>
      <c r="G94" s="173"/>
      <c r="H94" s="174"/>
      <c r="I94" s="218" t="e">
        <f>Tabela2234[[#This Row],[PESO TOTAL]]/Tabela2234[[#This Row],[QUANTIDADE]]</f>
        <v>#DIV/0!</v>
      </c>
      <c r="J94" s="2"/>
      <c r="K94" s="193"/>
      <c r="L94" s="8"/>
      <c r="M94" s="8"/>
      <c r="N94" s="8"/>
      <c r="O94" s="194"/>
      <c r="P94" s="195"/>
    </row>
    <row r="95" spans="1:16">
      <c r="A95" s="3"/>
      <c r="B95" s="3" t="str">
        <f>TEXT(Tabela2234[[#This Row],[DATA]],"mmmm")</f>
        <v>janeiro</v>
      </c>
      <c r="C95" s="2"/>
      <c r="D95" s="2"/>
      <c r="E95" s="2"/>
      <c r="F95" s="2"/>
      <c r="G95" s="173"/>
      <c r="H95" s="174"/>
      <c r="I95" s="218" t="e">
        <f>Tabela2234[[#This Row],[PESO TOTAL]]/Tabela2234[[#This Row],[QUANTIDADE]]</f>
        <v>#DIV/0!</v>
      </c>
      <c r="J95" s="2"/>
      <c r="K95" s="193"/>
      <c r="L95" s="8"/>
      <c r="M95" s="8"/>
      <c r="N95" s="8"/>
      <c r="O95" s="194"/>
      <c r="P95" s="195"/>
    </row>
    <row r="96" spans="1:16">
      <c r="A96" s="3"/>
      <c r="B96" s="3" t="str">
        <f>TEXT(Tabela2234[[#This Row],[DATA]],"mmmm")</f>
        <v>janeiro</v>
      </c>
      <c r="C96" s="2"/>
      <c r="D96" s="2"/>
      <c r="E96" s="2"/>
      <c r="F96" s="2"/>
      <c r="G96" s="173"/>
      <c r="H96" s="174"/>
      <c r="I96" s="218" t="e">
        <f>Tabela2234[[#This Row],[PESO TOTAL]]/Tabela2234[[#This Row],[QUANTIDADE]]</f>
        <v>#DIV/0!</v>
      </c>
      <c r="J96" s="2"/>
      <c r="K96" s="193"/>
      <c r="L96" s="8"/>
      <c r="M96" s="8"/>
      <c r="N96" s="8"/>
      <c r="O96" s="194"/>
      <c r="P96" s="195"/>
    </row>
    <row r="97" spans="1:16">
      <c r="A97" s="3"/>
      <c r="B97" s="3" t="str">
        <f>TEXT(Tabela2234[[#This Row],[DATA]],"mmmm")</f>
        <v>janeiro</v>
      </c>
      <c r="C97" s="2"/>
      <c r="D97" s="2"/>
      <c r="E97" s="2"/>
      <c r="F97" s="2"/>
      <c r="G97" s="173"/>
      <c r="H97" s="174"/>
      <c r="I97" s="218" t="e">
        <f>Tabela2234[[#This Row],[PESO TOTAL]]/Tabela2234[[#This Row],[QUANTIDADE]]</f>
        <v>#DIV/0!</v>
      </c>
      <c r="J97" s="2"/>
      <c r="K97" s="193"/>
      <c r="L97" s="8"/>
      <c r="M97" s="8"/>
      <c r="N97" s="8"/>
      <c r="O97" s="194"/>
      <c r="P97" s="195"/>
    </row>
    <row r="98" spans="1:16">
      <c r="A98" s="3"/>
      <c r="B98" s="3" t="str">
        <f>TEXT(Tabela2234[[#This Row],[DATA]],"mmmm")</f>
        <v>janeiro</v>
      </c>
      <c r="C98" s="2"/>
      <c r="D98" s="2"/>
      <c r="E98" s="2"/>
      <c r="F98" s="2"/>
      <c r="G98" s="173"/>
      <c r="H98" s="174"/>
      <c r="I98" s="218" t="e">
        <f>Tabela2234[[#This Row],[PESO TOTAL]]/Tabela2234[[#This Row],[QUANTIDADE]]</f>
        <v>#DIV/0!</v>
      </c>
      <c r="J98" s="2"/>
      <c r="K98" s="193"/>
      <c r="L98" s="8"/>
      <c r="M98" s="8"/>
      <c r="N98" s="8"/>
      <c r="O98" s="194"/>
      <c r="P98" s="195"/>
    </row>
    <row r="99" spans="1:16">
      <c r="A99" s="3"/>
      <c r="B99" s="3" t="str">
        <f>TEXT(Tabela2234[[#This Row],[DATA]],"mmmm")</f>
        <v>janeiro</v>
      </c>
      <c r="C99" s="2"/>
      <c r="D99" s="2"/>
      <c r="E99" s="2"/>
      <c r="F99" s="2"/>
      <c r="G99" s="173"/>
      <c r="H99" s="174"/>
      <c r="I99" s="218" t="e">
        <f>Tabela2234[[#This Row],[PESO TOTAL]]/Tabela2234[[#This Row],[QUANTIDADE]]</f>
        <v>#DIV/0!</v>
      </c>
      <c r="J99" s="2"/>
      <c r="K99" s="193"/>
      <c r="L99" s="8"/>
      <c r="M99" s="8"/>
      <c r="N99" s="8"/>
      <c r="O99" s="194"/>
      <c r="P99" s="195"/>
    </row>
    <row r="100" spans="1:16">
      <c r="A100" s="3"/>
      <c r="B100" s="3" t="str">
        <f>TEXT(Tabela2234[[#This Row],[DATA]],"mmmm")</f>
        <v>janeiro</v>
      </c>
      <c r="C100" s="2"/>
      <c r="D100" s="2"/>
      <c r="E100" s="2"/>
      <c r="F100" s="2"/>
      <c r="G100" s="173"/>
      <c r="H100" s="174"/>
      <c r="I100" s="218" t="e">
        <f>Tabela2234[[#This Row],[PESO TOTAL]]/Tabela2234[[#This Row],[QUANTIDADE]]</f>
        <v>#DIV/0!</v>
      </c>
      <c r="J100" s="2"/>
      <c r="K100" s="193"/>
      <c r="L100" s="8"/>
      <c r="M100" s="8"/>
      <c r="N100" s="8"/>
      <c r="O100" s="194"/>
      <c r="P100" s="195"/>
    </row>
    <row r="101" spans="1:16">
      <c r="A101" s="3"/>
      <c r="B101" s="3" t="str">
        <f>TEXT(Tabela2234[[#This Row],[DATA]],"mmmm")</f>
        <v>janeiro</v>
      </c>
      <c r="C101" s="2"/>
      <c r="D101" s="2"/>
      <c r="E101" s="2"/>
      <c r="F101" s="2"/>
      <c r="G101" s="173"/>
      <c r="H101" s="174"/>
      <c r="I101" s="218" t="e">
        <f>Tabela2234[[#This Row],[PESO TOTAL]]/Tabela2234[[#This Row],[QUANTIDADE]]</f>
        <v>#DIV/0!</v>
      </c>
      <c r="J101" s="2"/>
      <c r="K101" s="193"/>
      <c r="L101" s="8"/>
      <c r="M101" s="8"/>
      <c r="N101" s="8"/>
      <c r="O101" s="194"/>
      <c r="P101" s="195"/>
    </row>
    <row r="102" spans="1:16">
      <c r="A102" s="3"/>
      <c r="B102" s="3" t="str">
        <f>TEXT(Tabela2234[[#This Row],[DATA]],"mmmm")</f>
        <v>janeiro</v>
      </c>
      <c r="C102" s="2"/>
      <c r="D102" s="2"/>
      <c r="E102" s="2"/>
      <c r="F102" s="2"/>
      <c r="G102" s="173"/>
      <c r="H102" s="174"/>
      <c r="I102" s="218" t="e">
        <f>Tabela2234[[#This Row],[PESO TOTAL]]/Tabela2234[[#This Row],[QUANTIDADE]]</f>
        <v>#DIV/0!</v>
      </c>
      <c r="J102" s="2"/>
      <c r="K102" s="193"/>
      <c r="L102" s="8"/>
      <c r="M102" s="8"/>
      <c r="N102" s="8"/>
      <c r="O102" s="194"/>
      <c r="P102" s="195"/>
    </row>
    <row r="103" spans="1:16">
      <c r="A103" s="3"/>
      <c r="B103" s="3" t="str">
        <f>TEXT(Tabela2234[[#This Row],[DATA]],"mmmm")</f>
        <v>janeiro</v>
      </c>
      <c r="C103" s="2"/>
      <c r="D103" s="2"/>
      <c r="E103" s="2"/>
      <c r="F103" s="2"/>
      <c r="G103" s="173"/>
      <c r="H103" s="174"/>
      <c r="I103" s="218" t="e">
        <f>Tabela2234[[#This Row],[PESO TOTAL]]/Tabela2234[[#This Row],[QUANTIDADE]]</f>
        <v>#DIV/0!</v>
      </c>
      <c r="J103" s="2"/>
      <c r="K103" s="193"/>
      <c r="L103" s="8"/>
      <c r="M103" s="8"/>
      <c r="N103" s="8"/>
      <c r="O103" s="194"/>
      <c r="P103" s="195"/>
    </row>
    <row r="104" spans="1:16">
      <c r="A104" s="3"/>
      <c r="B104" s="3" t="str">
        <f>TEXT(Tabela2234[[#This Row],[DATA]],"mmmm")</f>
        <v>janeiro</v>
      </c>
      <c r="C104" s="2"/>
      <c r="D104" s="2"/>
      <c r="E104" s="2"/>
      <c r="F104" s="2"/>
      <c r="G104" s="173"/>
      <c r="H104" s="174"/>
      <c r="I104" s="218" t="e">
        <f>Tabela2234[[#This Row],[PESO TOTAL]]/Tabela2234[[#This Row],[QUANTIDADE]]</f>
        <v>#DIV/0!</v>
      </c>
      <c r="J104" s="2"/>
      <c r="K104" s="193"/>
      <c r="L104" s="8"/>
      <c r="M104" s="8"/>
      <c r="N104" s="8"/>
      <c r="O104" s="194"/>
      <c r="P104" s="195"/>
    </row>
    <row r="105" spans="1:16">
      <c r="A105" s="3"/>
      <c r="B105" s="3" t="str">
        <f>TEXT(Tabela2234[[#This Row],[DATA]],"mmmm")</f>
        <v>janeiro</v>
      </c>
      <c r="C105" s="2"/>
      <c r="D105" s="2"/>
      <c r="E105" s="2"/>
      <c r="F105" s="2"/>
      <c r="G105" s="173"/>
      <c r="H105" s="174"/>
      <c r="I105" s="218" t="e">
        <f>Tabela2234[[#This Row],[PESO TOTAL]]/Tabela2234[[#This Row],[QUANTIDADE]]</f>
        <v>#DIV/0!</v>
      </c>
      <c r="J105" s="2"/>
      <c r="K105" s="193"/>
      <c r="L105" s="8"/>
      <c r="M105" s="8"/>
      <c r="N105" s="8"/>
      <c r="O105" s="194"/>
      <c r="P105" s="195"/>
    </row>
    <row r="106" spans="1:16">
      <c r="A106" s="3"/>
      <c r="B106" s="3" t="str">
        <f>TEXT(Tabela2234[[#This Row],[DATA]],"mmmm")</f>
        <v>janeiro</v>
      </c>
      <c r="C106" s="2"/>
      <c r="D106" s="2"/>
      <c r="E106" s="2"/>
      <c r="F106" s="2"/>
      <c r="G106" s="173"/>
      <c r="H106" s="174"/>
      <c r="I106" s="218" t="e">
        <f>Tabela2234[[#This Row],[PESO TOTAL]]/Tabela2234[[#This Row],[QUANTIDADE]]</f>
        <v>#DIV/0!</v>
      </c>
      <c r="J106" s="2"/>
      <c r="K106" s="193"/>
      <c r="L106" s="8"/>
      <c r="M106" s="8"/>
      <c r="N106" s="8"/>
      <c r="O106" s="194"/>
      <c r="P106" s="195"/>
    </row>
    <row r="107" spans="1:16">
      <c r="A107" s="3"/>
      <c r="B107" s="3" t="str">
        <f>TEXT(Tabela2234[[#This Row],[DATA]],"mmmm")</f>
        <v>janeiro</v>
      </c>
      <c r="C107" s="2"/>
      <c r="D107" s="2"/>
      <c r="E107" s="2"/>
      <c r="F107" s="2"/>
      <c r="G107" s="173"/>
      <c r="H107" s="174"/>
      <c r="I107" s="218" t="e">
        <f>Tabela2234[[#This Row],[PESO TOTAL]]/Tabela2234[[#This Row],[QUANTIDADE]]</f>
        <v>#DIV/0!</v>
      </c>
      <c r="J107" s="2"/>
      <c r="K107" s="193"/>
      <c r="L107" s="8"/>
      <c r="M107" s="8"/>
      <c r="N107" s="8"/>
      <c r="O107" s="194"/>
      <c r="P107" s="195"/>
    </row>
    <row r="108" spans="1:16">
      <c r="A108" s="3"/>
      <c r="B108" s="3" t="str">
        <f>TEXT(Tabela2234[[#This Row],[DATA]],"mmmm")</f>
        <v>janeiro</v>
      </c>
      <c r="C108" s="2"/>
      <c r="D108" s="2"/>
      <c r="E108" s="2"/>
      <c r="F108" s="2"/>
      <c r="G108" s="173"/>
      <c r="H108" s="174"/>
      <c r="I108" s="218" t="e">
        <f>Tabela2234[[#This Row],[PESO TOTAL]]/Tabela2234[[#This Row],[QUANTIDADE]]</f>
        <v>#DIV/0!</v>
      </c>
      <c r="J108" s="2"/>
      <c r="K108" s="193"/>
      <c r="L108" s="8"/>
      <c r="M108" s="8"/>
      <c r="N108" s="8"/>
      <c r="O108" s="194"/>
      <c r="P108" s="195"/>
    </row>
    <row r="109" spans="1:16">
      <c r="A109" s="3"/>
      <c r="B109" s="3" t="str">
        <f>TEXT(Tabela2234[[#This Row],[DATA]],"mmmm")</f>
        <v>janeiro</v>
      </c>
      <c r="C109" s="2"/>
      <c r="D109" s="2"/>
      <c r="E109" s="2"/>
      <c r="F109" s="2"/>
      <c r="G109" s="173"/>
      <c r="H109" s="174"/>
      <c r="I109" s="218" t="e">
        <f>Tabela2234[[#This Row],[PESO TOTAL]]/Tabela2234[[#This Row],[QUANTIDADE]]</f>
        <v>#DIV/0!</v>
      </c>
      <c r="J109" s="2"/>
      <c r="K109" s="193"/>
      <c r="L109" s="8"/>
      <c r="M109" s="8"/>
      <c r="N109" s="8"/>
      <c r="O109" s="194"/>
      <c r="P109" s="195"/>
    </row>
    <row r="110" spans="1:16">
      <c r="A110" s="3"/>
      <c r="B110" s="3" t="str">
        <f>TEXT(Tabela2234[[#This Row],[DATA]],"mmmm")</f>
        <v>janeiro</v>
      </c>
      <c r="C110" s="2"/>
      <c r="D110" s="2"/>
      <c r="E110" s="2"/>
      <c r="F110" s="2"/>
      <c r="G110" s="173"/>
      <c r="H110" s="174"/>
      <c r="I110" s="218" t="e">
        <f>Tabela2234[[#This Row],[PESO TOTAL]]/Tabela2234[[#This Row],[QUANTIDADE]]</f>
        <v>#DIV/0!</v>
      </c>
      <c r="J110" s="2"/>
      <c r="K110" s="193"/>
      <c r="L110" s="8"/>
      <c r="M110" s="8"/>
      <c r="N110" s="8"/>
      <c r="O110" s="194"/>
      <c r="P110" s="195"/>
    </row>
    <row r="111" spans="1:16">
      <c r="A111" s="3"/>
      <c r="B111" s="3" t="str">
        <f>TEXT(Tabela2234[[#This Row],[DATA]],"mmmm")</f>
        <v>janeiro</v>
      </c>
      <c r="C111" s="2"/>
      <c r="D111" s="2"/>
      <c r="E111" s="2"/>
      <c r="F111" s="2"/>
      <c r="G111" s="173"/>
      <c r="H111" s="174"/>
      <c r="I111" s="218" t="e">
        <f>Tabela2234[[#This Row],[PESO TOTAL]]/Tabela2234[[#This Row],[QUANTIDADE]]</f>
        <v>#DIV/0!</v>
      </c>
      <c r="J111" s="2"/>
      <c r="K111" s="193"/>
      <c r="L111" s="8"/>
      <c r="M111" s="8"/>
      <c r="N111" s="8"/>
      <c r="O111" s="194"/>
      <c r="P111" s="195"/>
    </row>
    <row r="112" spans="1:16">
      <c r="A112" s="3"/>
      <c r="B112" s="3" t="str">
        <f>TEXT(Tabela2234[[#This Row],[DATA]],"mmmm")</f>
        <v>janeiro</v>
      </c>
      <c r="C112" s="2"/>
      <c r="D112" s="2"/>
      <c r="E112" s="2"/>
      <c r="F112" s="2"/>
      <c r="G112" s="173"/>
      <c r="H112" s="174"/>
      <c r="I112" s="218" t="e">
        <f>Tabela2234[[#This Row],[PESO TOTAL]]/Tabela2234[[#This Row],[QUANTIDADE]]</f>
        <v>#DIV/0!</v>
      </c>
      <c r="J112" s="2"/>
      <c r="K112" s="193"/>
      <c r="L112" s="8"/>
      <c r="M112" s="8"/>
      <c r="N112" s="8"/>
      <c r="O112" s="194"/>
      <c r="P112" s="195"/>
    </row>
    <row r="113" spans="1:16">
      <c r="A113" s="3"/>
      <c r="B113" s="3" t="str">
        <f>TEXT(Tabela2234[[#This Row],[DATA]],"mmmm")</f>
        <v>janeiro</v>
      </c>
      <c r="C113" s="2"/>
      <c r="D113" s="2"/>
      <c r="E113" s="2"/>
      <c r="F113" s="2"/>
      <c r="G113" s="173"/>
      <c r="H113" s="174"/>
      <c r="I113" s="218" t="e">
        <f>Tabela2234[[#This Row],[PESO TOTAL]]/Tabela2234[[#This Row],[QUANTIDADE]]</f>
        <v>#DIV/0!</v>
      </c>
      <c r="J113" s="2"/>
      <c r="K113" s="193"/>
      <c r="L113" s="8"/>
      <c r="M113" s="8"/>
      <c r="N113" s="8"/>
      <c r="O113" s="194"/>
      <c r="P113" s="195"/>
    </row>
    <row r="114" spans="1:16">
      <c r="A114" s="3"/>
      <c r="B114" s="3" t="str">
        <f>TEXT(Tabela2234[[#This Row],[DATA]],"mmmm")</f>
        <v>janeiro</v>
      </c>
      <c r="C114" s="2"/>
      <c r="D114" s="2"/>
      <c r="E114" s="2"/>
      <c r="F114" s="2"/>
      <c r="G114" s="173"/>
      <c r="H114" s="174"/>
      <c r="I114" s="218" t="e">
        <f>Tabela2234[[#This Row],[PESO TOTAL]]/Tabela2234[[#This Row],[QUANTIDADE]]</f>
        <v>#DIV/0!</v>
      </c>
      <c r="J114" s="2"/>
      <c r="K114" s="193"/>
      <c r="L114" s="8"/>
      <c r="M114" s="8"/>
      <c r="N114" s="8"/>
      <c r="O114" s="194"/>
      <c r="P114" s="195"/>
    </row>
    <row r="115" spans="1:16">
      <c r="A115" s="3"/>
      <c r="B115" s="3" t="str">
        <f>TEXT(Tabela2234[[#This Row],[DATA]],"mmmm")</f>
        <v>janeiro</v>
      </c>
      <c r="C115" s="2"/>
      <c r="D115" s="2"/>
      <c r="E115" s="2"/>
      <c r="F115" s="2"/>
      <c r="G115" s="173"/>
      <c r="H115" s="174"/>
      <c r="I115" s="218" t="e">
        <f>Tabela2234[[#This Row],[PESO TOTAL]]/Tabela2234[[#This Row],[QUANTIDADE]]</f>
        <v>#DIV/0!</v>
      </c>
      <c r="J115" s="2"/>
      <c r="K115" s="193"/>
      <c r="L115" s="8"/>
      <c r="M115" s="8"/>
      <c r="N115" s="8"/>
      <c r="O115" s="194"/>
      <c r="P115" s="195"/>
    </row>
    <row r="116" spans="1:16">
      <c r="A116" s="3"/>
      <c r="B116" s="3" t="str">
        <f>TEXT(Tabela2234[[#This Row],[DATA]],"mmmm")</f>
        <v>janeiro</v>
      </c>
      <c r="C116" s="2"/>
      <c r="D116" s="2"/>
      <c r="E116" s="2"/>
      <c r="F116" s="2"/>
      <c r="G116" s="173"/>
      <c r="H116" s="174"/>
      <c r="I116" s="218" t="e">
        <f>Tabela2234[[#This Row],[PESO TOTAL]]/Tabela2234[[#This Row],[QUANTIDADE]]</f>
        <v>#DIV/0!</v>
      </c>
      <c r="J116" s="2"/>
      <c r="K116" s="193"/>
      <c r="L116" s="8"/>
      <c r="M116" s="8"/>
      <c r="N116" s="8"/>
      <c r="O116" s="194"/>
      <c r="P116" s="195"/>
    </row>
    <row r="117" spans="1:16">
      <c r="A117" s="3"/>
      <c r="B117" s="3" t="str">
        <f>TEXT(Tabela2234[[#This Row],[DATA]],"mmmm")</f>
        <v>janeiro</v>
      </c>
      <c r="C117" s="2"/>
      <c r="D117" s="2"/>
      <c r="E117" s="2"/>
      <c r="F117" s="2"/>
      <c r="G117" s="173"/>
      <c r="H117" s="174"/>
      <c r="I117" s="218" t="e">
        <f>Tabela2234[[#This Row],[PESO TOTAL]]/Tabela2234[[#This Row],[QUANTIDADE]]</f>
        <v>#DIV/0!</v>
      </c>
      <c r="J117" s="2"/>
      <c r="K117" s="193"/>
      <c r="L117" s="8"/>
      <c r="M117" s="8"/>
      <c r="N117" s="8"/>
      <c r="O117" s="194"/>
      <c r="P117" s="195"/>
    </row>
    <row r="118" spans="1:16">
      <c r="A118" s="3"/>
      <c r="B118" s="3" t="str">
        <f>TEXT(Tabela2234[[#This Row],[DATA]],"mmmm")</f>
        <v>janeiro</v>
      </c>
      <c r="C118" s="2"/>
      <c r="D118" s="2"/>
      <c r="E118" s="2"/>
      <c r="F118" s="2"/>
      <c r="G118" s="173"/>
      <c r="H118" s="174"/>
      <c r="I118" s="218" t="e">
        <f>Tabela2234[[#This Row],[PESO TOTAL]]/Tabela2234[[#This Row],[QUANTIDADE]]</f>
        <v>#DIV/0!</v>
      </c>
      <c r="J118" s="2"/>
      <c r="K118" s="193"/>
      <c r="L118" s="8"/>
      <c r="M118" s="8"/>
      <c r="N118" s="8"/>
      <c r="O118" s="194"/>
      <c r="P118" s="195"/>
    </row>
    <row r="119" spans="1:16">
      <c r="A119" s="3"/>
      <c r="B119" s="3" t="str">
        <f>TEXT(Tabela2234[[#This Row],[DATA]],"mmmm")</f>
        <v>janeiro</v>
      </c>
      <c r="C119" s="2"/>
      <c r="D119" s="2"/>
      <c r="E119" s="2"/>
      <c r="F119" s="2"/>
      <c r="G119" s="173"/>
      <c r="H119" s="174"/>
      <c r="I119" s="218" t="e">
        <f>Tabela2234[[#This Row],[PESO TOTAL]]/Tabela2234[[#This Row],[QUANTIDADE]]</f>
        <v>#DIV/0!</v>
      </c>
      <c r="J119" s="2"/>
      <c r="K119" s="193"/>
      <c r="L119" s="8"/>
      <c r="M119" s="8"/>
      <c r="N119" s="8"/>
      <c r="O119" s="194"/>
      <c r="P119" s="195"/>
    </row>
    <row r="120" spans="1:16">
      <c r="A120" s="3"/>
      <c r="B120" s="3" t="str">
        <f>TEXT(Tabela2234[[#This Row],[DATA]],"mmmm")</f>
        <v>janeiro</v>
      </c>
      <c r="C120" s="2"/>
      <c r="D120" s="2"/>
      <c r="E120" s="2"/>
      <c r="F120" s="2"/>
      <c r="G120" s="173"/>
      <c r="H120" s="174"/>
      <c r="I120" s="218" t="e">
        <f>Tabela2234[[#This Row],[PESO TOTAL]]/Tabela2234[[#This Row],[QUANTIDADE]]</f>
        <v>#DIV/0!</v>
      </c>
      <c r="J120" s="2"/>
      <c r="K120" s="193"/>
      <c r="L120" s="8"/>
      <c r="M120" s="8"/>
      <c r="N120" s="8"/>
      <c r="O120" s="194"/>
      <c r="P120" s="195"/>
    </row>
    <row r="121" spans="1:16">
      <c r="A121" s="3"/>
      <c r="B121" s="3" t="str">
        <f>TEXT(Tabela2234[[#This Row],[DATA]],"mmmm")</f>
        <v>janeiro</v>
      </c>
      <c r="C121" s="2"/>
      <c r="D121" s="2"/>
      <c r="E121" s="2"/>
      <c r="F121" s="2"/>
      <c r="G121" s="173"/>
      <c r="H121" s="174"/>
      <c r="I121" s="218" t="e">
        <f>Tabela2234[[#This Row],[PESO TOTAL]]/Tabela2234[[#This Row],[QUANTIDADE]]</f>
        <v>#DIV/0!</v>
      </c>
      <c r="J121" s="2"/>
      <c r="K121" s="193"/>
      <c r="L121" s="8"/>
      <c r="M121" s="8"/>
      <c r="N121" s="8"/>
      <c r="O121" s="194"/>
      <c r="P121" s="195"/>
    </row>
    <row r="122" spans="1:16">
      <c r="A122" s="3"/>
      <c r="B122" s="3" t="str">
        <f>TEXT(Tabela2234[[#This Row],[DATA]],"mmmm")</f>
        <v>janeiro</v>
      </c>
      <c r="C122" s="2"/>
      <c r="D122" s="2"/>
      <c r="E122" s="2"/>
      <c r="F122" s="2"/>
      <c r="G122" s="173"/>
      <c r="H122" s="174"/>
      <c r="I122" s="218" t="e">
        <f>Tabela2234[[#This Row],[PESO TOTAL]]/Tabela2234[[#This Row],[QUANTIDADE]]</f>
        <v>#DIV/0!</v>
      </c>
      <c r="J122" s="2"/>
      <c r="K122" s="193"/>
      <c r="L122" s="8"/>
      <c r="M122" s="8"/>
      <c r="N122" s="8"/>
      <c r="O122" s="194"/>
      <c r="P122" s="195"/>
    </row>
    <row r="123" spans="1:16">
      <c r="A123" s="3"/>
      <c r="B123" s="3" t="str">
        <f>TEXT(Tabela2234[[#This Row],[DATA]],"mmmm")</f>
        <v>janeiro</v>
      </c>
      <c r="C123" s="2"/>
      <c r="D123" s="2"/>
      <c r="E123" s="2"/>
      <c r="F123" s="2"/>
      <c r="G123" s="173"/>
      <c r="H123" s="174"/>
      <c r="I123" s="218" t="e">
        <f>Tabela2234[[#This Row],[PESO TOTAL]]/Tabela2234[[#This Row],[QUANTIDADE]]</f>
        <v>#DIV/0!</v>
      </c>
      <c r="J123" s="2"/>
      <c r="K123" s="193"/>
      <c r="L123" s="8"/>
      <c r="M123" s="8"/>
      <c r="N123" s="8"/>
      <c r="O123" s="194"/>
      <c r="P123" s="195"/>
    </row>
    <row r="124" spans="1:16">
      <c r="A124" s="3"/>
      <c r="B124" s="3" t="str">
        <f>TEXT(Tabela2234[[#This Row],[DATA]],"mmmm")</f>
        <v>janeiro</v>
      </c>
      <c r="C124" s="2"/>
      <c r="D124" s="2"/>
      <c r="E124" s="2"/>
      <c r="F124" s="2"/>
      <c r="G124" s="173"/>
      <c r="H124" s="174"/>
      <c r="I124" s="218" t="e">
        <f>Tabela2234[[#This Row],[PESO TOTAL]]/Tabela2234[[#This Row],[QUANTIDADE]]</f>
        <v>#DIV/0!</v>
      </c>
      <c r="J124" s="2"/>
      <c r="K124" s="193"/>
      <c r="L124" s="8"/>
      <c r="M124" s="8"/>
      <c r="N124" s="8"/>
      <c r="O124" s="194"/>
      <c r="P124" s="195"/>
    </row>
    <row r="125" spans="1:16">
      <c r="A125" s="3"/>
      <c r="B125" s="3" t="str">
        <f>TEXT(Tabela2234[[#This Row],[DATA]],"mmmm")</f>
        <v>janeiro</v>
      </c>
      <c r="C125" s="2"/>
      <c r="D125" s="2"/>
      <c r="E125" s="2"/>
      <c r="F125" s="2"/>
      <c r="G125" s="173"/>
      <c r="H125" s="174"/>
      <c r="I125" s="218" t="e">
        <f>Tabela2234[[#This Row],[PESO TOTAL]]/Tabela2234[[#This Row],[QUANTIDADE]]</f>
        <v>#DIV/0!</v>
      </c>
      <c r="J125" s="2"/>
      <c r="K125" s="193"/>
      <c r="L125" s="8"/>
      <c r="M125" s="8"/>
      <c r="N125" s="8"/>
      <c r="O125" s="194"/>
      <c r="P125" s="195"/>
    </row>
    <row r="126" spans="1:16">
      <c r="A126" s="3"/>
      <c r="B126" s="3" t="str">
        <f>TEXT(Tabela2234[[#This Row],[DATA]],"mmmm")</f>
        <v>janeiro</v>
      </c>
      <c r="C126" s="2"/>
      <c r="D126" s="2"/>
      <c r="E126" s="2"/>
      <c r="F126" s="2"/>
      <c r="G126" s="173"/>
      <c r="H126" s="174"/>
      <c r="I126" s="218" t="e">
        <f>Tabela2234[[#This Row],[PESO TOTAL]]/Tabela2234[[#This Row],[QUANTIDADE]]</f>
        <v>#DIV/0!</v>
      </c>
      <c r="J126" s="2"/>
      <c r="K126" s="193"/>
      <c r="L126" s="8"/>
      <c r="M126" s="8"/>
      <c r="N126" s="8"/>
      <c r="O126" s="194"/>
      <c r="P126" s="195"/>
    </row>
    <row r="127" spans="1:16">
      <c r="A127" s="3"/>
      <c r="B127" s="3" t="str">
        <f>TEXT(Tabela2234[[#This Row],[DATA]],"mmmm")</f>
        <v>janeiro</v>
      </c>
      <c r="C127" s="2"/>
      <c r="D127" s="2"/>
      <c r="E127" s="2"/>
      <c r="F127" s="2"/>
      <c r="G127" s="173"/>
      <c r="H127" s="174"/>
      <c r="I127" s="218" t="e">
        <f>Tabela2234[[#This Row],[PESO TOTAL]]/Tabela2234[[#This Row],[QUANTIDADE]]</f>
        <v>#DIV/0!</v>
      </c>
      <c r="J127" s="2"/>
      <c r="K127" s="193"/>
      <c r="L127" s="8"/>
      <c r="M127" s="8"/>
      <c r="N127" s="8"/>
      <c r="O127" s="194"/>
      <c r="P127" s="195"/>
    </row>
    <row r="128" spans="1:16">
      <c r="A128" s="3"/>
      <c r="B128" s="3" t="str">
        <f>TEXT(Tabela2234[[#This Row],[DATA]],"mmmm")</f>
        <v>janeiro</v>
      </c>
      <c r="C128" s="2"/>
      <c r="D128" s="2"/>
      <c r="E128" s="2"/>
      <c r="F128" s="2"/>
      <c r="G128" s="173"/>
      <c r="H128" s="174"/>
      <c r="I128" s="218" t="e">
        <f>Tabela2234[[#This Row],[PESO TOTAL]]/Tabela2234[[#This Row],[QUANTIDADE]]</f>
        <v>#DIV/0!</v>
      </c>
      <c r="J128" s="2"/>
      <c r="K128" s="193"/>
      <c r="L128" s="8"/>
      <c r="M128" s="8"/>
      <c r="N128" s="8"/>
      <c r="O128" s="194"/>
      <c r="P128" s="195"/>
    </row>
    <row r="129" spans="1:16">
      <c r="A129" s="3"/>
      <c r="B129" s="3" t="str">
        <f>TEXT(Tabela2234[[#This Row],[DATA]],"mmmm")</f>
        <v>janeiro</v>
      </c>
      <c r="C129" s="2"/>
      <c r="D129" s="2"/>
      <c r="E129" s="2"/>
      <c r="F129" s="2"/>
      <c r="G129" s="173"/>
      <c r="H129" s="174"/>
      <c r="I129" s="218" t="e">
        <f>Tabela2234[[#This Row],[PESO TOTAL]]/Tabela2234[[#This Row],[QUANTIDADE]]</f>
        <v>#DIV/0!</v>
      </c>
      <c r="J129" s="2"/>
      <c r="K129" s="193"/>
      <c r="L129" s="8"/>
      <c r="M129" s="8"/>
      <c r="N129" s="8"/>
      <c r="O129" s="194"/>
      <c r="P129" s="195"/>
    </row>
    <row r="130" spans="1:16">
      <c r="A130" s="3"/>
      <c r="B130" s="3" t="str">
        <f>TEXT(Tabela2234[[#This Row],[DATA]],"mmmm")</f>
        <v>janeiro</v>
      </c>
      <c r="C130" s="2"/>
      <c r="D130" s="2"/>
      <c r="E130" s="2"/>
      <c r="F130" s="2"/>
      <c r="G130" s="173"/>
      <c r="H130" s="174"/>
      <c r="I130" s="218" t="e">
        <f>Tabela2234[[#This Row],[PESO TOTAL]]/Tabela2234[[#This Row],[QUANTIDADE]]</f>
        <v>#DIV/0!</v>
      </c>
      <c r="J130" s="2"/>
      <c r="K130" s="193"/>
      <c r="L130" s="8"/>
      <c r="M130" s="8"/>
      <c r="N130" s="8"/>
      <c r="O130" s="194"/>
      <c r="P130" s="195"/>
    </row>
    <row r="131" spans="1:16">
      <c r="A131" s="3"/>
      <c r="B131" s="3" t="str">
        <f>TEXT(Tabela2234[[#This Row],[DATA]],"mmmm")</f>
        <v>janeiro</v>
      </c>
      <c r="C131" s="2"/>
      <c r="D131" s="2"/>
      <c r="E131" s="2"/>
      <c r="F131" s="2"/>
      <c r="G131" s="173"/>
      <c r="H131" s="174"/>
      <c r="I131" s="218" t="e">
        <f>Tabela2234[[#This Row],[PESO TOTAL]]/Tabela2234[[#This Row],[QUANTIDADE]]</f>
        <v>#DIV/0!</v>
      </c>
      <c r="J131" s="2"/>
      <c r="K131" s="193"/>
      <c r="L131" s="8"/>
      <c r="M131" s="8"/>
      <c r="N131" s="8"/>
      <c r="O131" s="194"/>
      <c r="P131" s="195"/>
    </row>
    <row r="132" spans="1:16">
      <c r="A132" s="3"/>
      <c r="B132" s="3" t="str">
        <f>TEXT(Tabela2234[[#This Row],[DATA]],"mmmm")</f>
        <v>janeiro</v>
      </c>
      <c r="C132" s="2"/>
      <c r="D132" s="2"/>
      <c r="E132" s="2"/>
      <c r="F132" s="2"/>
      <c r="G132" s="173"/>
      <c r="H132" s="174"/>
      <c r="I132" s="218" t="e">
        <f>Tabela2234[[#This Row],[PESO TOTAL]]/Tabela2234[[#This Row],[QUANTIDADE]]</f>
        <v>#DIV/0!</v>
      </c>
      <c r="J132" s="2"/>
      <c r="K132" s="193"/>
      <c r="L132" s="8"/>
      <c r="M132" s="8"/>
      <c r="N132" s="8"/>
      <c r="O132" s="194"/>
      <c r="P132" s="195"/>
    </row>
    <row r="133" spans="1:16">
      <c r="A133" s="3"/>
      <c r="B133" s="3" t="str">
        <f>TEXT(Tabela2234[[#This Row],[DATA]],"mmmm")</f>
        <v>janeiro</v>
      </c>
      <c r="C133" s="2"/>
      <c r="D133" s="2"/>
      <c r="E133" s="2"/>
      <c r="F133" s="2"/>
      <c r="G133" s="173"/>
      <c r="H133" s="174"/>
      <c r="I133" s="218" t="e">
        <f>Tabela2234[[#This Row],[PESO TOTAL]]/Tabela2234[[#This Row],[QUANTIDADE]]</f>
        <v>#DIV/0!</v>
      </c>
      <c r="J133" s="2"/>
      <c r="K133" s="193"/>
      <c r="L133" s="8"/>
      <c r="M133" s="8"/>
      <c r="N133" s="8"/>
      <c r="O133" s="194"/>
      <c r="P133" s="195"/>
    </row>
    <row r="134" spans="1:16">
      <c r="A134" s="3"/>
      <c r="B134" s="3" t="str">
        <f>TEXT(Tabela2234[[#This Row],[DATA]],"mmmm")</f>
        <v>janeiro</v>
      </c>
      <c r="C134" s="2"/>
      <c r="D134" s="2"/>
      <c r="E134" s="2"/>
      <c r="F134" s="2"/>
      <c r="G134" s="173"/>
      <c r="H134" s="174"/>
      <c r="I134" s="218" t="e">
        <f>Tabela2234[[#This Row],[PESO TOTAL]]/Tabela2234[[#This Row],[QUANTIDADE]]</f>
        <v>#DIV/0!</v>
      </c>
      <c r="J134" s="2"/>
      <c r="K134" s="193"/>
      <c r="L134" s="8"/>
      <c r="M134" s="8"/>
      <c r="N134" s="8"/>
      <c r="O134" s="194"/>
      <c r="P134" s="195"/>
    </row>
    <row r="135" spans="1:16">
      <c r="A135" s="3"/>
      <c r="B135" s="3" t="str">
        <f>TEXT(Tabela2234[[#This Row],[DATA]],"mmmm")</f>
        <v>janeiro</v>
      </c>
      <c r="C135" s="2"/>
      <c r="D135" s="2"/>
      <c r="E135" s="2"/>
      <c r="F135" s="2"/>
      <c r="G135" s="173"/>
      <c r="H135" s="174"/>
      <c r="I135" s="218" t="e">
        <f>Tabela2234[[#This Row],[PESO TOTAL]]/Tabela2234[[#This Row],[QUANTIDADE]]</f>
        <v>#DIV/0!</v>
      </c>
      <c r="J135" s="2"/>
      <c r="K135" s="193"/>
      <c r="L135" s="8"/>
      <c r="M135" s="8"/>
      <c r="N135" s="8"/>
      <c r="O135" s="194"/>
      <c r="P135" s="195"/>
    </row>
    <row r="136" spans="1:16">
      <c r="A136" s="3"/>
      <c r="B136" s="3" t="str">
        <f>TEXT(Tabela2234[[#This Row],[DATA]],"mmmm")</f>
        <v>janeiro</v>
      </c>
      <c r="C136" s="2"/>
      <c r="D136" s="2"/>
      <c r="E136" s="2"/>
      <c r="F136" s="2"/>
      <c r="G136" s="173"/>
      <c r="H136" s="174"/>
      <c r="I136" s="218" t="e">
        <f>Tabela2234[[#This Row],[PESO TOTAL]]/Tabela2234[[#This Row],[QUANTIDADE]]</f>
        <v>#DIV/0!</v>
      </c>
      <c r="J136" s="2"/>
      <c r="K136" s="193"/>
      <c r="L136" s="8"/>
      <c r="M136" s="8"/>
      <c r="N136" s="8"/>
      <c r="O136" s="194"/>
      <c r="P136" s="195"/>
    </row>
    <row r="137" spans="1:16">
      <c r="A137" s="3"/>
      <c r="B137" s="3" t="str">
        <f>TEXT(Tabela2234[[#This Row],[DATA]],"mmmm")</f>
        <v>janeiro</v>
      </c>
      <c r="C137" s="2"/>
      <c r="D137" s="2"/>
      <c r="E137" s="2"/>
      <c r="F137" s="2"/>
      <c r="G137" s="173"/>
      <c r="H137" s="174"/>
      <c r="I137" s="218" t="e">
        <f>Tabela2234[[#This Row],[PESO TOTAL]]/Tabela2234[[#This Row],[QUANTIDADE]]</f>
        <v>#DIV/0!</v>
      </c>
      <c r="J137" s="2"/>
      <c r="K137" s="193"/>
      <c r="L137" s="8"/>
      <c r="M137" s="8"/>
      <c r="N137" s="8"/>
      <c r="O137" s="194"/>
      <c r="P137" s="195"/>
    </row>
    <row r="138" spans="1:16">
      <c r="A138" s="3"/>
      <c r="B138" s="3" t="str">
        <f>TEXT(Tabela2234[[#This Row],[DATA]],"mmmm")</f>
        <v>janeiro</v>
      </c>
      <c r="C138" s="2"/>
      <c r="D138" s="2"/>
      <c r="E138" s="2"/>
      <c r="F138" s="2"/>
      <c r="G138" s="173"/>
      <c r="H138" s="174"/>
      <c r="I138" s="218" t="e">
        <f>Tabela2234[[#This Row],[PESO TOTAL]]/Tabela2234[[#This Row],[QUANTIDADE]]</f>
        <v>#DIV/0!</v>
      </c>
      <c r="J138" s="2"/>
      <c r="K138" s="193"/>
      <c r="L138" s="8"/>
      <c r="M138" s="8"/>
      <c r="N138" s="8"/>
      <c r="O138" s="194"/>
      <c r="P138" s="195"/>
    </row>
    <row r="139" spans="1:16">
      <c r="A139" s="3"/>
      <c r="B139" s="3" t="str">
        <f>TEXT(Tabela2234[[#This Row],[DATA]],"mmmm")</f>
        <v>janeiro</v>
      </c>
      <c r="C139" s="2"/>
      <c r="D139" s="2"/>
      <c r="E139" s="2"/>
      <c r="F139" s="2"/>
      <c r="G139" s="173"/>
      <c r="H139" s="174"/>
      <c r="I139" s="218" t="e">
        <f>Tabela2234[[#This Row],[PESO TOTAL]]/Tabela2234[[#This Row],[QUANTIDADE]]</f>
        <v>#DIV/0!</v>
      </c>
      <c r="J139" s="2"/>
      <c r="K139" s="193"/>
      <c r="L139" s="8"/>
      <c r="M139" s="8"/>
      <c r="N139" s="8"/>
      <c r="O139" s="194"/>
      <c r="P139" s="195"/>
    </row>
    <row r="140" spans="1:16">
      <c r="A140" s="3"/>
      <c r="B140" s="3" t="str">
        <f>TEXT(Tabela2234[[#This Row],[DATA]],"mmmm")</f>
        <v>janeiro</v>
      </c>
      <c r="C140" s="2"/>
      <c r="D140" s="2"/>
      <c r="E140" s="2"/>
      <c r="F140" s="2"/>
      <c r="G140" s="173"/>
      <c r="H140" s="174"/>
      <c r="I140" s="218" t="e">
        <f>Tabela2234[[#This Row],[PESO TOTAL]]/Tabela2234[[#This Row],[QUANTIDADE]]</f>
        <v>#DIV/0!</v>
      </c>
      <c r="J140" s="2"/>
      <c r="K140" s="193"/>
      <c r="L140" s="8"/>
      <c r="M140" s="8"/>
      <c r="N140" s="8"/>
      <c r="O140" s="194"/>
      <c r="P140" s="195"/>
    </row>
    <row r="141" spans="1:16">
      <c r="A141" s="3"/>
      <c r="B141" s="3" t="str">
        <f>TEXT(Tabela2234[[#This Row],[DATA]],"mmmm")</f>
        <v>janeiro</v>
      </c>
      <c r="C141" s="2"/>
      <c r="D141" s="2"/>
      <c r="E141" s="2"/>
      <c r="F141" s="2"/>
      <c r="G141" s="173"/>
      <c r="H141" s="174"/>
      <c r="I141" s="218" t="e">
        <f>Tabela2234[[#This Row],[PESO TOTAL]]/Tabela2234[[#This Row],[QUANTIDADE]]</f>
        <v>#DIV/0!</v>
      </c>
      <c r="J141" s="2"/>
      <c r="K141" s="193"/>
      <c r="L141" s="8"/>
      <c r="M141" s="8"/>
      <c r="N141" s="8"/>
      <c r="O141" s="194"/>
      <c r="P141" s="195"/>
    </row>
    <row r="142" spans="1:16">
      <c r="A142" s="3"/>
      <c r="B142" s="3" t="str">
        <f>TEXT(Tabela2234[[#This Row],[DATA]],"mmmm")</f>
        <v>janeiro</v>
      </c>
      <c r="C142" s="2"/>
      <c r="D142" s="2"/>
      <c r="E142" s="2"/>
      <c r="F142" s="2"/>
      <c r="G142" s="173"/>
      <c r="H142" s="174"/>
      <c r="I142" s="218" t="e">
        <f>Tabela2234[[#This Row],[PESO TOTAL]]/Tabela2234[[#This Row],[QUANTIDADE]]</f>
        <v>#DIV/0!</v>
      </c>
      <c r="J142" s="2"/>
      <c r="K142" s="193"/>
      <c r="L142" s="8"/>
      <c r="M142" s="8"/>
      <c r="N142" s="8"/>
      <c r="O142" s="194"/>
      <c r="P142" s="195"/>
    </row>
    <row r="143" spans="1:16">
      <c r="A143" s="3"/>
      <c r="B143" s="3" t="str">
        <f>TEXT(Tabela2234[[#This Row],[DATA]],"mmmm")</f>
        <v>janeiro</v>
      </c>
      <c r="C143" s="2"/>
      <c r="D143" s="2"/>
      <c r="E143" s="2"/>
      <c r="F143" s="2"/>
      <c r="G143" s="173"/>
      <c r="H143" s="174"/>
      <c r="I143" s="218" t="e">
        <f>Tabela2234[[#This Row],[PESO TOTAL]]/Tabela2234[[#This Row],[QUANTIDADE]]</f>
        <v>#DIV/0!</v>
      </c>
      <c r="J143" s="2"/>
      <c r="K143" s="193"/>
      <c r="L143" s="8"/>
      <c r="M143" s="8"/>
      <c r="N143" s="8"/>
      <c r="O143" s="194"/>
      <c r="P143" s="195"/>
    </row>
    <row r="144" spans="1:16">
      <c r="A144" s="3"/>
      <c r="B144" s="3" t="str">
        <f>TEXT(Tabela2234[[#This Row],[DATA]],"mmmm")</f>
        <v>janeiro</v>
      </c>
      <c r="C144" s="2"/>
      <c r="D144" s="2"/>
      <c r="E144" s="2"/>
      <c r="F144" s="2"/>
      <c r="G144" s="173"/>
      <c r="H144" s="174"/>
      <c r="I144" s="218" t="e">
        <f>Tabela2234[[#This Row],[PESO TOTAL]]/Tabela2234[[#This Row],[QUANTIDADE]]</f>
        <v>#DIV/0!</v>
      </c>
      <c r="J144" s="2"/>
      <c r="K144" s="193"/>
      <c r="L144" s="8"/>
      <c r="M144" s="8"/>
      <c r="N144" s="8"/>
      <c r="O144" s="194"/>
      <c r="P144" s="195"/>
    </row>
    <row r="145" spans="1:16">
      <c r="A145" s="3"/>
      <c r="B145" s="3" t="str">
        <f>TEXT(Tabela2234[[#This Row],[DATA]],"mmmm")</f>
        <v>janeiro</v>
      </c>
      <c r="C145" s="2"/>
      <c r="D145" s="2"/>
      <c r="E145" s="2"/>
      <c r="F145" s="2"/>
      <c r="G145" s="173"/>
      <c r="H145" s="174"/>
      <c r="I145" s="218" t="e">
        <f>Tabela2234[[#This Row],[PESO TOTAL]]/Tabela2234[[#This Row],[QUANTIDADE]]</f>
        <v>#DIV/0!</v>
      </c>
      <c r="J145" s="2"/>
      <c r="K145" s="193"/>
      <c r="L145" s="8"/>
      <c r="M145" s="8"/>
      <c r="N145" s="8"/>
      <c r="O145" s="194"/>
      <c r="P145" s="195"/>
    </row>
    <row r="146" spans="1:16">
      <c r="A146" s="3"/>
      <c r="B146" s="3" t="str">
        <f>TEXT(Tabela2234[[#This Row],[DATA]],"mmmm")</f>
        <v>janeiro</v>
      </c>
      <c r="C146" s="2"/>
      <c r="D146" s="2"/>
      <c r="E146" s="2"/>
      <c r="F146" s="2"/>
      <c r="G146" s="173"/>
      <c r="H146" s="174"/>
      <c r="I146" s="218" t="e">
        <f>Tabela2234[[#This Row],[PESO TOTAL]]/Tabela2234[[#This Row],[QUANTIDADE]]</f>
        <v>#DIV/0!</v>
      </c>
      <c r="J146" s="2"/>
      <c r="K146" s="193"/>
      <c r="L146" s="8"/>
      <c r="M146" s="8"/>
      <c r="N146" s="8"/>
      <c r="O146" s="194"/>
      <c r="P146" s="195"/>
    </row>
    <row r="147" spans="1:16">
      <c r="A147" s="3"/>
      <c r="B147" s="3" t="str">
        <f>TEXT(Tabela2234[[#This Row],[DATA]],"mmmm")</f>
        <v>janeiro</v>
      </c>
      <c r="C147" s="2"/>
      <c r="D147" s="2"/>
      <c r="E147" s="2"/>
      <c r="F147" s="2"/>
      <c r="G147" s="173"/>
      <c r="H147" s="174"/>
      <c r="I147" s="218" t="e">
        <f>Tabela2234[[#This Row],[PESO TOTAL]]/Tabela2234[[#This Row],[QUANTIDADE]]</f>
        <v>#DIV/0!</v>
      </c>
      <c r="J147" s="2"/>
      <c r="K147" s="193"/>
      <c r="L147" s="8"/>
      <c r="M147" s="8"/>
      <c r="N147" s="8"/>
      <c r="O147" s="194"/>
      <c r="P147" s="195"/>
    </row>
    <row r="148" spans="1:16">
      <c r="A148" s="3"/>
      <c r="B148" s="3" t="str">
        <f>TEXT(Tabela2234[[#This Row],[DATA]],"mmmm")</f>
        <v>janeiro</v>
      </c>
      <c r="C148" s="2"/>
      <c r="D148" s="2"/>
      <c r="E148" s="2"/>
      <c r="F148" s="2"/>
      <c r="G148" s="173"/>
      <c r="H148" s="174"/>
      <c r="I148" s="218" t="e">
        <f>Tabela2234[[#This Row],[PESO TOTAL]]/Tabela2234[[#This Row],[QUANTIDADE]]</f>
        <v>#DIV/0!</v>
      </c>
      <c r="J148" s="2"/>
      <c r="K148" s="193"/>
      <c r="L148" s="8"/>
      <c r="M148" s="8"/>
      <c r="N148" s="8"/>
      <c r="O148" s="194"/>
      <c r="P148" s="195"/>
    </row>
    <row r="149" spans="1:16">
      <c r="A149" s="3"/>
      <c r="B149" s="3" t="str">
        <f>TEXT(Tabela2234[[#This Row],[DATA]],"mmmm")</f>
        <v>janeiro</v>
      </c>
      <c r="C149" s="2"/>
      <c r="D149" s="2"/>
      <c r="E149" s="2"/>
      <c r="F149" s="2"/>
      <c r="G149" s="173"/>
      <c r="H149" s="174"/>
      <c r="I149" s="218" t="e">
        <f>Tabela2234[[#This Row],[PESO TOTAL]]/Tabela2234[[#This Row],[QUANTIDADE]]</f>
        <v>#DIV/0!</v>
      </c>
      <c r="J149" s="2"/>
      <c r="K149" s="193"/>
      <c r="L149" s="8"/>
      <c r="M149" s="8"/>
      <c r="N149" s="8"/>
      <c r="O149" s="194"/>
      <c r="P149" s="195"/>
    </row>
    <row r="150" spans="1:16">
      <c r="A150" s="3"/>
      <c r="B150" s="3" t="str">
        <f>TEXT(Tabela2234[[#This Row],[DATA]],"mmmm")</f>
        <v>janeiro</v>
      </c>
      <c r="C150" s="2"/>
      <c r="D150" s="2"/>
      <c r="E150" s="2"/>
      <c r="F150" s="2"/>
      <c r="G150" s="173"/>
      <c r="H150" s="174"/>
      <c r="I150" s="218" t="e">
        <f>Tabela2234[[#This Row],[PESO TOTAL]]/Tabela2234[[#This Row],[QUANTIDADE]]</f>
        <v>#DIV/0!</v>
      </c>
      <c r="J150" s="2"/>
      <c r="K150" s="193"/>
      <c r="L150" s="8"/>
      <c r="M150" s="8"/>
      <c r="N150" s="8"/>
      <c r="O150" s="194"/>
      <c r="P150" s="195"/>
    </row>
    <row r="151" spans="1:16">
      <c r="A151" s="3"/>
      <c r="B151" s="3" t="str">
        <f>TEXT(Tabela2234[[#This Row],[DATA]],"mmmm")</f>
        <v>janeiro</v>
      </c>
      <c r="C151" s="2"/>
      <c r="D151" s="2"/>
      <c r="E151" s="2"/>
      <c r="F151" s="2"/>
      <c r="G151" s="173"/>
      <c r="H151" s="174"/>
      <c r="I151" s="218" t="e">
        <f>Tabela2234[[#This Row],[PESO TOTAL]]/Tabela2234[[#This Row],[QUANTIDADE]]</f>
        <v>#DIV/0!</v>
      </c>
      <c r="J151" s="2"/>
      <c r="K151" s="193"/>
      <c r="L151" s="8"/>
      <c r="M151" s="8"/>
      <c r="N151" s="8"/>
      <c r="O151" s="194"/>
      <c r="P151" s="195"/>
    </row>
    <row r="152" spans="1:16">
      <c r="A152" s="3"/>
      <c r="B152" s="3" t="str">
        <f>TEXT(Tabela2234[[#This Row],[DATA]],"mmmm")</f>
        <v>janeiro</v>
      </c>
      <c r="C152" s="2"/>
      <c r="D152" s="2"/>
      <c r="E152" s="2"/>
      <c r="F152" s="2"/>
      <c r="G152" s="173"/>
      <c r="H152" s="174"/>
      <c r="I152" s="218" t="e">
        <f>Tabela2234[[#This Row],[PESO TOTAL]]/Tabela2234[[#This Row],[QUANTIDADE]]</f>
        <v>#DIV/0!</v>
      </c>
      <c r="J152" s="2"/>
      <c r="K152" s="193"/>
      <c r="L152" s="8"/>
      <c r="M152" s="8"/>
      <c r="N152" s="8"/>
      <c r="O152" s="194"/>
      <c r="P152" s="195"/>
    </row>
    <row r="153" spans="1:16">
      <c r="A153" s="3"/>
      <c r="B153" s="3" t="str">
        <f>TEXT(Tabela2234[[#This Row],[DATA]],"mmmm")</f>
        <v>janeiro</v>
      </c>
      <c r="C153" s="2"/>
      <c r="D153" s="2"/>
      <c r="E153" s="2"/>
      <c r="F153" s="2"/>
      <c r="G153" s="173"/>
      <c r="H153" s="174"/>
      <c r="I153" s="218" t="e">
        <f>Tabela2234[[#This Row],[PESO TOTAL]]/Tabela2234[[#This Row],[QUANTIDADE]]</f>
        <v>#DIV/0!</v>
      </c>
      <c r="J153" s="2"/>
      <c r="K153" s="193"/>
      <c r="L153" s="8"/>
      <c r="M153" s="8"/>
      <c r="N153" s="8"/>
      <c r="O153" s="194"/>
      <c r="P153" s="195"/>
    </row>
    <row r="154" spans="1:16">
      <c r="A154" s="3"/>
      <c r="B154" s="3" t="str">
        <f>TEXT(Tabela2234[[#This Row],[DATA]],"mmmm")</f>
        <v>janeiro</v>
      </c>
      <c r="C154" s="2"/>
      <c r="D154" s="2"/>
      <c r="E154" s="2"/>
      <c r="F154" s="2"/>
      <c r="G154" s="173"/>
      <c r="H154" s="174"/>
      <c r="I154" s="218" t="e">
        <f>Tabela2234[[#This Row],[PESO TOTAL]]/Tabela2234[[#This Row],[QUANTIDADE]]</f>
        <v>#DIV/0!</v>
      </c>
      <c r="J154" s="2"/>
      <c r="K154" s="193"/>
      <c r="L154" s="8"/>
      <c r="M154" s="8"/>
      <c r="N154" s="8"/>
      <c r="O154" s="194"/>
      <c r="P154" s="195"/>
    </row>
    <row r="155" spans="1:16">
      <c r="A155" s="3"/>
      <c r="B155" s="3" t="str">
        <f>TEXT(Tabela2234[[#This Row],[DATA]],"mmmm")</f>
        <v>janeiro</v>
      </c>
      <c r="C155" s="2"/>
      <c r="D155" s="2"/>
      <c r="E155" s="2"/>
      <c r="F155" s="2"/>
      <c r="G155" s="173"/>
      <c r="H155" s="174"/>
      <c r="I155" s="218" t="e">
        <f>Tabela2234[[#This Row],[PESO TOTAL]]/Tabela2234[[#This Row],[QUANTIDADE]]</f>
        <v>#DIV/0!</v>
      </c>
      <c r="J155" s="2"/>
      <c r="K155" s="193"/>
      <c r="L155" s="8"/>
      <c r="M155" s="8"/>
      <c r="N155" s="8"/>
      <c r="O155" s="194"/>
      <c r="P155" s="195"/>
    </row>
    <row r="156" spans="1:16">
      <c r="A156" s="3"/>
      <c r="B156" s="3" t="str">
        <f>TEXT(Tabela2234[[#This Row],[DATA]],"mmmm")</f>
        <v>janeiro</v>
      </c>
      <c r="C156" s="2"/>
      <c r="D156" s="2"/>
      <c r="E156" s="2"/>
      <c r="F156" s="2"/>
      <c r="G156" s="173"/>
      <c r="H156" s="174"/>
      <c r="I156" s="218" t="e">
        <f>Tabela2234[[#This Row],[PESO TOTAL]]/Tabela2234[[#This Row],[QUANTIDADE]]</f>
        <v>#DIV/0!</v>
      </c>
      <c r="J156" s="2"/>
      <c r="K156" s="193"/>
      <c r="L156" s="8"/>
      <c r="M156" s="8"/>
      <c r="N156" s="8"/>
      <c r="O156" s="194"/>
      <c r="P156" s="195"/>
    </row>
    <row r="157" spans="1:16">
      <c r="A157" s="3"/>
      <c r="B157" s="3" t="str">
        <f>TEXT(Tabela2234[[#This Row],[DATA]],"mmmm")</f>
        <v>janeiro</v>
      </c>
      <c r="C157" s="2"/>
      <c r="D157" s="2"/>
      <c r="E157" s="2"/>
      <c r="F157" s="2"/>
      <c r="G157" s="173"/>
      <c r="H157" s="174"/>
      <c r="I157" s="218" t="e">
        <f>Tabela2234[[#This Row],[PESO TOTAL]]/Tabela2234[[#This Row],[QUANTIDADE]]</f>
        <v>#DIV/0!</v>
      </c>
      <c r="J157" s="2"/>
      <c r="K157" s="193"/>
      <c r="L157" s="8"/>
      <c r="M157" s="8"/>
      <c r="N157" s="8"/>
      <c r="O157" s="194"/>
      <c r="P157" s="195"/>
    </row>
    <row r="158" spans="1:16">
      <c r="A158" s="3"/>
      <c r="B158" s="3" t="str">
        <f>TEXT(Tabela2234[[#This Row],[DATA]],"mmmm")</f>
        <v>janeiro</v>
      </c>
      <c r="C158" s="2"/>
      <c r="D158" s="2"/>
      <c r="E158" s="2"/>
      <c r="F158" s="2"/>
      <c r="G158" s="173"/>
      <c r="H158" s="174"/>
      <c r="I158" s="218" t="e">
        <f>Tabela2234[[#This Row],[PESO TOTAL]]/Tabela2234[[#This Row],[QUANTIDADE]]</f>
        <v>#DIV/0!</v>
      </c>
      <c r="J158" s="2"/>
      <c r="K158" s="193"/>
      <c r="L158" s="8"/>
      <c r="M158" s="8"/>
      <c r="N158" s="8"/>
      <c r="O158" s="194"/>
      <c r="P158" s="195"/>
    </row>
    <row r="159" spans="1:16">
      <c r="A159" s="3"/>
      <c r="B159" s="3" t="str">
        <f>TEXT(Tabela2234[[#This Row],[DATA]],"mmmm")</f>
        <v>janeiro</v>
      </c>
      <c r="C159" s="2"/>
      <c r="D159" s="2"/>
      <c r="E159" s="2"/>
      <c r="F159" s="2"/>
      <c r="G159" s="173"/>
      <c r="H159" s="174"/>
      <c r="I159" s="218" t="e">
        <f>Tabela2234[[#This Row],[PESO TOTAL]]/Tabela2234[[#This Row],[QUANTIDADE]]</f>
        <v>#DIV/0!</v>
      </c>
      <c r="J159" s="2"/>
      <c r="K159" s="193"/>
      <c r="L159" s="8"/>
      <c r="M159" s="8"/>
      <c r="N159" s="8"/>
      <c r="O159" s="194"/>
      <c r="P159" s="195"/>
    </row>
    <row r="160" spans="1:16">
      <c r="A160" s="3"/>
      <c r="B160" s="3" t="str">
        <f>TEXT(Tabela2234[[#This Row],[DATA]],"mmmm")</f>
        <v>janeiro</v>
      </c>
      <c r="C160" s="2"/>
      <c r="D160" s="2"/>
      <c r="E160" s="2"/>
      <c r="F160" s="2"/>
      <c r="G160" s="173"/>
      <c r="H160" s="174"/>
      <c r="I160" s="218" t="e">
        <f>Tabela2234[[#This Row],[PESO TOTAL]]/Tabela2234[[#This Row],[QUANTIDADE]]</f>
        <v>#DIV/0!</v>
      </c>
      <c r="J160" s="2"/>
      <c r="K160" s="193"/>
      <c r="L160" s="8"/>
      <c r="M160" s="8"/>
      <c r="N160" s="8"/>
      <c r="O160" s="194"/>
      <c r="P160" s="195"/>
    </row>
    <row r="161" spans="1:16">
      <c r="A161" s="3"/>
      <c r="B161" s="3" t="str">
        <f>TEXT(Tabela2234[[#This Row],[DATA]],"mmmm")</f>
        <v>janeiro</v>
      </c>
      <c r="C161" s="2"/>
      <c r="D161" s="2"/>
      <c r="E161" s="2"/>
      <c r="F161" s="2"/>
      <c r="G161" s="173"/>
      <c r="H161" s="174"/>
      <c r="I161" s="218" t="e">
        <f>Tabela2234[[#This Row],[PESO TOTAL]]/Tabela2234[[#This Row],[QUANTIDADE]]</f>
        <v>#DIV/0!</v>
      </c>
      <c r="J161" s="2"/>
      <c r="K161" s="193"/>
      <c r="L161" s="8"/>
      <c r="M161" s="8"/>
      <c r="N161" s="8"/>
      <c r="O161" s="194"/>
      <c r="P161" s="195"/>
    </row>
    <row r="162" spans="1:16">
      <c r="A162" s="3"/>
      <c r="B162" s="3" t="str">
        <f>TEXT(Tabela2234[[#This Row],[DATA]],"mmmm")</f>
        <v>janeiro</v>
      </c>
      <c r="C162" s="2"/>
      <c r="D162" s="2"/>
      <c r="E162" s="2"/>
      <c r="F162" s="2"/>
      <c r="G162" s="173"/>
      <c r="H162" s="174"/>
      <c r="I162" s="218" t="e">
        <f>Tabela2234[[#This Row],[PESO TOTAL]]/Tabela2234[[#This Row],[QUANTIDADE]]</f>
        <v>#DIV/0!</v>
      </c>
      <c r="J162" s="2"/>
      <c r="K162" s="193"/>
      <c r="L162" s="8"/>
      <c r="M162" s="8"/>
      <c r="N162" s="8"/>
      <c r="O162" s="194"/>
      <c r="P162" s="195"/>
    </row>
    <row r="163" spans="1:16">
      <c r="A163" s="3"/>
      <c r="B163" s="3" t="str">
        <f>TEXT(Tabela2234[[#This Row],[DATA]],"mmmm")</f>
        <v>janeiro</v>
      </c>
      <c r="C163" s="2"/>
      <c r="D163" s="2"/>
      <c r="E163" s="2"/>
      <c r="F163" s="2"/>
      <c r="G163" s="173"/>
      <c r="H163" s="174"/>
      <c r="I163" s="218" t="e">
        <f>Tabela2234[[#This Row],[PESO TOTAL]]/Tabela2234[[#This Row],[QUANTIDADE]]</f>
        <v>#DIV/0!</v>
      </c>
      <c r="J163" s="2"/>
      <c r="K163" s="193"/>
      <c r="L163" s="8"/>
      <c r="M163" s="8"/>
      <c r="N163" s="8"/>
      <c r="O163" s="194"/>
      <c r="P163" s="195"/>
    </row>
    <row r="164" spans="1:16">
      <c r="A164" s="3"/>
      <c r="B164" s="3" t="str">
        <f>TEXT(Tabela2234[[#This Row],[DATA]],"mmmm")</f>
        <v>janeiro</v>
      </c>
      <c r="C164" s="2"/>
      <c r="D164" s="2"/>
      <c r="E164" s="2"/>
      <c r="F164" s="2"/>
      <c r="G164" s="173"/>
      <c r="H164" s="174"/>
      <c r="I164" s="218" t="e">
        <f>Tabela2234[[#This Row],[PESO TOTAL]]/Tabela2234[[#This Row],[QUANTIDADE]]</f>
        <v>#DIV/0!</v>
      </c>
      <c r="J164" s="2"/>
      <c r="K164" s="193"/>
      <c r="L164" s="8"/>
      <c r="M164" s="8"/>
      <c r="N164" s="8"/>
      <c r="O164" s="194"/>
      <c r="P164" s="195"/>
    </row>
    <row r="165" spans="1:16">
      <c r="A165" s="3"/>
      <c r="B165" s="3" t="str">
        <f>TEXT(Tabela2234[[#This Row],[DATA]],"mmmm")</f>
        <v>janeiro</v>
      </c>
      <c r="C165" s="2"/>
      <c r="D165" s="2"/>
      <c r="E165" s="2"/>
      <c r="F165" s="2"/>
      <c r="G165" s="173"/>
      <c r="H165" s="174"/>
      <c r="I165" s="218" t="e">
        <f>Tabela2234[[#This Row],[PESO TOTAL]]/Tabela2234[[#This Row],[QUANTIDADE]]</f>
        <v>#DIV/0!</v>
      </c>
      <c r="J165" s="2"/>
      <c r="K165" s="193"/>
      <c r="L165" s="8"/>
      <c r="M165" s="8"/>
      <c r="N165" s="8"/>
      <c r="O165" s="194"/>
      <c r="P165" s="195"/>
    </row>
    <row r="166" spans="1:16">
      <c r="A166" s="3"/>
      <c r="B166" s="3" t="str">
        <f>TEXT(Tabela2234[[#This Row],[DATA]],"mmmm")</f>
        <v>janeiro</v>
      </c>
      <c r="C166" s="2"/>
      <c r="D166" s="2"/>
      <c r="E166" s="2"/>
      <c r="F166" s="2"/>
      <c r="G166" s="173"/>
      <c r="H166" s="174"/>
      <c r="I166" s="218" t="e">
        <f>Tabela2234[[#This Row],[PESO TOTAL]]/Tabela2234[[#This Row],[QUANTIDADE]]</f>
        <v>#DIV/0!</v>
      </c>
      <c r="J166" s="2"/>
      <c r="K166" s="193"/>
      <c r="L166" s="8"/>
      <c r="M166" s="8"/>
      <c r="N166" s="8"/>
      <c r="O166" s="194"/>
      <c r="P166" s="195"/>
    </row>
    <row r="167" spans="1:16">
      <c r="A167" s="3"/>
      <c r="B167" s="3" t="str">
        <f>TEXT(Tabela2234[[#This Row],[DATA]],"mmmm")</f>
        <v>janeiro</v>
      </c>
      <c r="C167" s="2"/>
      <c r="D167" s="2"/>
      <c r="E167" s="2"/>
      <c r="F167" s="2"/>
      <c r="G167" s="173"/>
      <c r="H167" s="174"/>
      <c r="I167" s="218" t="e">
        <f>Tabela2234[[#This Row],[PESO TOTAL]]/Tabela2234[[#This Row],[QUANTIDADE]]</f>
        <v>#DIV/0!</v>
      </c>
      <c r="J167" s="2"/>
      <c r="K167" s="193"/>
      <c r="L167" s="8"/>
      <c r="M167" s="8"/>
      <c r="N167" s="8"/>
      <c r="O167" s="194"/>
      <c r="P167" s="195"/>
    </row>
    <row r="168" spans="1:16">
      <c r="A168" s="3"/>
      <c r="B168" s="3" t="str">
        <f>TEXT(Tabela2234[[#This Row],[DATA]],"mmmm")</f>
        <v>janeiro</v>
      </c>
      <c r="C168" s="2"/>
      <c r="D168" s="2"/>
      <c r="E168" s="2"/>
      <c r="F168" s="2"/>
      <c r="G168" s="173"/>
      <c r="H168" s="174"/>
      <c r="I168" s="218" t="e">
        <f>Tabela2234[[#This Row],[PESO TOTAL]]/Tabela2234[[#This Row],[QUANTIDADE]]</f>
        <v>#DIV/0!</v>
      </c>
      <c r="J168" s="2"/>
      <c r="K168" s="193"/>
      <c r="L168" s="8"/>
      <c r="M168" s="8"/>
      <c r="N168" s="8"/>
      <c r="O168" s="194"/>
      <c r="P168" s="195"/>
    </row>
    <row r="169" spans="1:16">
      <c r="A169" s="3"/>
      <c r="B169" s="3" t="str">
        <f>TEXT(Tabela2234[[#This Row],[DATA]],"mmmm")</f>
        <v>janeiro</v>
      </c>
      <c r="C169" s="2"/>
      <c r="D169" s="2"/>
      <c r="E169" s="2"/>
      <c r="F169" s="2"/>
      <c r="G169" s="173"/>
      <c r="H169" s="174"/>
      <c r="I169" s="218" t="e">
        <f>Tabela2234[[#This Row],[PESO TOTAL]]/Tabela2234[[#This Row],[QUANTIDADE]]</f>
        <v>#DIV/0!</v>
      </c>
      <c r="J169" s="2"/>
      <c r="K169" s="193"/>
      <c r="L169" s="8"/>
      <c r="M169" s="8"/>
      <c r="N169" s="8"/>
      <c r="O169" s="194"/>
      <c r="P169" s="195"/>
    </row>
    <row r="170" spans="1:16">
      <c r="A170" s="3"/>
      <c r="B170" s="3" t="str">
        <f>TEXT(Tabela2234[[#This Row],[DATA]],"mmmm")</f>
        <v>janeiro</v>
      </c>
      <c r="C170" s="2"/>
      <c r="D170" s="2"/>
      <c r="E170" s="2"/>
      <c r="F170" s="2"/>
      <c r="G170" s="173"/>
      <c r="H170" s="174"/>
      <c r="I170" s="218" t="e">
        <f>Tabela2234[[#This Row],[PESO TOTAL]]/Tabela2234[[#This Row],[QUANTIDADE]]</f>
        <v>#DIV/0!</v>
      </c>
      <c r="J170" s="2"/>
      <c r="K170" s="193"/>
      <c r="L170" s="8"/>
      <c r="M170" s="8"/>
      <c r="N170" s="8"/>
      <c r="O170" s="194"/>
      <c r="P170" s="195"/>
    </row>
    <row r="171" spans="1:16">
      <c r="A171" s="3"/>
      <c r="B171" s="3" t="str">
        <f>TEXT(Tabela2234[[#This Row],[DATA]],"mmmm")</f>
        <v>janeiro</v>
      </c>
      <c r="C171" s="2"/>
      <c r="D171" s="2"/>
      <c r="E171" s="2"/>
      <c r="F171" s="2"/>
      <c r="G171" s="173"/>
      <c r="H171" s="174"/>
      <c r="I171" s="218" t="e">
        <f>Tabela2234[[#This Row],[PESO TOTAL]]/Tabela2234[[#This Row],[QUANTIDADE]]</f>
        <v>#DIV/0!</v>
      </c>
      <c r="J171" s="2"/>
      <c r="K171" s="193"/>
      <c r="L171" s="8"/>
      <c r="M171" s="8"/>
      <c r="N171" s="8"/>
      <c r="O171" s="194"/>
      <c r="P171" s="195"/>
    </row>
    <row r="172" spans="1:16">
      <c r="A172" s="3"/>
      <c r="B172" s="3" t="str">
        <f>TEXT(Tabela2234[[#This Row],[DATA]],"mmmm")</f>
        <v>janeiro</v>
      </c>
      <c r="C172" s="2"/>
      <c r="D172" s="2"/>
      <c r="E172" s="2"/>
      <c r="F172" s="2"/>
      <c r="G172" s="173"/>
      <c r="H172" s="174"/>
      <c r="I172" s="218" t="e">
        <f>Tabela2234[[#This Row],[PESO TOTAL]]/Tabela2234[[#This Row],[QUANTIDADE]]</f>
        <v>#DIV/0!</v>
      </c>
      <c r="J172" s="2"/>
      <c r="K172" s="193"/>
      <c r="L172" s="8"/>
      <c r="M172" s="8"/>
      <c r="N172" s="8"/>
      <c r="O172" s="194"/>
      <c r="P172" s="195"/>
    </row>
    <row r="173" spans="1:16">
      <c r="A173" s="3"/>
      <c r="B173" s="3" t="str">
        <f>TEXT(Tabela2234[[#This Row],[DATA]],"mmmm")</f>
        <v>janeiro</v>
      </c>
      <c r="C173" s="2"/>
      <c r="D173" s="2"/>
      <c r="E173" s="2"/>
      <c r="F173" s="2"/>
      <c r="G173" s="173"/>
      <c r="H173" s="174"/>
      <c r="I173" s="218" t="e">
        <f>Tabela2234[[#This Row],[PESO TOTAL]]/Tabela2234[[#This Row],[QUANTIDADE]]</f>
        <v>#DIV/0!</v>
      </c>
      <c r="J173" s="2"/>
      <c r="K173" s="193"/>
      <c r="L173" s="8"/>
      <c r="M173" s="8"/>
      <c r="N173" s="8"/>
      <c r="O173" s="194"/>
      <c r="P173" s="195"/>
    </row>
    <row r="174" spans="1:16">
      <c r="A174" s="3"/>
      <c r="B174" s="3" t="str">
        <f>TEXT(Tabela2234[[#This Row],[DATA]],"mmmm")</f>
        <v>janeiro</v>
      </c>
      <c r="C174" s="2"/>
      <c r="D174" s="2"/>
      <c r="E174" s="2"/>
      <c r="F174" s="2"/>
      <c r="G174" s="173"/>
      <c r="H174" s="174"/>
      <c r="I174" s="218" t="e">
        <f>Tabela2234[[#This Row],[PESO TOTAL]]/Tabela2234[[#This Row],[QUANTIDADE]]</f>
        <v>#DIV/0!</v>
      </c>
      <c r="J174" s="2"/>
      <c r="K174" s="193"/>
      <c r="L174" s="8"/>
      <c r="M174" s="8"/>
      <c r="N174" s="8"/>
      <c r="O174" s="194"/>
      <c r="P174" s="195"/>
    </row>
    <row r="175" spans="1:16">
      <c r="A175" s="3"/>
      <c r="B175" s="3" t="str">
        <f>TEXT(Tabela2234[[#This Row],[DATA]],"mmmm")</f>
        <v>janeiro</v>
      </c>
      <c r="C175" s="2"/>
      <c r="D175" s="2"/>
      <c r="E175" s="2"/>
      <c r="F175" s="2"/>
      <c r="G175" s="173"/>
      <c r="H175" s="174"/>
      <c r="I175" s="218" t="e">
        <f>Tabela2234[[#This Row],[PESO TOTAL]]/Tabela2234[[#This Row],[QUANTIDADE]]</f>
        <v>#DIV/0!</v>
      </c>
      <c r="J175" s="2"/>
      <c r="K175" s="193"/>
      <c r="L175" s="8"/>
      <c r="M175" s="8"/>
      <c r="N175" s="8"/>
      <c r="O175" s="194"/>
      <c r="P175" s="195"/>
    </row>
    <row r="176" spans="1:16">
      <c r="A176" s="3"/>
      <c r="B176" s="3" t="str">
        <f>TEXT(Tabela2234[[#This Row],[DATA]],"mmmm")</f>
        <v>janeiro</v>
      </c>
      <c r="C176" s="2"/>
      <c r="D176" s="2"/>
      <c r="E176" s="2"/>
      <c r="F176" s="2"/>
      <c r="G176" s="173"/>
      <c r="H176" s="174"/>
      <c r="I176" s="218" t="e">
        <f>Tabela2234[[#This Row],[PESO TOTAL]]/Tabela2234[[#This Row],[QUANTIDADE]]</f>
        <v>#DIV/0!</v>
      </c>
      <c r="J176" s="2"/>
      <c r="K176" s="193"/>
      <c r="L176" s="8"/>
      <c r="M176" s="8"/>
      <c r="N176" s="8"/>
      <c r="O176" s="194"/>
      <c r="P176" s="195"/>
    </row>
    <row r="177" spans="1:16">
      <c r="A177" s="3"/>
      <c r="B177" s="3" t="str">
        <f>TEXT(Tabela2234[[#This Row],[DATA]],"mmmm")</f>
        <v>janeiro</v>
      </c>
      <c r="C177" s="2"/>
      <c r="D177" s="2"/>
      <c r="E177" s="2"/>
      <c r="F177" s="2"/>
      <c r="G177" s="173"/>
      <c r="H177" s="174"/>
      <c r="I177" s="218" t="e">
        <f>Tabela2234[[#This Row],[PESO TOTAL]]/Tabela2234[[#This Row],[QUANTIDADE]]</f>
        <v>#DIV/0!</v>
      </c>
      <c r="J177" s="2"/>
      <c r="K177" s="193"/>
      <c r="L177" s="8"/>
      <c r="M177" s="8"/>
      <c r="N177" s="8"/>
      <c r="O177" s="194"/>
      <c r="P177" s="195"/>
    </row>
    <row r="178" spans="1:16">
      <c r="A178" s="3"/>
      <c r="B178" s="3" t="str">
        <f>TEXT(Tabela2234[[#This Row],[DATA]],"mmmm")</f>
        <v>janeiro</v>
      </c>
      <c r="C178" s="2"/>
      <c r="D178" s="2"/>
      <c r="E178" s="2"/>
      <c r="F178" s="2"/>
      <c r="G178" s="173"/>
      <c r="H178" s="174"/>
      <c r="I178" s="218" t="e">
        <f>Tabela2234[[#This Row],[PESO TOTAL]]/Tabela2234[[#This Row],[QUANTIDADE]]</f>
        <v>#DIV/0!</v>
      </c>
      <c r="J178" s="2"/>
      <c r="K178" s="193"/>
      <c r="L178" s="8"/>
      <c r="M178" s="8"/>
      <c r="N178" s="8"/>
      <c r="O178" s="194"/>
      <c r="P178" s="195"/>
    </row>
    <row r="179" spans="1:16">
      <c r="A179" s="3"/>
      <c r="B179" s="3" t="str">
        <f>TEXT(Tabela2234[[#This Row],[DATA]],"mmmm")</f>
        <v>janeiro</v>
      </c>
      <c r="C179" s="2"/>
      <c r="D179" s="2"/>
      <c r="E179" s="2"/>
      <c r="F179" s="2"/>
      <c r="G179" s="173"/>
      <c r="H179" s="174"/>
      <c r="I179" s="218" t="e">
        <f>Tabela2234[[#This Row],[PESO TOTAL]]/Tabela2234[[#This Row],[QUANTIDADE]]</f>
        <v>#DIV/0!</v>
      </c>
      <c r="J179" s="2"/>
      <c r="K179" s="193"/>
      <c r="L179" s="8"/>
      <c r="M179" s="8"/>
      <c r="N179" s="8"/>
      <c r="O179" s="194"/>
      <c r="P179" s="195"/>
    </row>
    <row r="180" spans="1:16">
      <c r="A180" s="3"/>
      <c r="B180" s="3" t="str">
        <f>TEXT(Tabela2234[[#This Row],[DATA]],"mmmm")</f>
        <v>janeiro</v>
      </c>
      <c r="C180" s="2"/>
      <c r="D180" s="2"/>
      <c r="E180" s="2"/>
      <c r="F180" s="2"/>
      <c r="G180" s="173"/>
      <c r="H180" s="174"/>
      <c r="I180" s="218" t="e">
        <f>Tabela2234[[#This Row],[PESO TOTAL]]/Tabela2234[[#This Row],[QUANTIDADE]]</f>
        <v>#DIV/0!</v>
      </c>
      <c r="J180" s="2"/>
      <c r="K180" s="193"/>
      <c r="L180" s="8"/>
      <c r="M180" s="8"/>
      <c r="N180" s="8"/>
      <c r="O180" s="194"/>
      <c r="P180" s="195"/>
    </row>
    <row r="181" spans="1:16">
      <c r="A181" s="3"/>
      <c r="B181" s="3" t="str">
        <f>TEXT(Tabela2234[[#This Row],[DATA]],"mmmm")</f>
        <v>janeiro</v>
      </c>
      <c r="C181" s="2"/>
      <c r="D181" s="2"/>
      <c r="E181" s="2"/>
      <c r="F181" s="2"/>
      <c r="G181" s="173"/>
      <c r="H181" s="174"/>
      <c r="I181" s="218" t="e">
        <f>Tabela2234[[#This Row],[PESO TOTAL]]/Tabela2234[[#This Row],[QUANTIDADE]]</f>
        <v>#DIV/0!</v>
      </c>
      <c r="J181" s="2"/>
      <c r="K181" s="193"/>
      <c r="L181" s="8"/>
      <c r="M181" s="8"/>
      <c r="N181" s="8"/>
      <c r="O181" s="194"/>
      <c r="P181" s="195"/>
    </row>
    <row r="182" spans="1:16">
      <c r="A182" s="3"/>
      <c r="B182" s="3" t="str">
        <f>TEXT(Tabela2234[[#This Row],[DATA]],"mmmm")</f>
        <v>janeiro</v>
      </c>
      <c r="C182" s="2"/>
      <c r="D182" s="2"/>
      <c r="E182" s="2"/>
      <c r="F182" s="2"/>
      <c r="G182" s="173"/>
      <c r="H182" s="174"/>
      <c r="I182" s="218" t="e">
        <f>Tabela2234[[#This Row],[PESO TOTAL]]/Tabela2234[[#This Row],[QUANTIDADE]]</f>
        <v>#DIV/0!</v>
      </c>
      <c r="J182" s="2"/>
      <c r="K182" s="193"/>
      <c r="L182" s="8"/>
      <c r="M182" s="8"/>
      <c r="N182" s="8"/>
      <c r="O182" s="194"/>
      <c r="P182" s="195"/>
    </row>
    <row r="183" spans="1:16">
      <c r="A183" s="3"/>
      <c r="B183" s="3" t="str">
        <f>TEXT(Tabela2234[[#This Row],[DATA]],"mmmm")</f>
        <v>janeiro</v>
      </c>
      <c r="C183" s="2"/>
      <c r="D183" s="2"/>
      <c r="E183" s="2"/>
      <c r="F183" s="2"/>
      <c r="G183" s="173"/>
      <c r="H183" s="174"/>
      <c r="I183" s="218" t="e">
        <f>Tabela2234[[#This Row],[PESO TOTAL]]/Tabela2234[[#This Row],[QUANTIDADE]]</f>
        <v>#DIV/0!</v>
      </c>
      <c r="J183" s="2"/>
      <c r="K183" s="193"/>
      <c r="L183" s="8"/>
      <c r="M183" s="8"/>
      <c r="N183" s="8"/>
      <c r="O183" s="194"/>
      <c r="P183" s="195"/>
    </row>
    <row r="184" spans="1:16">
      <c r="A184" s="3"/>
      <c r="B184" s="3" t="str">
        <f>TEXT(Tabela2234[[#This Row],[DATA]],"mmmm")</f>
        <v>janeiro</v>
      </c>
      <c r="C184" s="2"/>
      <c r="D184" s="2"/>
      <c r="E184" s="2"/>
      <c r="F184" s="2"/>
      <c r="G184" s="173"/>
      <c r="H184" s="174"/>
      <c r="I184" s="218" t="e">
        <f>Tabela2234[[#This Row],[PESO TOTAL]]/Tabela2234[[#This Row],[QUANTIDADE]]</f>
        <v>#DIV/0!</v>
      </c>
      <c r="J184" s="2"/>
      <c r="K184" s="193"/>
      <c r="L184" s="8"/>
      <c r="M184" s="8"/>
      <c r="N184" s="8"/>
      <c r="O184" s="194"/>
      <c r="P184" s="195"/>
    </row>
    <row r="185" spans="1:16">
      <c r="A185" s="3"/>
      <c r="B185" s="3" t="str">
        <f>TEXT(Tabela2234[[#This Row],[DATA]],"mmmm")</f>
        <v>janeiro</v>
      </c>
      <c r="C185" s="2"/>
      <c r="D185" s="2"/>
      <c r="E185" s="2"/>
      <c r="F185" s="2"/>
      <c r="G185" s="173"/>
      <c r="H185" s="174"/>
      <c r="I185" s="218" t="e">
        <f>Tabela2234[[#This Row],[PESO TOTAL]]/Tabela2234[[#This Row],[QUANTIDADE]]</f>
        <v>#DIV/0!</v>
      </c>
      <c r="J185" s="2"/>
      <c r="K185" s="193"/>
      <c r="L185" s="8"/>
      <c r="M185" s="8"/>
      <c r="N185" s="8"/>
      <c r="O185" s="194"/>
      <c r="P185" s="195"/>
    </row>
    <row r="186" spans="1:16">
      <c r="A186" s="3"/>
      <c r="B186" s="3" t="str">
        <f>TEXT(Tabela2234[[#This Row],[DATA]],"mmmm")</f>
        <v>janeiro</v>
      </c>
      <c r="C186" s="2"/>
      <c r="D186" s="2"/>
      <c r="E186" s="2"/>
      <c r="F186" s="2"/>
      <c r="G186" s="173"/>
      <c r="H186" s="174"/>
      <c r="I186" s="218" t="e">
        <f>Tabela2234[[#This Row],[PESO TOTAL]]/Tabela2234[[#This Row],[QUANTIDADE]]</f>
        <v>#DIV/0!</v>
      </c>
      <c r="J186" s="2"/>
      <c r="K186" s="193"/>
      <c r="L186" s="8"/>
      <c r="M186" s="8"/>
      <c r="N186" s="8"/>
      <c r="O186" s="194"/>
      <c r="P186" s="195"/>
    </row>
    <row r="187" spans="1:16">
      <c r="A187" s="3"/>
      <c r="B187" s="3" t="str">
        <f>TEXT(Tabela2234[[#This Row],[DATA]],"mmmm")</f>
        <v>janeiro</v>
      </c>
      <c r="C187" s="2"/>
      <c r="D187" s="2"/>
      <c r="E187" s="2"/>
      <c r="F187" s="2"/>
      <c r="G187" s="173"/>
      <c r="H187" s="174"/>
      <c r="I187" s="218" t="e">
        <f>Tabela2234[[#This Row],[PESO TOTAL]]/Tabela2234[[#This Row],[QUANTIDADE]]</f>
        <v>#DIV/0!</v>
      </c>
      <c r="J187" s="2"/>
      <c r="K187" s="193"/>
      <c r="L187" s="8"/>
      <c r="M187" s="8"/>
      <c r="N187" s="8"/>
      <c r="O187" s="194"/>
      <c r="P187" s="195"/>
    </row>
    <row r="188" spans="1:16">
      <c r="A188" s="3"/>
      <c r="B188" s="3" t="str">
        <f>TEXT(Tabela2234[[#This Row],[DATA]],"mmmm")</f>
        <v>janeiro</v>
      </c>
      <c r="C188" s="2"/>
      <c r="D188" s="2"/>
      <c r="E188" s="2"/>
      <c r="F188" s="2"/>
      <c r="G188" s="173"/>
      <c r="H188" s="174"/>
      <c r="I188" s="218" t="e">
        <f>Tabela2234[[#This Row],[PESO TOTAL]]/Tabela2234[[#This Row],[QUANTIDADE]]</f>
        <v>#DIV/0!</v>
      </c>
      <c r="J188" s="2"/>
      <c r="K188" s="193"/>
      <c r="L188" s="8"/>
      <c r="M188" s="8"/>
      <c r="N188" s="8"/>
      <c r="O188" s="194"/>
      <c r="P188" s="195"/>
    </row>
    <row r="189" spans="1:16">
      <c r="A189" s="3"/>
      <c r="B189" s="3" t="str">
        <f>TEXT(Tabela2234[[#This Row],[DATA]],"mmmm")</f>
        <v>janeiro</v>
      </c>
      <c r="C189" s="2"/>
      <c r="D189" s="2"/>
      <c r="E189" s="2"/>
      <c r="F189" s="2"/>
      <c r="G189" s="173"/>
      <c r="H189" s="174"/>
      <c r="I189" s="218" t="e">
        <f>Tabela2234[[#This Row],[PESO TOTAL]]/Tabela2234[[#This Row],[QUANTIDADE]]</f>
        <v>#DIV/0!</v>
      </c>
      <c r="J189" s="2"/>
      <c r="K189" s="193"/>
      <c r="L189" s="8"/>
      <c r="M189" s="8"/>
      <c r="N189" s="8"/>
      <c r="O189" s="194"/>
      <c r="P189" s="195"/>
    </row>
    <row r="190" spans="1:16">
      <c r="A190" s="3"/>
      <c r="B190" s="3" t="str">
        <f>TEXT(Tabela2234[[#This Row],[DATA]],"mmmm")</f>
        <v>janeiro</v>
      </c>
      <c r="C190" s="2"/>
      <c r="D190" s="2"/>
      <c r="E190" s="2"/>
      <c r="F190" s="2"/>
      <c r="G190" s="173"/>
      <c r="H190" s="174"/>
      <c r="I190" s="218" t="e">
        <f>Tabela2234[[#This Row],[PESO TOTAL]]/Tabela2234[[#This Row],[QUANTIDADE]]</f>
        <v>#DIV/0!</v>
      </c>
      <c r="J190" s="2"/>
      <c r="K190" s="193"/>
      <c r="L190" s="8"/>
      <c r="M190" s="8"/>
      <c r="N190" s="8"/>
      <c r="O190" s="194"/>
      <c r="P190" s="195"/>
    </row>
    <row r="191" spans="1:16">
      <c r="A191" s="3"/>
      <c r="B191" s="3" t="str">
        <f>TEXT(Tabela2234[[#This Row],[DATA]],"mmmm")</f>
        <v>janeiro</v>
      </c>
      <c r="C191" s="2"/>
      <c r="D191" s="2"/>
      <c r="E191" s="2"/>
      <c r="F191" s="2"/>
      <c r="G191" s="173"/>
      <c r="H191" s="174"/>
      <c r="I191" s="218" t="e">
        <f>Tabela2234[[#This Row],[PESO TOTAL]]/Tabela2234[[#This Row],[QUANTIDADE]]</f>
        <v>#DIV/0!</v>
      </c>
      <c r="J191" s="2"/>
      <c r="K191" s="193"/>
      <c r="L191" s="8"/>
      <c r="M191" s="8"/>
      <c r="N191" s="8"/>
      <c r="O191" s="194"/>
      <c r="P191" s="195"/>
    </row>
    <row r="192" spans="1:16">
      <c r="A192" s="3"/>
      <c r="B192" s="3" t="str">
        <f>TEXT(Tabela2234[[#This Row],[DATA]],"mmmm")</f>
        <v>janeiro</v>
      </c>
      <c r="C192" s="2"/>
      <c r="D192" s="2"/>
      <c r="E192" s="2"/>
      <c r="F192" s="2"/>
      <c r="G192" s="173"/>
      <c r="H192" s="174"/>
      <c r="I192" s="218" t="e">
        <f>Tabela2234[[#This Row],[PESO TOTAL]]/Tabela2234[[#This Row],[QUANTIDADE]]</f>
        <v>#DIV/0!</v>
      </c>
      <c r="J192" s="2"/>
      <c r="K192" s="193"/>
      <c r="L192" s="8"/>
      <c r="M192" s="8"/>
      <c r="N192" s="8"/>
      <c r="O192" s="194"/>
      <c r="P192" s="195"/>
    </row>
    <row r="193" spans="1:16">
      <c r="A193" s="3"/>
      <c r="B193" s="3" t="str">
        <f>TEXT(Tabela2234[[#This Row],[DATA]],"mmmm")</f>
        <v>janeiro</v>
      </c>
      <c r="C193" s="2"/>
      <c r="D193" s="2"/>
      <c r="E193" s="2"/>
      <c r="F193" s="2"/>
      <c r="G193" s="173"/>
      <c r="H193" s="174"/>
      <c r="I193" s="218" t="e">
        <f>Tabela2234[[#This Row],[PESO TOTAL]]/Tabela2234[[#This Row],[QUANTIDADE]]</f>
        <v>#DIV/0!</v>
      </c>
      <c r="J193" s="2"/>
      <c r="K193" s="193"/>
      <c r="L193" s="8"/>
      <c r="M193" s="8"/>
      <c r="N193" s="8"/>
      <c r="O193" s="194"/>
      <c r="P193" s="195"/>
    </row>
    <row r="194" spans="1:16">
      <c r="A194" s="3"/>
      <c r="B194" s="3" t="str">
        <f>TEXT(Tabela2234[[#This Row],[DATA]],"mmmm")</f>
        <v>janeiro</v>
      </c>
      <c r="C194" s="2"/>
      <c r="D194" s="2"/>
      <c r="E194" s="2"/>
      <c r="F194" s="2"/>
      <c r="G194" s="173"/>
      <c r="H194" s="174"/>
      <c r="I194" s="218" t="e">
        <f>Tabela2234[[#This Row],[PESO TOTAL]]/Tabela2234[[#This Row],[QUANTIDADE]]</f>
        <v>#DIV/0!</v>
      </c>
      <c r="J194" s="2"/>
      <c r="K194" s="193"/>
      <c r="L194" s="8"/>
      <c r="M194" s="8"/>
      <c r="N194" s="8"/>
      <c r="O194" s="194"/>
      <c r="P194" s="195"/>
    </row>
    <row r="195" spans="1:16">
      <c r="A195" s="3"/>
      <c r="B195" s="3" t="str">
        <f>TEXT(Tabela2234[[#This Row],[DATA]],"mmmm")</f>
        <v>janeiro</v>
      </c>
      <c r="C195" s="2"/>
      <c r="D195" s="2"/>
      <c r="E195" s="2"/>
      <c r="F195" s="2"/>
      <c r="G195" s="173"/>
      <c r="H195" s="174"/>
      <c r="I195" s="218" t="e">
        <f>Tabela2234[[#This Row],[PESO TOTAL]]/Tabela2234[[#This Row],[QUANTIDADE]]</f>
        <v>#DIV/0!</v>
      </c>
      <c r="J195" s="2"/>
      <c r="K195" s="193"/>
      <c r="L195" s="8"/>
      <c r="M195" s="8"/>
      <c r="N195" s="8"/>
      <c r="O195" s="194"/>
      <c r="P195" s="195"/>
    </row>
    <row r="196" spans="1:16">
      <c r="A196" s="3"/>
      <c r="B196" s="3" t="str">
        <f>TEXT(Tabela2234[[#This Row],[DATA]],"mmmm")</f>
        <v>janeiro</v>
      </c>
      <c r="C196" s="2"/>
      <c r="D196" s="2"/>
      <c r="E196" s="2"/>
      <c r="F196" s="2"/>
      <c r="G196" s="173"/>
      <c r="H196" s="174"/>
      <c r="I196" s="218" t="e">
        <f>Tabela2234[[#This Row],[PESO TOTAL]]/Tabela2234[[#This Row],[QUANTIDADE]]</f>
        <v>#DIV/0!</v>
      </c>
      <c r="J196" s="2"/>
      <c r="K196" s="193"/>
      <c r="L196" s="8"/>
      <c r="M196" s="8"/>
      <c r="N196" s="8"/>
      <c r="O196" s="194"/>
      <c r="P196" s="195"/>
    </row>
    <row r="197" spans="1:16">
      <c r="A197" s="3"/>
      <c r="B197" s="3" t="str">
        <f>TEXT(Tabela2234[[#This Row],[DATA]],"mmmm")</f>
        <v>janeiro</v>
      </c>
      <c r="C197" s="2"/>
      <c r="D197" s="2"/>
      <c r="E197" s="2"/>
      <c r="F197" s="2"/>
      <c r="G197" s="173"/>
      <c r="H197" s="174"/>
      <c r="I197" s="218" t="e">
        <f>Tabela2234[[#This Row],[PESO TOTAL]]/Tabela2234[[#This Row],[QUANTIDADE]]</f>
        <v>#DIV/0!</v>
      </c>
      <c r="J197" s="2"/>
      <c r="K197" s="193"/>
      <c r="L197" s="8"/>
      <c r="M197" s="8"/>
      <c r="N197" s="8"/>
      <c r="O197" s="194"/>
      <c r="P197" s="195"/>
    </row>
    <row r="198" spans="1:16">
      <c r="A198" s="3"/>
      <c r="B198" s="3" t="str">
        <f>TEXT(Tabela2234[[#This Row],[DATA]],"mmmm")</f>
        <v>janeiro</v>
      </c>
      <c r="C198" s="2"/>
      <c r="D198" s="2"/>
      <c r="E198" s="2"/>
      <c r="F198" s="2"/>
      <c r="G198" s="173"/>
      <c r="H198" s="174"/>
      <c r="I198" s="218" t="e">
        <f>Tabela2234[[#This Row],[PESO TOTAL]]/Tabela2234[[#This Row],[QUANTIDADE]]</f>
        <v>#DIV/0!</v>
      </c>
      <c r="J198" s="2"/>
      <c r="K198" s="193"/>
      <c r="L198" s="8"/>
      <c r="M198" s="8"/>
      <c r="N198" s="8"/>
      <c r="O198" s="194"/>
      <c r="P198" s="195"/>
    </row>
    <row r="199" spans="1:16">
      <c r="A199" s="3"/>
      <c r="B199" s="3" t="str">
        <f>TEXT(Tabela2234[[#This Row],[DATA]],"mmmm")</f>
        <v>janeiro</v>
      </c>
      <c r="C199" s="2"/>
      <c r="D199" s="2"/>
      <c r="E199" s="2"/>
      <c r="F199" s="2"/>
      <c r="G199" s="173"/>
      <c r="H199" s="174"/>
      <c r="I199" s="218" t="e">
        <f>Tabela2234[[#This Row],[PESO TOTAL]]/Tabela2234[[#This Row],[QUANTIDADE]]</f>
        <v>#DIV/0!</v>
      </c>
      <c r="J199" s="2"/>
      <c r="K199" s="193"/>
      <c r="L199" s="8"/>
      <c r="M199" s="8"/>
      <c r="N199" s="8"/>
      <c r="O199" s="194"/>
      <c r="P199" s="195"/>
    </row>
    <row r="200" spans="1:16">
      <c r="A200" s="3"/>
      <c r="B200" s="3" t="str">
        <f>TEXT(Tabela2234[[#This Row],[DATA]],"mmmm")</f>
        <v>janeiro</v>
      </c>
      <c r="C200" s="2"/>
      <c r="D200" s="2"/>
      <c r="E200" s="2"/>
      <c r="F200" s="2"/>
      <c r="G200" s="173"/>
      <c r="H200" s="174"/>
      <c r="I200" s="218" t="e">
        <f>Tabela2234[[#This Row],[PESO TOTAL]]/Tabela2234[[#This Row],[QUANTIDADE]]</f>
        <v>#DIV/0!</v>
      </c>
      <c r="J200" s="2"/>
      <c r="K200" s="193"/>
      <c r="L200" s="8"/>
      <c r="M200" s="8"/>
      <c r="N200" s="8"/>
      <c r="O200" s="194"/>
      <c r="P200" s="195"/>
    </row>
    <row r="201" spans="1:16">
      <c r="A201" s="3"/>
      <c r="B201" s="3" t="str">
        <f>TEXT(Tabela2234[[#This Row],[DATA]],"mmmm")</f>
        <v>janeiro</v>
      </c>
      <c r="C201" s="2"/>
      <c r="D201" s="2"/>
      <c r="E201" s="2"/>
      <c r="F201" s="2"/>
      <c r="G201" s="173"/>
      <c r="H201" s="174"/>
      <c r="I201" s="218" t="e">
        <f>Tabela2234[[#This Row],[PESO TOTAL]]/Tabela2234[[#This Row],[QUANTIDADE]]</f>
        <v>#DIV/0!</v>
      </c>
      <c r="J201" s="2"/>
      <c r="K201" s="193"/>
      <c r="L201" s="8"/>
      <c r="M201" s="8"/>
      <c r="N201" s="8"/>
      <c r="O201" s="194"/>
      <c r="P201" s="195"/>
    </row>
    <row r="202" spans="1:16">
      <c r="A202" s="3"/>
      <c r="B202" s="3" t="str">
        <f>TEXT(Tabela2234[[#This Row],[DATA]],"mmmm")</f>
        <v>janeiro</v>
      </c>
      <c r="C202" s="2"/>
      <c r="D202" s="2"/>
      <c r="E202" s="2"/>
      <c r="F202" s="2"/>
      <c r="G202" s="173"/>
      <c r="H202" s="174"/>
      <c r="I202" s="218" t="e">
        <f>Tabela2234[[#This Row],[PESO TOTAL]]/Tabela2234[[#This Row],[QUANTIDADE]]</f>
        <v>#DIV/0!</v>
      </c>
      <c r="J202" s="2"/>
      <c r="K202" s="193"/>
      <c r="L202" s="8"/>
      <c r="M202" s="8"/>
      <c r="N202" s="8"/>
      <c r="O202" s="194"/>
      <c r="P202" s="195"/>
    </row>
    <row r="203" spans="1:16">
      <c r="A203" s="3"/>
      <c r="B203" s="3" t="str">
        <f>TEXT(Tabela2234[[#This Row],[DATA]],"mmmm")</f>
        <v>janeiro</v>
      </c>
      <c r="C203" s="2"/>
      <c r="D203" s="2"/>
      <c r="E203" s="2"/>
      <c r="F203" s="2"/>
      <c r="G203" s="173"/>
      <c r="H203" s="174"/>
      <c r="I203" s="218" t="e">
        <f>Tabela2234[[#This Row],[PESO TOTAL]]/Tabela2234[[#This Row],[QUANTIDADE]]</f>
        <v>#DIV/0!</v>
      </c>
      <c r="J203" s="2"/>
      <c r="K203" s="193"/>
      <c r="L203" s="8"/>
      <c r="M203" s="8"/>
      <c r="N203" s="8"/>
      <c r="O203" s="194"/>
      <c r="P203" s="195"/>
    </row>
    <row r="204" spans="1:16">
      <c r="A204" s="3"/>
      <c r="B204" s="3" t="str">
        <f>TEXT(Tabela2234[[#This Row],[DATA]],"mmmm")</f>
        <v>janeiro</v>
      </c>
      <c r="C204" s="2"/>
      <c r="D204" s="2"/>
      <c r="E204" s="2"/>
      <c r="F204" s="2"/>
      <c r="G204" s="173"/>
      <c r="H204" s="174"/>
      <c r="I204" s="218" t="e">
        <f>Tabela2234[[#This Row],[PESO TOTAL]]/Tabela2234[[#This Row],[QUANTIDADE]]</f>
        <v>#DIV/0!</v>
      </c>
      <c r="J204" s="2"/>
      <c r="K204" s="193"/>
      <c r="L204" s="8"/>
      <c r="M204" s="8"/>
      <c r="N204" s="8"/>
      <c r="O204" s="194"/>
      <c r="P204" s="195"/>
    </row>
    <row r="205" spans="1:16">
      <c r="A205" s="3"/>
      <c r="B205" s="3" t="str">
        <f>TEXT(Tabela2234[[#This Row],[DATA]],"mmmm")</f>
        <v>janeiro</v>
      </c>
      <c r="C205" s="2"/>
      <c r="D205" s="2"/>
      <c r="E205" s="2"/>
      <c r="F205" s="2"/>
      <c r="G205" s="173"/>
      <c r="H205" s="174"/>
      <c r="I205" s="218" t="e">
        <f>Tabela2234[[#This Row],[PESO TOTAL]]/Tabela2234[[#This Row],[QUANTIDADE]]</f>
        <v>#DIV/0!</v>
      </c>
      <c r="J205" s="2"/>
      <c r="K205" s="193"/>
      <c r="L205" s="8"/>
      <c r="M205" s="8"/>
      <c r="N205" s="8"/>
      <c r="O205" s="194"/>
      <c r="P205" s="195"/>
    </row>
    <row r="206" spans="1:16">
      <c r="A206" s="3"/>
      <c r="B206" s="3" t="str">
        <f>TEXT(Tabela2234[[#This Row],[DATA]],"mmmm")</f>
        <v>janeiro</v>
      </c>
      <c r="C206" s="2"/>
      <c r="D206" s="2"/>
      <c r="E206" s="2"/>
      <c r="F206" s="2"/>
      <c r="G206" s="173"/>
      <c r="H206" s="174"/>
      <c r="I206" s="218" t="e">
        <f>Tabela2234[[#This Row],[PESO TOTAL]]/Tabela2234[[#This Row],[QUANTIDADE]]</f>
        <v>#DIV/0!</v>
      </c>
      <c r="J206" s="2"/>
      <c r="K206" s="193"/>
      <c r="L206" s="8"/>
      <c r="M206" s="8"/>
      <c r="N206" s="8"/>
      <c r="O206" s="194"/>
      <c r="P206" s="195"/>
    </row>
    <row r="207" spans="1:16">
      <c r="A207" s="3"/>
      <c r="B207" s="3" t="str">
        <f>TEXT(Tabela2234[[#This Row],[DATA]],"mmmm")</f>
        <v>janeiro</v>
      </c>
      <c r="C207" s="2"/>
      <c r="D207" s="2"/>
      <c r="E207" s="2"/>
      <c r="F207" s="2"/>
      <c r="G207" s="173"/>
      <c r="H207" s="174"/>
      <c r="I207" s="218" t="e">
        <f>Tabela2234[[#This Row],[PESO TOTAL]]/Tabela2234[[#This Row],[QUANTIDADE]]</f>
        <v>#DIV/0!</v>
      </c>
      <c r="J207" s="2"/>
      <c r="K207" s="193"/>
      <c r="L207" s="8"/>
      <c r="M207" s="8"/>
      <c r="N207" s="8"/>
      <c r="O207" s="194"/>
      <c r="P207" s="195"/>
    </row>
    <row r="208" spans="1:16">
      <c r="A208" s="3"/>
      <c r="B208" s="3" t="str">
        <f>TEXT(Tabela2234[[#This Row],[DATA]],"mmmm")</f>
        <v>janeiro</v>
      </c>
      <c r="C208" s="2"/>
      <c r="D208" s="2"/>
      <c r="E208" s="2"/>
      <c r="F208" s="2"/>
      <c r="G208" s="173"/>
      <c r="H208" s="174"/>
      <c r="I208" s="218" t="e">
        <f>Tabela2234[[#This Row],[PESO TOTAL]]/Tabela2234[[#This Row],[QUANTIDADE]]</f>
        <v>#DIV/0!</v>
      </c>
      <c r="J208" s="2"/>
      <c r="K208" s="193"/>
      <c r="L208" s="8"/>
      <c r="M208" s="8"/>
      <c r="N208" s="8"/>
      <c r="O208" s="194"/>
      <c r="P208" s="195"/>
    </row>
    <row r="209" spans="1:16">
      <c r="A209" s="3"/>
      <c r="B209" s="3" t="str">
        <f>TEXT(Tabela2234[[#This Row],[DATA]],"mmmm")</f>
        <v>janeiro</v>
      </c>
      <c r="C209" s="2"/>
      <c r="D209" s="2"/>
      <c r="E209" s="2"/>
      <c r="F209" s="2"/>
      <c r="G209" s="173"/>
      <c r="H209" s="174"/>
      <c r="I209" s="218" t="e">
        <f>Tabela2234[[#This Row],[PESO TOTAL]]/Tabela2234[[#This Row],[QUANTIDADE]]</f>
        <v>#DIV/0!</v>
      </c>
      <c r="J209" s="2"/>
      <c r="K209" s="193"/>
      <c r="L209" s="8"/>
      <c r="M209" s="8"/>
      <c r="N209" s="8"/>
      <c r="O209" s="194"/>
      <c r="P209" s="195"/>
    </row>
    <row r="210" spans="1:16">
      <c r="A210" s="3"/>
      <c r="B210" s="3" t="str">
        <f>TEXT(Tabela2234[[#This Row],[DATA]],"mmmm")</f>
        <v>janeiro</v>
      </c>
      <c r="C210" s="2"/>
      <c r="D210" s="2"/>
      <c r="E210" s="2"/>
      <c r="F210" s="2"/>
      <c r="G210" s="173"/>
      <c r="H210" s="174"/>
      <c r="I210" s="218" t="e">
        <f>Tabela2234[[#This Row],[PESO TOTAL]]/Tabela2234[[#This Row],[QUANTIDADE]]</f>
        <v>#DIV/0!</v>
      </c>
      <c r="J210" s="2"/>
      <c r="K210" s="193"/>
      <c r="L210" s="8"/>
      <c r="M210" s="8"/>
      <c r="N210" s="8"/>
      <c r="O210" s="194"/>
      <c r="P210" s="195"/>
    </row>
    <row r="211" spans="1:16">
      <c r="A211" s="3"/>
      <c r="B211" s="3" t="str">
        <f>TEXT(Tabela2234[[#This Row],[DATA]],"mmmm")</f>
        <v>janeiro</v>
      </c>
      <c r="C211" s="2"/>
      <c r="D211" s="2"/>
      <c r="E211" s="2"/>
      <c r="F211" s="2"/>
      <c r="G211" s="173"/>
      <c r="H211" s="174"/>
      <c r="I211" s="218" t="e">
        <f>Tabela2234[[#This Row],[PESO TOTAL]]/Tabela2234[[#This Row],[QUANTIDADE]]</f>
        <v>#DIV/0!</v>
      </c>
      <c r="J211" s="2"/>
      <c r="K211" s="193"/>
      <c r="L211" s="8"/>
      <c r="M211" s="8"/>
      <c r="N211" s="8"/>
      <c r="O211" s="194"/>
      <c r="P211" s="195"/>
    </row>
    <row r="212" spans="1:16">
      <c r="A212" s="3"/>
      <c r="B212" s="3" t="str">
        <f>TEXT(Tabela2234[[#This Row],[DATA]],"mmmm")</f>
        <v>janeiro</v>
      </c>
      <c r="C212" s="2"/>
      <c r="D212" s="2"/>
      <c r="E212" s="2"/>
      <c r="F212" s="2"/>
      <c r="G212" s="173"/>
      <c r="H212" s="174"/>
      <c r="I212" s="218" t="e">
        <f>Tabela2234[[#This Row],[PESO TOTAL]]/Tabela2234[[#This Row],[QUANTIDADE]]</f>
        <v>#DIV/0!</v>
      </c>
      <c r="J212" s="2"/>
      <c r="K212" s="193"/>
      <c r="L212" s="8"/>
      <c r="M212" s="8"/>
      <c r="N212" s="8"/>
      <c r="O212" s="194"/>
      <c r="P212" s="195"/>
    </row>
    <row r="213" spans="1:16">
      <c r="A213" s="3"/>
      <c r="B213" s="3" t="str">
        <f>TEXT(Tabela2234[[#This Row],[DATA]],"mmmm")</f>
        <v>janeiro</v>
      </c>
      <c r="C213" s="2"/>
      <c r="D213" s="2"/>
      <c r="E213" s="2"/>
      <c r="F213" s="2"/>
      <c r="G213" s="173"/>
      <c r="H213" s="174"/>
      <c r="I213" s="218" t="e">
        <f>Tabela2234[[#This Row],[PESO TOTAL]]/Tabela2234[[#This Row],[QUANTIDADE]]</f>
        <v>#DIV/0!</v>
      </c>
      <c r="J213" s="2"/>
      <c r="K213" s="193"/>
      <c r="L213" s="8"/>
      <c r="M213" s="8"/>
      <c r="N213" s="8"/>
      <c r="O213" s="194"/>
      <c r="P213" s="195"/>
    </row>
    <row r="214" spans="1:16">
      <c r="A214" s="3"/>
      <c r="B214" s="3" t="str">
        <f>TEXT(Tabela2234[[#This Row],[DATA]],"mmmm")</f>
        <v>janeiro</v>
      </c>
      <c r="C214" s="2"/>
      <c r="D214" s="2"/>
      <c r="E214" s="2"/>
      <c r="F214" s="2"/>
      <c r="G214" s="173"/>
      <c r="H214" s="174"/>
      <c r="I214" s="218" t="e">
        <f>Tabela2234[[#This Row],[PESO TOTAL]]/Tabela2234[[#This Row],[QUANTIDADE]]</f>
        <v>#DIV/0!</v>
      </c>
      <c r="J214" s="2"/>
      <c r="K214" s="193"/>
      <c r="L214" s="8"/>
      <c r="M214" s="8"/>
      <c r="N214" s="8"/>
      <c r="O214" s="194"/>
      <c r="P214" s="195"/>
    </row>
    <row r="215" spans="1:16">
      <c r="A215" s="3"/>
      <c r="B215" s="3" t="str">
        <f>TEXT(Tabela2234[[#This Row],[DATA]],"mmmm")</f>
        <v>janeiro</v>
      </c>
      <c r="C215" s="2"/>
      <c r="D215" s="2"/>
      <c r="E215" s="2"/>
      <c r="F215" s="2"/>
      <c r="G215" s="173"/>
      <c r="H215" s="174"/>
      <c r="I215" s="218" t="e">
        <f>Tabela2234[[#This Row],[PESO TOTAL]]/Tabela2234[[#This Row],[QUANTIDADE]]</f>
        <v>#DIV/0!</v>
      </c>
      <c r="J215" s="2"/>
      <c r="K215" s="193"/>
      <c r="L215" s="8"/>
      <c r="M215" s="8"/>
      <c r="N215" s="8"/>
      <c r="O215" s="194"/>
      <c r="P215" s="195"/>
    </row>
    <row r="216" spans="1:16">
      <c r="A216" s="3"/>
      <c r="B216" s="3" t="str">
        <f>TEXT(Tabela2234[[#This Row],[DATA]],"mmmm")</f>
        <v>janeiro</v>
      </c>
      <c r="C216" s="2"/>
      <c r="D216" s="2"/>
      <c r="E216" s="2"/>
      <c r="F216" s="2"/>
      <c r="G216" s="173"/>
      <c r="H216" s="174"/>
      <c r="I216" s="218" t="e">
        <f>Tabela2234[[#This Row],[PESO TOTAL]]/Tabela2234[[#This Row],[QUANTIDADE]]</f>
        <v>#DIV/0!</v>
      </c>
      <c r="J216" s="2"/>
      <c r="K216" s="193"/>
      <c r="L216" s="8"/>
      <c r="M216" s="8"/>
      <c r="N216" s="8"/>
      <c r="O216" s="194"/>
      <c r="P216" s="195"/>
    </row>
    <row r="217" spans="1:16">
      <c r="A217" s="3"/>
      <c r="B217" s="3" t="str">
        <f>TEXT(Tabela2234[[#This Row],[DATA]],"mmmm")</f>
        <v>janeiro</v>
      </c>
      <c r="C217" s="2"/>
      <c r="D217" s="2"/>
      <c r="E217" s="2"/>
      <c r="F217" s="2"/>
      <c r="G217" s="173"/>
      <c r="H217" s="174"/>
      <c r="I217" s="218" t="e">
        <f>Tabela2234[[#This Row],[PESO TOTAL]]/Tabela2234[[#This Row],[QUANTIDADE]]</f>
        <v>#DIV/0!</v>
      </c>
      <c r="J217" s="2"/>
      <c r="K217" s="193"/>
      <c r="L217" s="8"/>
      <c r="M217" s="8"/>
      <c r="N217" s="8"/>
      <c r="O217" s="194"/>
      <c r="P217" s="195"/>
    </row>
    <row r="218" spans="1:16">
      <c r="A218" s="3"/>
      <c r="B218" s="3" t="str">
        <f>TEXT(Tabela2234[[#This Row],[DATA]],"mmmm")</f>
        <v>janeiro</v>
      </c>
      <c r="C218" s="2"/>
      <c r="D218" s="2"/>
      <c r="E218" s="2"/>
      <c r="F218" s="2"/>
      <c r="G218" s="173"/>
      <c r="H218" s="174"/>
      <c r="I218" s="218" t="e">
        <f>Tabela2234[[#This Row],[PESO TOTAL]]/Tabela2234[[#This Row],[QUANTIDADE]]</f>
        <v>#DIV/0!</v>
      </c>
      <c r="J218" s="2"/>
      <c r="K218" s="193"/>
      <c r="L218" s="8"/>
      <c r="M218" s="8"/>
      <c r="N218" s="8"/>
      <c r="O218" s="194"/>
      <c r="P218" s="195"/>
    </row>
    <row r="219" spans="1:16">
      <c r="A219" s="3"/>
      <c r="B219" s="3" t="str">
        <f>TEXT(Tabela2234[[#This Row],[DATA]],"mmmm")</f>
        <v>janeiro</v>
      </c>
      <c r="C219" s="2"/>
      <c r="D219" s="2"/>
      <c r="E219" s="2"/>
      <c r="F219" s="2"/>
      <c r="G219" s="173"/>
      <c r="H219" s="174"/>
      <c r="I219" s="218" t="e">
        <f>Tabela2234[[#This Row],[PESO TOTAL]]/Tabela2234[[#This Row],[QUANTIDADE]]</f>
        <v>#DIV/0!</v>
      </c>
      <c r="J219" s="2"/>
      <c r="K219" s="193"/>
      <c r="L219" s="8"/>
      <c r="M219" s="8"/>
      <c r="N219" s="8"/>
      <c r="O219" s="194"/>
      <c r="P219" s="195"/>
    </row>
    <row r="220" spans="1:16">
      <c r="A220" s="3"/>
      <c r="B220" s="3" t="str">
        <f>TEXT(Tabela2234[[#This Row],[DATA]],"mmmm")</f>
        <v>janeiro</v>
      </c>
      <c r="C220" s="2"/>
      <c r="D220" s="2"/>
      <c r="E220" s="2"/>
      <c r="F220" s="2"/>
      <c r="G220" s="173"/>
      <c r="H220" s="174"/>
      <c r="I220" s="218" t="e">
        <f>Tabela2234[[#This Row],[PESO TOTAL]]/Tabela2234[[#This Row],[QUANTIDADE]]</f>
        <v>#DIV/0!</v>
      </c>
      <c r="J220" s="2"/>
      <c r="K220" s="193"/>
      <c r="L220" s="8"/>
      <c r="M220" s="8"/>
      <c r="N220" s="8"/>
      <c r="O220" s="194"/>
      <c r="P220" s="195"/>
    </row>
    <row r="221" spans="1:16">
      <c r="A221" s="3"/>
      <c r="B221" s="3" t="str">
        <f>TEXT(Tabela2234[[#This Row],[DATA]],"mmmm")</f>
        <v>janeiro</v>
      </c>
      <c r="C221" s="2"/>
      <c r="D221" s="2"/>
      <c r="E221" s="2"/>
      <c r="F221" s="2"/>
      <c r="G221" s="173"/>
      <c r="H221" s="174"/>
      <c r="I221" s="218" t="e">
        <f>Tabela2234[[#This Row],[PESO TOTAL]]/Tabela2234[[#This Row],[QUANTIDADE]]</f>
        <v>#DIV/0!</v>
      </c>
      <c r="J221" s="2"/>
      <c r="K221" s="193"/>
      <c r="L221" s="8"/>
      <c r="M221" s="8"/>
      <c r="N221" s="8"/>
      <c r="O221" s="194"/>
      <c r="P221" s="195"/>
    </row>
    <row r="222" spans="1:16">
      <c r="A222" s="3"/>
      <c r="B222" s="3" t="str">
        <f>TEXT(Tabela2234[[#This Row],[DATA]],"mmmm")</f>
        <v>janeiro</v>
      </c>
      <c r="C222" s="2"/>
      <c r="D222" s="2"/>
      <c r="E222" s="2"/>
      <c r="F222" s="2"/>
      <c r="G222" s="173"/>
      <c r="H222" s="174"/>
      <c r="I222" s="218" t="e">
        <f>Tabela2234[[#This Row],[PESO TOTAL]]/Tabela2234[[#This Row],[QUANTIDADE]]</f>
        <v>#DIV/0!</v>
      </c>
      <c r="J222" s="2"/>
      <c r="K222" s="193"/>
      <c r="L222" s="8"/>
      <c r="M222" s="8"/>
      <c r="N222" s="8"/>
      <c r="O222" s="194"/>
      <c r="P222" s="195"/>
    </row>
    <row r="223" spans="1:16">
      <c r="A223" s="3"/>
      <c r="B223" s="3" t="str">
        <f>TEXT(Tabela2234[[#This Row],[DATA]],"mmmm")</f>
        <v>janeiro</v>
      </c>
      <c r="C223" s="2"/>
      <c r="D223" s="2"/>
      <c r="E223" s="2"/>
      <c r="F223" s="2"/>
      <c r="G223" s="173"/>
      <c r="H223" s="174"/>
      <c r="I223" s="218" t="e">
        <f>Tabela2234[[#This Row],[PESO TOTAL]]/Tabela2234[[#This Row],[QUANTIDADE]]</f>
        <v>#DIV/0!</v>
      </c>
      <c r="J223" s="2"/>
      <c r="K223" s="193"/>
      <c r="L223" s="8"/>
      <c r="M223" s="8"/>
      <c r="N223" s="8"/>
      <c r="O223" s="194"/>
      <c r="P223" s="195"/>
    </row>
    <row r="224" spans="1:16">
      <c r="A224" s="3"/>
      <c r="B224" s="3" t="str">
        <f>TEXT(Tabela2234[[#This Row],[DATA]],"mmmm")</f>
        <v>janeiro</v>
      </c>
      <c r="C224" s="2"/>
      <c r="D224" s="2"/>
      <c r="E224" s="2"/>
      <c r="F224" s="2"/>
      <c r="G224" s="173"/>
      <c r="H224" s="174"/>
      <c r="I224" s="218" t="e">
        <f>Tabela2234[[#This Row],[PESO TOTAL]]/Tabela2234[[#This Row],[QUANTIDADE]]</f>
        <v>#DIV/0!</v>
      </c>
      <c r="J224" s="2"/>
      <c r="K224" s="193"/>
      <c r="L224" s="8"/>
      <c r="M224" s="8"/>
      <c r="N224" s="8"/>
      <c r="O224" s="194"/>
      <c r="P224" s="195"/>
    </row>
    <row r="225" spans="1:16">
      <c r="A225" s="3"/>
      <c r="B225" s="3" t="str">
        <f>TEXT(Tabela2234[[#This Row],[DATA]],"mmmm")</f>
        <v>janeiro</v>
      </c>
      <c r="C225" s="2"/>
      <c r="D225" s="2"/>
      <c r="E225" s="2"/>
      <c r="F225" s="2"/>
      <c r="G225" s="173"/>
      <c r="H225" s="174"/>
      <c r="I225" s="218" t="e">
        <f>Tabela2234[[#This Row],[PESO TOTAL]]/Tabela2234[[#This Row],[QUANTIDADE]]</f>
        <v>#DIV/0!</v>
      </c>
      <c r="J225" s="2"/>
      <c r="K225" s="193"/>
      <c r="L225" s="8"/>
      <c r="M225" s="8"/>
      <c r="N225" s="8"/>
      <c r="O225" s="194"/>
      <c r="P225" s="195"/>
    </row>
    <row r="226" spans="1:16">
      <c r="A226" s="3"/>
      <c r="B226" s="3" t="str">
        <f>TEXT(Tabela2234[[#This Row],[DATA]],"mmmm")</f>
        <v>janeiro</v>
      </c>
      <c r="C226" s="2"/>
      <c r="D226" s="2"/>
      <c r="E226" s="2"/>
      <c r="F226" s="2"/>
      <c r="G226" s="173"/>
      <c r="H226" s="174"/>
      <c r="I226" s="218" t="e">
        <f>Tabela2234[[#This Row],[PESO TOTAL]]/Tabela2234[[#This Row],[QUANTIDADE]]</f>
        <v>#DIV/0!</v>
      </c>
      <c r="J226" s="2"/>
      <c r="K226" s="193"/>
      <c r="L226" s="8"/>
      <c r="M226" s="8"/>
      <c r="N226" s="8"/>
      <c r="O226" s="194"/>
      <c r="P226" s="195"/>
    </row>
    <row r="227" spans="1:16">
      <c r="A227" s="3"/>
      <c r="B227" s="3" t="str">
        <f>TEXT(Tabela2234[[#This Row],[DATA]],"mmmm")</f>
        <v>janeiro</v>
      </c>
      <c r="C227" s="2"/>
      <c r="D227" s="2"/>
      <c r="E227" s="2"/>
      <c r="F227" s="2"/>
      <c r="G227" s="173"/>
      <c r="H227" s="174"/>
      <c r="I227" s="218" t="e">
        <f>Tabela2234[[#This Row],[PESO TOTAL]]/Tabela2234[[#This Row],[QUANTIDADE]]</f>
        <v>#DIV/0!</v>
      </c>
      <c r="J227" s="2"/>
      <c r="K227" s="193"/>
      <c r="L227" s="8"/>
      <c r="M227" s="8"/>
      <c r="N227" s="8"/>
      <c r="O227" s="194"/>
      <c r="P227" s="195"/>
    </row>
    <row r="228" spans="1:16">
      <c r="A228" s="3"/>
      <c r="B228" s="3" t="str">
        <f>TEXT(Tabela2234[[#This Row],[DATA]],"mmmm")</f>
        <v>janeiro</v>
      </c>
      <c r="C228" s="2"/>
      <c r="D228" s="2"/>
      <c r="E228" s="2"/>
      <c r="F228" s="2"/>
      <c r="G228" s="173"/>
      <c r="H228" s="174"/>
      <c r="I228" s="218" t="e">
        <f>Tabela2234[[#This Row],[PESO TOTAL]]/Tabela2234[[#This Row],[QUANTIDADE]]</f>
        <v>#DIV/0!</v>
      </c>
      <c r="J228" s="2"/>
      <c r="K228" s="193"/>
      <c r="L228" s="8"/>
      <c r="M228" s="8"/>
      <c r="N228" s="8"/>
      <c r="O228" s="194"/>
      <c r="P228" s="195"/>
    </row>
    <row r="229" spans="1:16">
      <c r="A229" s="3"/>
      <c r="B229" s="3" t="str">
        <f>TEXT(Tabela2234[[#This Row],[DATA]],"mmmm")</f>
        <v>janeiro</v>
      </c>
      <c r="C229" s="2"/>
      <c r="D229" s="2"/>
      <c r="E229" s="2"/>
      <c r="F229" s="2"/>
      <c r="G229" s="173"/>
      <c r="H229" s="174"/>
      <c r="I229" s="218" t="e">
        <f>Tabela2234[[#This Row],[PESO TOTAL]]/Tabela2234[[#This Row],[QUANTIDADE]]</f>
        <v>#DIV/0!</v>
      </c>
      <c r="J229" s="2"/>
      <c r="K229" s="193"/>
      <c r="L229" s="8"/>
      <c r="M229" s="8"/>
      <c r="N229" s="8"/>
      <c r="O229" s="194"/>
      <c r="P229" s="195"/>
    </row>
    <row r="230" spans="1:16">
      <c r="A230" s="3"/>
      <c r="B230" s="3" t="str">
        <f>TEXT(Tabela2234[[#This Row],[DATA]],"mmmm")</f>
        <v>janeiro</v>
      </c>
      <c r="C230" s="2"/>
      <c r="D230" s="2"/>
      <c r="E230" s="2"/>
      <c r="F230" s="2"/>
      <c r="G230" s="173"/>
      <c r="H230" s="174"/>
      <c r="I230" s="218" t="e">
        <f>Tabela2234[[#This Row],[PESO TOTAL]]/Tabela2234[[#This Row],[QUANTIDADE]]</f>
        <v>#DIV/0!</v>
      </c>
      <c r="J230" s="2"/>
      <c r="K230" s="193"/>
      <c r="L230" s="8"/>
      <c r="M230" s="8"/>
      <c r="N230" s="8"/>
      <c r="O230" s="194"/>
      <c r="P230" s="195"/>
    </row>
    <row r="231" spans="1:16">
      <c r="A231" s="3"/>
      <c r="B231" s="3" t="str">
        <f>TEXT(Tabela2234[[#This Row],[DATA]],"mmmm")</f>
        <v>janeiro</v>
      </c>
      <c r="C231" s="2"/>
      <c r="D231" s="2"/>
      <c r="E231" s="2"/>
      <c r="F231" s="2"/>
      <c r="G231" s="173"/>
      <c r="H231" s="174"/>
      <c r="I231" s="218" t="e">
        <f>Tabela2234[[#This Row],[PESO TOTAL]]/Tabela2234[[#This Row],[QUANTIDADE]]</f>
        <v>#DIV/0!</v>
      </c>
      <c r="J231" s="2"/>
      <c r="K231" s="193"/>
      <c r="L231" s="8"/>
      <c r="M231" s="8"/>
      <c r="N231" s="8"/>
      <c r="O231" s="194"/>
      <c r="P231" s="195"/>
    </row>
    <row r="232" spans="1:16">
      <c r="A232" s="3"/>
      <c r="B232" s="3" t="str">
        <f>TEXT(Tabela2234[[#This Row],[DATA]],"mmmm")</f>
        <v>janeiro</v>
      </c>
      <c r="C232" s="2"/>
      <c r="D232" s="2"/>
      <c r="E232" s="2"/>
      <c r="F232" s="2"/>
      <c r="G232" s="173"/>
      <c r="H232" s="174"/>
      <c r="I232" s="218" t="e">
        <f>Tabela2234[[#This Row],[PESO TOTAL]]/Tabela2234[[#This Row],[QUANTIDADE]]</f>
        <v>#DIV/0!</v>
      </c>
      <c r="J232" s="2"/>
      <c r="K232" s="193"/>
      <c r="L232" s="8"/>
      <c r="M232" s="8"/>
      <c r="N232" s="8"/>
      <c r="O232" s="194"/>
      <c r="P232" s="195"/>
    </row>
    <row r="233" spans="1:16">
      <c r="A233" s="3"/>
      <c r="B233" s="3" t="str">
        <f>TEXT(Tabela2234[[#This Row],[DATA]],"mmmm")</f>
        <v>janeiro</v>
      </c>
      <c r="C233" s="2"/>
      <c r="D233" s="2"/>
      <c r="E233" s="2"/>
      <c r="F233" s="2"/>
      <c r="G233" s="173"/>
      <c r="H233" s="174"/>
      <c r="I233" s="218" t="e">
        <f>Tabela2234[[#This Row],[PESO TOTAL]]/Tabela2234[[#This Row],[QUANTIDADE]]</f>
        <v>#DIV/0!</v>
      </c>
      <c r="J233" s="2"/>
      <c r="K233" s="193"/>
      <c r="L233" s="8"/>
      <c r="M233" s="8"/>
      <c r="N233" s="8"/>
      <c r="O233" s="194"/>
      <c r="P233" s="195"/>
    </row>
    <row r="234" spans="1:16">
      <c r="A234" s="3"/>
      <c r="B234" s="3" t="str">
        <f>TEXT(Tabela2234[[#This Row],[DATA]],"mmmm")</f>
        <v>janeiro</v>
      </c>
      <c r="C234" s="2"/>
      <c r="D234" s="2"/>
      <c r="E234" s="2"/>
      <c r="F234" s="2"/>
      <c r="G234" s="173"/>
      <c r="H234" s="174"/>
      <c r="I234" s="218" t="e">
        <f>Tabela2234[[#This Row],[PESO TOTAL]]/Tabela2234[[#This Row],[QUANTIDADE]]</f>
        <v>#DIV/0!</v>
      </c>
      <c r="J234" s="2"/>
      <c r="K234" s="193"/>
      <c r="L234" s="8"/>
      <c r="M234" s="8"/>
      <c r="N234" s="8"/>
      <c r="O234" s="194"/>
      <c r="P234" s="195"/>
    </row>
    <row r="235" spans="1:16">
      <c r="A235" s="3"/>
      <c r="B235" s="3" t="str">
        <f>TEXT(Tabela2234[[#This Row],[DATA]],"mmmm")</f>
        <v>janeiro</v>
      </c>
      <c r="C235" s="2"/>
      <c r="D235" s="2"/>
      <c r="E235" s="2"/>
      <c r="F235" s="2"/>
      <c r="G235" s="173"/>
      <c r="H235" s="174"/>
      <c r="I235" s="218" t="e">
        <f>Tabela2234[[#This Row],[PESO TOTAL]]/Tabela2234[[#This Row],[QUANTIDADE]]</f>
        <v>#DIV/0!</v>
      </c>
      <c r="J235" s="2"/>
      <c r="K235" s="193"/>
      <c r="L235" s="8"/>
      <c r="M235" s="8"/>
      <c r="N235" s="8"/>
      <c r="O235" s="194"/>
      <c r="P235" s="195"/>
    </row>
    <row r="236" spans="1:16">
      <c r="A236" s="3"/>
      <c r="B236" s="3" t="str">
        <f>TEXT(Tabela2234[[#This Row],[DATA]],"mmmm")</f>
        <v>janeiro</v>
      </c>
      <c r="C236" s="2"/>
      <c r="D236" s="2"/>
      <c r="E236" s="2"/>
      <c r="F236" s="2"/>
      <c r="G236" s="173"/>
      <c r="H236" s="174"/>
      <c r="I236" s="218" t="e">
        <f>Tabela2234[[#This Row],[PESO TOTAL]]/Tabela2234[[#This Row],[QUANTIDADE]]</f>
        <v>#DIV/0!</v>
      </c>
      <c r="J236" s="2"/>
      <c r="K236" s="193"/>
      <c r="L236" s="8"/>
      <c r="M236" s="8"/>
      <c r="N236" s="8"/>
      <c r="O236" s="194"/>
      <c r="P236" s="195"/>
    </row>
    <row r="237" spans="1:16">
      <c r="A237" s="3"/>
      <c r="B237" s="3" t="str">
        <f>TEXT(Tabela2234[[#This Row],[DATA]],"mmmm")</f>
        <v>janeiro</v>
      </c>
      <c r="C237" s="2"/>
      <c r="D237" s="2"/>
      <c r="E237" s="2"/>
      <c r="F237" s="2"/>
      <c r="G237" s="173"/>
      <c r="H237" s="174"/>
      <c r="I237" s="218" t="e">
        <f>Tabela2234[[#This Row],[PESO TOTAL]]/Tabela2234[[#This Row],[QUANTIDADE]]</f>
        <v>#DIV/0!</v>
      </c>
      <c r="J237" s="2"/>
      <c r="K237" s="193"/>
      <c r="L237" s="8"/>
      <c r="M237" s="8"/>
      <c r="N237" s="8"/>
      <c r="O237" s="194"/>
      <c r="P237" s="195"/>
    </row>
    <row r="238" spans="1:16">
      <c r="A238" s="3"/>
      <c r="B238" s="3" t="str">
        <f>TEXT(Tabela2234[[#This Row],[DATA]],"mmmm")</f>
        <v>janeiro</v>
      </c>
      <c r="C238" s="2"/>
      <c r="D238" s="2"/>
      <c r="E238" s="2"/>
      <c r="F238" s="2"/>
      <c r="G238" s="173"/>
      <c r="H238" s="174"/>
      <c r="I238" s="218" t="e">
        <f>Tabela2234[[#This Row],[PESO TOTAL]]/Tabela2234[[#This Row],[QUANTIDADE]]</f>
        <v>#DIV/0!</v>
      </c>
      <c r="J238" s="2"/>
      <c r="K238" s="193"/>
      <c r="L238" s="8"/>
      <c r="M238" s="8"/>
      <c r="N238" s="8"/>
      <c r="O238" s="194"/>
      <c r="P238" s="195"/>
    </row>
    <row r="239" spans="1:16">
      <c r="A239" s="3"/>
      <c r="B239" s="3" t="str">
        <f>TEXT(Tabela2234[[#This Row],[DATA]],"mmmm")</f>
        <v>janeiro</v>
      </c>
      <c r="C239" s="2"/>
      <c r="D239" s="2"/>
      <c r="E239" s="2"/>
      <c r="F239" s="2"/>
      <c r="G239" s="173"/>
      <c r="H239" s="174"/>
      <c r="I239" s="218" t="e">
        <f>Tabela2234[[#This Row],[PESO TOTAL]]/Tabela2234[[#This Row],[QUANTIDADE]]</f>
        <v>#DIV/0!</v>
      </c>
      <c r="J239" s="2"/>
      <c r="K239" s="193"/>
      <c r="L239" s="8"/>
      <c r="M239" s="8"/>
      <c r="N239" s="8"/>
      <c r="O239" s="194"/>
      <c r="P239" s="195"/>
    </row>
    <row r="240" spans="1:16">
      <c r="A240" s="3"/>
      <c r="B240" s="3" t="str">
        <f>TEXT(Tabela2234[[#This Row],[DATA]],"mmmm")</f>
        <v>janeiro</v>
      </c>
      <c r="C240" s="2"/>
      <c r="D240" s="2"/>
      <c r="E240" s="2"/>
      <c r="F240" s="2"/>
      <c r="G240" s="173"/>
      <c r="H240" s="174"/>
      <c r="I240" s="218" t="e">
        <f>Tabela2234[[#This Row],[PESO TOTAL]]/Tabela2234[[#This Row],[QUANTIDADE]]</f>
        <v>#DIV/0!</v>
      </c>
      <c r="J240" s="2"/>
      <c r="K240" s="193"/>
      <c r="L240" s="8"/>
      <c r="M240" s="8"/>
      <c r="N240" s="8"/>
      <c r="O240" s="194"/>
      <c r="P240" s="195"/>
    </row>
    <row r="241" spans="1:16">
      <c r="A241" s="3"/>
      <c r="B241" s="3" t="str">
        <f>TEXT(Tabela2234[[#This Row],[DATA]],"mmmm")</f>
        <v>janeiro</v>
      </c>
      <c r="C241" s="2"/>
      <c r="D241" s="2"/>
      <c r="E241" s="2"/>
      <c r="F241" s="2"/>
      <c r="G241" s="173"/>
      <c r="H241" s="174"/>
      <c r="I241" s="218" t="e">
        <f>Tabela2234[[#This Row],[PESO TOTAL]]/Tabela2234[[#This Row],[QUANTIDADE]]</f>
        <v>#DIV/0!</v>
      </c>
      <c r="J241" s="2"/>
      <c r="K241" s="193"/>
      <c r="L241" s="8"/>
      <c r="M241" s="8"/>
      <c r="N241" s="8"/>
      <c r="O241" s="194"/>
      <c r="P241" s="195"/>
    </row>
    <row r="242" spans="1:16">
      <c r="A242" s="3"/>
      <c r="B242" s="3" t="str">
        <f>TEXT(Tabela2234[[#This Row],[DATA]],"mmmm")</f>
        <v>janeiro</v>
      </c>
      <c r="C242" s="2"/>
      <c r="D242" s="2"/>
      <c r="E242" s="2"/>
      <c r="F242" s="2"/>
      <c r="G242" s="173"/>
      <c r="H242" s="174"/>
      <c r="I242" s="218" t="e">
        <f>Tabela2234[[#This Row],[PESO TOTAL]]/Tabela2234[[#This Row],[QUANTIDADE]]</f>
        <v>#DIV/0!</v>
      </c>
      <c r="J242" s="2"/>
      <c r="K242" s="193"/>
      <c r="L242" s="8"/>
      <c r="M242" s="8"/>
      <c r="N242" s="8"/>
      <c r="O242" s="194"/>
      <c r="P242" s="195"/>
    </row>
    <row r="243" spans="1:16">
      <c r="A243" s="3"/>
      <c r="B243" s="3" t="str">
        <f>TEXT(Tabela2234[[#This Row],[DATA]],"mmmm")</f>
        <v>janeiro</v>
      </c>
      <c r="C243" s="2"/>
      <c r="D243" s="2"/>
      <c r="E243" s="2"/>
      <c r="F243" s="2"/>
      <c r="G243" s="173"/>
      <c r="H243" s="174"/>
      <c r="I243" s="218" t="e">
        <f>Tabela2234[[#This Row],[PESO TOTAL]]/Tabela2234[[#This Row],[QUANTIDADE]]</f>
        <v>#DIV/0!</v>
      </c>
      <c r="J243" s="2"/>
      <c r="K243" s="193"/>
      <c r="L243" s="8"/>
      <c r="M243" s="8"/>
      <c r="N243" s="8"/>
      <c r="O243" s="194"/>
      <c r="P243" s="195"/>
    </row>
    <row r="244" spans="1:16">
      <c r="A244" s="3"/>
      <c r="B244" s="3" t="str">
        <f>TEXT(Tabela2234[[#This Row],[DATA]],"mmmm")</f>
        <v>janeiro</v>
      </c>
      <c r="C244" s="2"/>
      <c r="D244" s="2"/>
      <c r="E244" s="2"/>
      <c r="F244" s="2"/>
      <c r="G244" s="173"/>
      <c r="H244" s="174"/>
      <c r="I244" s="218" t="e">
        <f>Tabela2234[[#This Row],[PESO TOTAL]]/Tabela2234[[#This Row],[QUANTIDADE]]</f>
        <v>#DIV/0!</v>
      </c>
      <c r="J244" s="2"/>
      <c r="K244" s="193"/>
      <c r="L244" s="8"/>
      <c r="M244" s="8"/>
      <c r="N244" s="8"/>
      <c r="O244" s="194"/>
      <c r="P244" s="195"/>
    </row>
    <row r="245" spans="1:16">
      <c r="A245" s="3"/>
      <c r="B245" s="3" t="str">
        <f>TEXT(Tabela2234[[#This Row],[DATA]],"mmmm")</f>
        <v>janeiro</v>
      </c>
      <c r="C245" s="2"/>
      <c r="D245" s="2"/>
      <c r="E245" s="2"/>
      <c r="F245" s="2"/>
      <c r="G245" s="173"/>
      <c r="H245" s="174"/>
      <c r="I245" s="218" t="e">
        <f>Tabela2234[[#This Row],[PESO TOTAL]]/Tabela2234[[#This Row],[QUANTIDADE]]</f>
        <v>#DIV/0!</v>
      </c>
      <c r="J245" s="2"/>
      <c r="K245" s="193"/>
      <c r="L245" s="8"/>
      <c r="M245" s="8"/>
      <c r="N245" s="8"/>
      <c r="O245" s="194"/>
      <c r="P245" s="195"/>
    </row>
    <row r="246" spans="1:16">
      <c r="A246" s="3"/>
      <c r="B246" s="3" t="str">
        <f>TEXT(Tabela2234[[#This Row],[DATA]],"mmmm")</f>
        <v>janeiro</v>
      </c>
      <c r="C246" s="2"/>
      <c r="D246" s="2"/>
      <c r="E246" s="2"/>
      <c r="F246" s="2"/>
      <c r="G246" s="173"/>
      <c r="H246" s="174"/>
      <c r="I246" s="218" t="e">
        <f>Tabela2234[[#This Row],[PESO TOTAL]]/Tabela2234[[#This Row],[QUANTIDADE]]</f>
        <v>#DIV/0!</v>
      </c>
      <c r="J246" s="2"/>
      <c r="K246" s="193"/>
      <c r="L246" s="8"/>
      <c r="M246" s="8"/>
      <c r="N246" s="8"/>
      <c r="O246" s="194"/>
      <c r="P246" s="195"/>
    </row>
    <row r="247" spans="1:16">
      <c r="A247" s="3"/>
      <c r="B247" s="3" t="str">
        <f>TEXT(Tabela2234[[#This Row],[DATA]],"mmmm")</f>
        <v>janeiro</v>
      </c>
      <c r="C247" s="2"/>
      <c r="D247" s="2"/>
      <c r="E247" s="2"/>
      <c r="F247" s="2"/>
      <c r="G247" s="173"/>
      <c r="H247" s="174"/>
      <c r="I247" s="218" t="e">
        <f>Tabela2234[[#This Row],[PESO TOTAL]]/Tabela2234[[#This Row],[QUANTIDADE]]</f>
        <v>#DIV/0!</v>
      </c>
      <c r="J247" s="2"/>
      <c r="K247" s="193"/>
      <c r="L247" s="8"/>
      <c r="M247" s="8"/>
      <c r="N247" s="8"/>
      <c r="O247" s="194"/>
      <c r="P247" s="195"/>
    </row>
    <row r="248" spans="1:16">
      <c r="A248" s="3"/>
      <c r="B248" s="3" t="str">
        <f>TEXT(Tabela2234[[#This Row],[DATA]],"mmmm")</f>
        <v>janeiro</v>
      </c>
      <c r="C248" s="2"/>
      <c r="D248" s="2"/>
      <c r="E248" s="2"/>
      <c r="F248" s="2"/>
      <c r="G248" s="173"/>
      <c r="H248" s="174"/>
      <c r="I248" s="218" t="e">
        <f>Tabela2234[[#This Row],[PESO TOTAL]]/Tabela2234[[#This Row],[QUANTIDADE]]</f>
        <v>#DIV/0!</v>
      </c>
      <c r="J248" s="2"/>
      <c r="K248" s="193"/>
      <c r="L248" s="8"/>
      <c r="M248" s="8"/>
      <c r="N248" s="8"/>
      <c r="O248" s="194"/>
      <c r="P248" s="195"/>
    </row>
    <row r="249" spans="1:16">
      <c r="A249" s="3"/>
      <c r="B249" s="3" t="str">
        <f>TEXT(Tabela2234[[#This Row],[DATA]],"mmmm")</f>
        <v>janeiro</v>
      </c>
      <c r="C249" s="2"/>
      <c r="D249" s="2"/>
      <c r="E249" s="2"/>
      <c r="F249" s="2"/>
      <c r="G249" s="173"/>
      <c r="H249" s="174"/>
      <c r="I249" s="218" t="e">
        <f>Tabela2234[[#This Row],[PESO TOTAL]]/Tabela2234[[#This Row],[QUANTIDADE]]</f>
        <v>#DIV/0!</v>
      </c>
      <c r="J249" s="2"/>
      <c r="K249" s="193"/>
      <c r="L249" s="8"/>
      <c r="M249" s="8"/>
      <c r="N249" s="8"/>
      <c r="O249" s="194"/>
      <c r="P249" s="195"/>
    </row>
    <row r="250" spans="1:16">
      <c r="A250" s="3"/>
      <c r="B250" s="3" t="str">
        <f>TEXT(Tabela2234[[#This Row],[DATA]],"mmmm")</f>
        <v>janeiro</v>
      </c>
      <c r="C250" s="2"/>
      <c r="D250" s="2"/>
      <c r="E250" s="2"/>
      <c r="F250" s="2"/>
      <c r="G250" s="173"/>
      <c r="H250" s="174"/>
      <c r="I250" s="218" t="e">
        <f>Tabela2234[[#This Row],[PESO TOTAL]]/Tabela2234[[#This Row],[QUANTIDADE]]</f>
        <v>#DIV/0!</v>
      </c>
      <c r="J250" s="2"/>
      <c r="K250" s="193"/>
      <c r="L250" s="8"/>
      <c r="M250" s="8"/>
      <c r="N250" s="8"/>
      <c r="O250" s="194"/>
      <c r="P250" s="195"/>
    </row>
    <row r="251" spans="1:16">
      <c r="A251" s="3"/>
      <c r="B251" s="3" t="str">
        <f>TEXT(Tabela2234[[#This Row],[DATA]],"mmmm")</f>
        <v>janeiro</v>
      </c>
      <c r="C251" s="2"/>
      <c r="D251" s="2"/>
      <c r="E251" s="2"/>
      <c r="F251" s="2"/>
      <c r="G251" s="173"/>
      <c r="H251" s="174"/>
      <c r="I251" s="218" t="e">
        <f>Tabela2234[[#This Row],[PESO TOTAL]]/Tabela2234[[#This Row],[QUANTIDADE]]</f>
        <v>#DIV/0!</v>
      </c>
      <c r="J251" s="2"/>
      <c r="K251" s="193"/>
      <c r="L251" s="8"/>
      <c r="M251" s="8"/>
      <c r="N251" s="8"/>
      <c r="O251" s="194"/>
      <c r="P251" s="195"/>
    </row>
    <row r="252" spans="1:16">
      <c r="A252" s="3"/>
      <c r="B252" s="3" t="str">
        <f>TEXT(Tabela2234[[#This Row],[DATA]],"mmmm")</f>
        <v>janeiro</v>
      </c>
      <c r="C252" s="2"/>
      <c r="D252" s="2"/>
      <c r="E252" s="2"/>
      <c r="F252" s="2"/>
      <c r="G252" s="173"/>
      <c r="H252" s="174"/>
      <c r="I252" s="218" t="e">
        <f>Tabela2234[[#This Row],[PESO TOTAL]]/Tabela2234[[#This Row],[QUANTIDADE]]</f>
        <v>#DIV/0!</v>
      </c>
      <c r="J252" s="2"/>
      <c r="K252" s="193"/>
      <c r="L252" s="8"/>
      <c r="M252" s="8"/>
      <c r="N252" s="8"/>
      <c r="O252" s="194"/>
      <c r="P252" s="195"/>
    </row>
    <row r="253" spans="1:16">
      <c r="A253" s="3"/>
      <c r="B253" s="3" t="str">
        <f>TEXT(Tabela2234[[#This Row],[DATA]],"mmmm")</f>
        <v>janeiro</v>
      </c>
      <c r="C253" s="2"/>
      <c r="D253" s="2"/>
      <c r="E253" s="2"/>
      <c r="F253" s="2"/>
      <c r="G253" s="173"/>
      <c r="H253" s="174"/>
      <c r="I253" s="218" t="e">
        <f>Tabela2234[[#This Row],[PESO TOTAL]]/Tabela2234[[#This Row],[QUANTIDADE]]</f>
        <v>#DIV/0!</v>
      </c>
      <c r="J253" s="2"/>
      <c r="K253" s="193"/>
      <c r="L253" s="8"/>
      <c r="M253" s="8"/>
      <c r="N253" s="8"/>
      <c r="O253" s="194"/>
      <c r="P253" s="195"/>
    </row>
    <row r="254" spans="1:16">
      <c r="A254" s="3"/>
      <c r="B254" s="3" t="str">
        <f>TEXT(Tabela2234[[#This Row],[DATA]],"mmmm")</f>
        <v>janeiro</v>
      </c>
      <c r="C254" s="2"/>
      <c r="D254" s="2"/>
      <c r="E254" s="2"/>
      <c r="F254" s="2"/>
      <c r="G254" s="173"/>
      <c r="H254" s="174"/>
      <c r="I254" s="218" t="e">
        <f>Tabela2234[[#This Row],[PESO TOTAL]]/Tabela2234[[#This Row],[QUANTIDADE]]</f>
        <v>#DIV/0!</v>
      </c>
      <c r="J254" s="2"/>
      <c r="K254" s="193"/>
      <c r="L254" s="8"/>
      <c r="M254" s="8"/>
      <c r="N254" s="8"/>
      <c r="O254" s="194"/>
      <c r="P254" s="195"/>
    </row>
    <row r="255" spans="1:16">
      <c r="A255" s="3"/>
      <c r="B255" s="3" t="str">
        <f>TEXT(Tabela2234[[#This Row],[DATA]],"mmmm")</f>
        <v>janeiro</v>
      </c>
      <c r="C255" s="2"/>
      <c r="D255" s="2"/>
      <c r="E255" s="2"/>
      <c r="F255" s="2"/>
      <c r="G255" s="173"/>
      <c r="H255" s="174"/>
      <c r="I255" s="218" t="e">
        <f>Tabela2234[[#This Row],[PESO TOTAL]]/Tabela2234[[#This Row],[QUANTIDADE]]</f>
        <v>#DIV/0!</v>
      </c>
      <c r="J255" s="2"/>
      <c r="K255" s="193"/>
      <c r="L255" s="8"/>
      <c r="M255" s="8"/>
      <c r="N255" s="8"/>
      <c r="O255" s="194"/>
      <c r="P255" s="195"/>
    </row>
    <row r="256" spans="1:16">
      <c r="A256" s="3"/>
      <c r="B256" s="3" t="str">
        <f>TEXT(Tabela2234[[#This Row],[DATA]],"mmmm")</f>
        <v>janeiro</v>
      </c>
      <c r="C256" s="2"/>
      <c r="D256" s="2"/>
      <c r="E256" s="2"/>
      <c r="F256" s="2"/>
      <c r="G256" s="173"/>
      <c r="H256" s="174"/>
      <c r="I256" s="218" t="e">
        <f>Tabela2234[[#This Row],[PESO TOTAL]]/Tabela2234[[#This Row],[QUANTIDADE]]</f>
        <v>#DIV/0!</v>
      </c>
      <c r="J256" s="2"/>
      <c r="K256" s="193"/>
      <c r="L256" s="8"/>
      <c r="M256" s="8"/>
      <c r="N256" s="8"/>
      <c r="O256" s="194"/>
      <c r="P256" s="195"/>
    </row>
    <row r="257" spans="1:16">
      <c r="A257" s="3"/>
      <c r="B257" s="3" t="str">
        <f>TEXT(Tabela2234[[#This Row],[DATA]],"mmmm")</f>
        <v>janeiro</v>
      </c>
      <c r="C257" s="2"/>
      <c r="D257" s="2"/>
      <c r="E257" s="2"/>
      <c r="F257" s="2"/>
      <c r="G257" s="173"/>
      <c r="H257" s="174"/>
      <c r="I257" s="218" t="e">
        <f>Tabela2234[[#This Row],[PESO TOTAL]]/Tabela2234[[#This Row],[QUANTIDADE]]</f>
        <v>#DIV/0!</v>
      </c>
      <c r="J257" s="2"/>
      <c r="K257" s="193"/>
      <c r="L257" s="8"/>
      <c r="M257" s="8"/>
      <c r="N257" s="8"/>
      <c r="O257" s="194"/>
      <c r="P257" s="195"/>
    </row>
    <row r="258" spans="1:16">
      <c r="A258" s="3"/>
      <c r="B258" s="3" t="str">
        <f>TEXT(Tabela2234[[#This Row],[DATA]],"mmmm")</f>
        <v>janeiro</v>
      </c>
      <c r="C258" s="2"/>
      <c r="D258" s="2"/>
      <c r="E258" s="2"/>
      <c r="F258" s="2"/>
      <c r="G258" s="173"/>
      <c r="H258" s="174"/>
      <c r="I258" s="218" t="e">
        <f>Tabela2234[[#This Row],[PESO TOTAL]]/Tabela2234[[#This Row],[QUANTIDADE]]</f>
        <v>#DIV/0!</v>
      </c>
      <c r="J258" s="2"/>
      <c r="K258" s="193"/>
      <c r="L258" s="8"/>
      <c r="M258" s="8"/>
      <c r="N258" s="8"/>
      <c r="O258" s="194"/>
      <c r="P258" s="195"/>
    </row>
    <row r="259" spans="1:16">
      <c r="A259" s="3"/>
      <c r="B259" s="3" t="str">
        <f>TEXT(Tabela2234[[#This Row],[DATA]],"mmmm")</f>
        <v>janeiro</v>
      </c>
      <c r="C259" s="2"/>
      <c r="D259" s="2"/>
      <c r="E259" s="2"/>
      <c r="F259" s="2"/>
      <c r="G259" s="173"/>
      <c r="H259" s="174"/>
      <c r="I259" s="218" t="e">
        <f>Tabela2234[[#This Row],[PESO TOTAL]]/Tabela2234[[#This Row],[QUANTIDADE]]</f>
        <v>#DIV/0!</v>
      </c>
      <c r="J259" s="2"/>
      <c r="K259" s="193"/>
      <c r="L259" s="8"/>
      <c r="M259" s="8"/>
      <c r="N259" s="8"/>
      <c r="O259" s="194"/>
      <c r="P259" s="195"/>
    </row>
    <row r="260" spans="1:16">
      <c r="A260" s="3"/>
      <c r="B260" s="3" t="str">
        <f>TEXT(Tabela2234[[#This Row],[DATA]],"mmmm")</f>
        <v>janeiro</v>
      </c>
      <c r="C260" s="2"/>
      <c r="D260" s="2"/>
      <c r="E260" s="2"/>
      <c r="F260" s="2"/>
      <c r="G260" s="173"/>
      <c r="H260" s="174"/>
      <c r="I260" s="218" t="e">
        <f>Tabela2234[[#This Row],[PESO TOTAL]]/Tabela2234[[#This Row],[QUANTIDADE]]</f>
        <v>#DIV/0!</v>
      </c>
      <c r="J260" s="2"/>
      <c r="K260" s="193"/>
      <c r="L260" s="8"/>
      <c r="M260" s="8"/>
      <c r="N260" s="8"/>
      <c r="O260" s="194"/>
      <c r="P260" s="195"/>
    </row>
    <row r="261" spans="1:16">
      <c r="A261" s="3"/>
      <c r="B261" s="3" t="str">
        <f>TEXT(Tabela2234[[#This Row],[DATA]],"mmmm")</f>
        <v>janeiro</v>
      </c>
      <c r="C261" s="2"/>
      <c r="D261" s="2"/>
      <c r="E261" s="2"/>
      <c r="F261" s="2"/>
      <c r="G261" s="173"/>
      <c r="H261" s="174"/>
      <c r="I261" s="218" t="e">
        <f>Tabela2234[[#This Row],[PESO TOTAL]]/Tabela2234[[#This Row],[QUANTIDADE]]</f>
        <v>#DIV/0!</v>
      </c>
      <c r="J261" s="2"/>
      <c r="K261" s="193"/>
      <c r="L261" s="8"/>
      <c r="M261" s="8"/>
      <c r="N261" s="8"/>
      <c r="O261" s="194"/>
      <c r="P261" s="195"/>
    </row>
    <row r="262" spans="1:16">
      <c r="A262" s="3"/>
      <c r="B262" s="3" t="str">
        <f>TEXT(Tabela2234[[#This Row],[DATA]],"mmmm")</f>
        <v>janeiro</v>
      </c>
      <c r="C262" s="2"/>
      <c r="D262" s="2"/>
      <c r="E262" s="2"/>
      <c r="F262" s="2"/>
      <c r="G262" s="173"/>
      <c r="H262" s="174"/>
      <c r="I262" s="218" t="e">
        <f>Tabela2234[[#This Row],[PESO TOTAL]]/Tabela2234[[#This Row],[QUANTIDADE]]</f>
        <v>#DIV/0!</v>
      </c>
      <c r="J262" s="2"/>
      <c r="K262" s="193"/>
      <c r="L262" s="8"/>
      <c r="M262" s="8"/>
      <c r="N262" s="8"/>
      <c r="O262" s="194"/>
      <c r="P262" s="195"/>
    </row>
    <row r="263" spans="1:16">
      <c r="A263" s="3"/>
      <c r="B263" s="3" t="str">
        <f>TEXT(Tabela2234[[#This Row],[DATA]],"mmmm")</f>
        <v>janeiro</v>
      </c>
      <c r="C263" s="2"/>
      <c r="D263" s="2"/>
      <c r="E263" s="2"/>
      <c r="F263" s="2"/>
      <c r="G263" s="173"/>
      <c r="H263" s="174"/>
      <c r="I263" s="218" t="e">
        <f>Tabela2234[[#This Row],[PESO TOTAL]]/Tabela2234[[#This Row],[QUANTIDADE]]</f>
        <v>#DIV/0!</v>
      </c>
      <c r="J263" s="2"/>
      <c r="K263" s="193"/>
      <c r="L263" s="8"/>
      <c r="M263" s="8"/>
      <c r="N263" s="8"/>
      <c r="O263" s="194"/>
      <c r="P263" s="195"/>
    </row>
    <row r="264" spans="1:16">
      <c r="A264" s="3"/>
      <c r="B264" s="3" t="str">
        <f>TEXT(Tabela2234[[#This Row],[DATA]],"mmmm")</f>
        <v>janeiro</v>
      </c>
      <c r="C264" s="2"/>
      <c r="D264" s="2"/>
      <c r="E264" s="2"/>
      <c r="F264" s="2"/>
      <c r="G264" s="173"/>
      <c r="H264" s="174"/>
      <c r="I264" s="218" t="e">
        <f>Tabela2234[[#This Row],[PESO TOTAL]]/Tabela2234[[#This Row],[QUANTIDADE]]</f>
        <v>#DIV/0!</v>
      </c>
      <c r="J264" s="2"/>
      <c r="K264" s="193"/>
      <c r="L264" s="8"/>
      <c r="M264" s="8"/>
      <c r="N264" s="8"/>
      <c r="O264" s="194"/>
      <c r="P264" s="195"/>
    </row>
    <row r="265" spans="1:16">
      <c r="A265" s="3"/>
      <c r="B265" s="3" t="str">
        <f>TEXT(Tabela2234[[#This Row],[DATA]],"mmmm")</f>
        <v>janeiro</v>
      </c>
      <c r="C265" s="2"/>
      <c r="D265" s="2"/>
      <c r="E265" s="2"/>
      <c r="F265" s="2"/>
      <c r="G265" s="173"/>
      <c r="H265" s="174"/>
      <c r="I265" s="218" t="e">
        <f>Tabela2234[[#This Row],[PESO TOTAL]]/Tabela2234[[#This Row],[QUANTIDADE]]</f>
        <v>#DIV/0!</v>
      </c>
      <c r="J265" s="2"/>
      <c r="K265" s="193"/>
      <c r="L265" s="8"/>
      <c r="M265" s="8"/>
      <c r="N265" s="8"/>
      <c r="O265" s="194"/>
      <c r="P265" s="195"/>
    </row>
    <row r="266" spans="1:16">
      <c r="A266" s="3"/>
      <c r="B266" s="3" t="str">
        <f>TEXT(Tabela2234[[#This Row],[DATA]],"mmmm")</f>
        <v>janeiro</v>
      </c>
      <c r="C266" s="2"/>
      <c r="D266" s="2"/>
      <c r="E266" s="2"/>
      <c r="F266" s="2"/>
      <c r="G266" s="173"/>
      <c r="H266" s="174"/>
      <c r="I266" s="218" t="e">
        <f>Tabela2234[[#This Row],[PESO TOTAL]]/Tabela2234[[#This Row],[QUANTIDADE]]</f>
        <v>#DIV/0!</v>
      </c>
      <c r="J266" s="2"/>
      <c r="K266" s="193"/>
      <c r="L266" s="8"/>
      <c r="M266" s="8"/>
      <c r="N266" s="8"/>
      <c r="O266" s="194"/>
      <c r="P266" s="195"/>
    </row>
    <row r="267" spans="1:16">
      <c r="A267" s="3"/>
      <c r="B267" s="3" t="str">
        <f>TEXT(Tabela2234[[#This Row],[DATA]],"mmmm")</f>
        <v>janeiro</v>
      </c>
      <c r="C267" s="2"/>
      <c r="D267" s="2"/>
      <c r="E267" s="2"/>
      <c r="F267" s="2"/>
      <c r="G267" s="173"/>
      <c r="H267" s="174"/>
      <c r="I267" s="218" t="e">
        <f>Tabela2234[[#This Row],[PESO TOTAL]]/Tabela2234[[#This Row],[QUANTIDADE]]</f>
        <v>#DIV/0!</v>
      </c>
      <c r="J267" s="2"/>
      <c r="K267" s="193"/>
      <c r="L267" s="8"/>
      <c r="M267" s="8"/>
      <c r="N267" s="8"/>
      <c r="O267" s="194"/>
      <c r="P267" s="195"/>
    </row>
    <row r="268" spans="1:16">
      <c r="A268" s="3"/>
      <c r="B268" s="3" t="str">
        <f>TEXT(Tabela2234[[#This Row],[DATA]],"mmmm")</f>
        <v>janeiro</v>
      </c>
      <c r="C268" s="2"/>
      <c r="D268" s="2"/>
      <c r="E268" s="2"/>
      <c r="F268" s="2"/>
      <c r="G268" s="173"/>
      <c r="H268" s="174"/>
      <c r="I268" s="218" t="e">
        <f>Tabela2234[[#This Row],[PESO TOTAL]]/Tabela2234[[#This Row],[QUANTIDADE]]</f>
        <v>#DIV/0!</v>
      </c>
      <c r="J268" s="2"/>
      <c r="K268" s="193"/>
      <c r="L268" s="8"/>
      <c r="M268" s="8"/>
      <c r="N268" s="8"/>
      <c r="O268" s="194"/>
      <c r="P268" s="195"/>
    </row>
    <row r="269" spans="1:16">
      <c r="A269" s="3"/>
      <c r="B269" s="3" t="str">
        <f>TEXT(Tabela2234[[#This Row],[DATA]],"mmmm")</f>
        <v>janeiro</v>
      </c>
      <c r="C269" s="2"/>
      <c r="D269" s="2"/>
      <c r="E269" s="2"/>
      <c r="F269" s="2"/>
      <c r="G269" s="173"/>
      <c r="H269" s="174"/>
      <c r="I269" s="218" t="e">
        <f>Tabela2234[[#This Row],[PESO TOTAL]]/Tabela2234[[#This Row],[QUANTIDADE]]</f>
        <v>#DIV/0!</v>
      </c>
      <c r="J269" s="2"/>
      <c r="K269" s="193"/>
      <c r="L269" s="8"/>
      <c r="M269" s="8"/>
      <c r="N269" s="8"/>
      <c r="O269" s="194"/>
      <c r="P269" s="195"/>
    </row>
    <row r="270" spans="1:16">
      <c r="A270" s="3"/>
      <c r="B270" s="3" t="str">
        <f>TEXT(Tabela2234[[#This Row],[DATA]],"mmmm")</f>
        <v>janeiro</v>
      </c>
      <c r="C270" s="2"/>
      <c r="D270" s="2"/>
      <c r="E270" s="2"/>
      <c r="F270" s="2"/>
      <c r="G270" s="173"/>
      <c r="H270" s="174"/>
      <c r="I270" s="218" t="e">
        <f>Tabela2234[[#This Row],[PESO TOTAL]]/Tabela2234[[#This Row],[QUANTIDADE]]</f>
        <v>#DIV/0!</v>
      </c>
      <c r="J270" s="2"/>
      <c r="K270" s="193"/>
      <c r="L270" s="8"/>
      <c r="M270" s="8"/>
      <c r="N270" s="8"/>
      <c r="O270" s="194"/>
      <c r="P270" s="195"/>
    </row>
    <row r="271" spans="1:16">
      <c r="A271" s="3"/>
      <c r="B271" s="3" t="str">
        <f>TEXT(Tabela2234[[#This Row],[DATA]],"mmmm")</f>
        <v>janeiro</v>
      </c>
      <c r="C271" s="2"/>
      <c r="D271" s="2"/>
      <c r="E271" s="2"/>
      <c r="F271" s="2"/>
      <c r="G271" s="173"/>
      <c r="H271" s="174"/>
      <c r="I271" s="218" t="e">
        <f>Tabela2234[[#This Row],[PESO TOTAL]]/Tabela2234[[#This Row],[QUANTIDADE]]</f>
        <v>#DIV/0!</v>
      </c>
      <c r="J271" s="2"/>
      <c r="K271" s="193"/>
      <c r="L271" s="8"/>
      <c r="M271" s="8"/>
      <c r="N271" s="8"/>
      <c r="O271" s="194"/>
      <c r="P271" s="195"/>
    </row>
    <row r="272" spans="1:16">
      <c r="A272" s="3"/>
      <c r="B272" s="3" t="str">
        <f>TEXT(Tabela2234[[#This Row],[DATA]],"mmmm")</f>
        <v>janeiro</v>
      </c>
      <c r="C272" s="2"/>
      <c r="D272" s="2"/>
      <c r="E272" s="2"/>
      <c r="F272" s="2"/>
      <c r="G272" s="173"/>
      <c r="H272" s="174"/>
      <c r="I272" s="218" t="e">
        <f>Tabela2234[[#This Row],[PESO TOTAL]]/Tabela2234[[#This Row],[QUANTIDADE]]</f>
        <v>#DIV/0!</v>
      </c>
      <c r="J272" s="2"/>
      <c r="K272" s="193"/>
      <c r="L272" s="8"/>
      <c r="M272" s="8"/>
      <c r="N272" s="8"/>
      <c r="O272" s="194"/>
      <c r="P272" s="195"/>
    </row>
    <row r="273" spans="1:16">
      <c r="A273" s="3"/>
      <c r="B273" s="3" t="str">
        <f>TEXT(Tabela2234[[#This Row],[DATA]],"mmmm")</f>
        <v>janeiro</v>
      </c>
      <c r="C273" s="2"/>
      <c r="D273" s="2"/>
      <c r="E273" s="2"/>
      <c r="F273" s="2"/>
      <c r="G273" s="173"/>
      <c r="H273" s="174"/>
      <c r="I273" s="218" t="e">
        <f>Tabela2234[[#This Row],[PESO TOTAL]]/Tabela2234[[#This Row],[QUANTIDADE]]</f>
        <v>#DIV/0!</v>
      </c>
      <c r="J273" s="2"/>
      <c r="K273" s="193"/>
      <c r="L273" s="8"/>
      <c r="M273" s="8"/>
      <c r="N273" s="8"/>
      <c r="O273" s="194"/>
      <c r="P273" s="195"/>
    </row>
    <row r="274" spans="1:16">
      <c r="A274" s="3"/>
      <c r="B274" s="3" t="str">
        <f>TEXT(Tabela2234[[#This Row],[DATA]],"mmmm")</f>
        <v>janeiro</v>
      </c>
      <c r="C274" s="2"/>
      <c r="D274" s="2"/>
      <c r="E274" s="2"/>
      <c r="F274" s="2"/>
      <c r="G274" s="173"/>
      <c r="H274" s="174"/>
      <c r="I274" s="218" t="e">
        <f>Tabela2234[[#This Row],[PESO TOTAL]]/Tabela2234[[#This Row],[QUANTIDADE]]</f>
        <v>#DIV/0!</v>
      </c>
      <c r="J274" s="2"/>
      <c r="K274" s="193"/>
      <c r="L274" s="8"/>
      <c r="M274" s="8"/>
      <c r="N274" s="8"/>
      <c r="O274" s="194"/>
      <c r="P274" s="195"/>
    </row>
    <row r="275" spans="1:16">
      <c r="A275" s="3"/>
      <c r="B275" s="3" t="str">
        <f>TEXT(Tabela2234[[#This Row],[DATA]],"mmmm")</f>
        <v>janeiro</v>
      </c>
      <c r="C275" s="2"/>
      <c r="D275" s="2"/>
      <c r="E275" s="2"/>
      <c r="F275" s="2"/>
      <c r="G275" s="173"/>
      <c r="H275" s="174"/>
      <c r="I275" s="218" t="e">
        <f>Tabela2234[[#This Row],[PESO TOTAL]]/Tabela2234[[#This Row],[QUANTIDADE]]</f>
        <v>#DIV/0!</v>
      </c>
      <c r="J275" s="2"/>
      <c r="K275" s="193"/>
      <c r="L275" s="8"/>
      <c r="M275" s="8"/>
      <c r="N275" s="8"/>
      <c r="O275" s="194"/>
      <c r="P275" s="195"/>
    </row>
    <row r="276" spans="1:16">
      <c r="A276" s="3"/>
      <c r="B276" s="3" t="str">
        <f>TEXT(Tabela2234[[#This Row],[DATA]],"mmmm")</f>
        <v>janeiro</v>
      </c>
      <c r="C276" s="2"/>
      <c r="D276" s="2"/>
      <c r="E276" s="2"/>
      <c r="F276" s="2"/>
      <c r="G276" s="173"/>
      <c r="H276" s="174"/>
      <c r="I276" s="218" t="e">
        <f>Tabela2234[[#This Row],[PESO TOTAL]]/Tabela2234[[#This Row],[QUANTIDADE]]</f>
        <v>#DIV/0!</v>
      </c>
      <c r="J276" s="2"/>
      <c r="K276" s="193"/>
      <c r="L276" s="8"/>
      <c r="M276" s="8"/>
      <c r="N276" s="8"/>
      <c r="O276" s="194"/>
      <c r="P276" s="195"/>
    </row>
    <row r="277" spans="1:16">
      <c r="A277" s="3"/>
      <c r="B277" s="3" t="str">
        <f>TEXT(Tabela2234[[#This Row],[DATA]],"mmmm")</f>
        <v>janeiro</v>
      </c>
      <c r="C277" s="2"/>
      <c r="D277" s="2"/>
      <c r="E277" s="2"/>
      <c r="F277" s="2"/>
      <c r="G277" s="173"/>
      <c r="H277" s="174"/>
      <c r="I277" s="218" t="e">
        <f>Tabela2234[[#This Row],[PESO TOTAL]]/Tabela2234[[#This Row],[QUANTIDADE]]</f>
        <v>#DIV/0!</v>
      </c>
      <c r="J277" s="2"/>
      <c r="K277" s="193"/>
      <c r="L277" s="8"/>
      <c r="M277" s="8"/>
      <c r="N277" s="8"/>
      <c r="O277" s="194"/>
      <c r="P277" s="195"/>
    </row>
    <row r="278" spans="1:16">
      <c r="A278" s="3"/>
      <c r="B278" s="3" t="str">
        <f>TEXT(Tabela2234[[#This Row],[DATA]],"mmmm")</f>
        <v>janeiro</v>
      </c>
      <c r="C278" s="2"/>
      <c r="D278" s="2"/>
      <c r="E278" s="2"/>
      <c r="F278" s="2"/>
      <c r="G278" s="173"/>
      <c r="H278" s="174"/>
      <c r="I278" s="218" t="e">
        <f>Tabela2234[[#This Row],[PESO TOTAL]]/Tabela2234[[#This Row],[QUANTIDADE]]</f>
        <v>#DIV/0!</v>
      </c>
      <c r="J278" s="2"/>
      <c r="K278" s="193"/>
      <c r="L278" s="8"/>
      <c r="M278" s="8"/>
      <c r="N278" s="8"/>
      <c r="O278" s="194"/>
      <c r="P278" s="195"/>
    </row>
    <row r="279" spans="1:16">
      <c r="A279" s="3"/>
      <c r="B279" s="3" t="str">
        <f>TEXT(Tabela2234[[#This Row],[DATA]],"mmmm")</f>
        <v>janeiro</v>
      </c>
      <c r="C279" s="2"/>
      <c r="D279" s="2"/>
      <c r="E279" s="2"/>
      <c r="F279" s="2"/>
      <c r="G279" s="173"/>
      <c r="H279" s="174"/>
      <c r="I279" s="218" t="e">
        <f>Tabela2234[[#This Row],[PESO TOTAL]]/Tabela2234[[#This Row],[QUANTIDADE]]</f>
        <v>#DIV/0!</v>
      </c>
      <c r="J279" s="2"/>
      <c r="K279" s="193"/>
      <c r="L279" s="8"/>
      <c r="M279" s="8"/>
      <c r="N279" s="8"/>
      <c r="O279" s="194"/>
      <c r="P279" s="195"/>
    </row>
    <row r="280" spans="1:16">
      <c r="A280" s="3"/>
      <c r="B280" s="3" t="str">
        <f>TEXT(Tabela2234[[#This Row],[DATA]],"mmmm")</f>
        <v>janeiro</v>
      </c>
      <c r="C280" s="2"/>
      <c r="D280" s="2"/>
      <c r="E280" s="2"/>
      <c r="F280" s="2"/>
      <c r="G280" s="173"/>
      <c r="H280" s="174"/>
      <c r="I280" s="218" t="e">
        <f>Tabela2234[[#This Row],[PESO TOTAL]]/Tabela2234[[#This Row],[QUANTIDADE]]</f>
        <v>#DIV/0!</v>
      </c>
      <c r="J280" s="2"/>
      <c r="K280" s="193"/>
      <c r="L280" s="8"/>
      <c r="M280" s="8"/>
      <c r="N280" s="8"/>
      <c r="O280" s="194"/>
      <c r="P280" s="195"/>
    </row>
    <row r="281" spans="1:16">
      <c r="A281" s="3"/>
      <c r="B281" s="3" t="str">
        <f>TEXT(Tabela2234[[#This Row],[DATA]],"mmmm")</f>
        <v>janeiro</v>
      </c>
      <c r="C281" s="2"/>
      <c r="D281" s="2"/>
      <c r="E281" s="2"/>
      <c r="F281" s="2"/>
      <c r="G281" s="173"/>
      <c r="H281" s="174"/>
      <c r="I281" s="218" t="e">
        <f>Tabela2234[[#This Row],[PESO TOTAL]]/Tabela2234[[#This Row],[QUANTIDADE]]</f>
        <v>#DIV/0!</v>
      </c>
      <c r="J281" s="2"/>
      <c r="K281" s="193"/>
      <c r="L281" s="8"/>
      <c r="M281" s="8"/>
      <c r="N281" s="8"/>
      <c r="O281" s="194"/>
      <c r="P281" s="195"/>
    </row>
    <row r="282" spans="1:16">
      <c r="A282" s="3"/>
      <c r="B282" s="3" t="str">
        <f>TEXT(Tabela2234[[#This Row],[DATA]],"mmmm")</f>
        <v>janeiro</v>
      </c>
      <c r="C282" s="2"/>
      <c r="D282" s="2"/>
      <c r="E282" s="2"/>
      <c r="F282" s="2"/>
      <c r="G282" s="173"/>
      <c r="H282" s="174"/>
      <c r="I282" s="218" t="e">
        <f>Tabela2234[[#This Row],[PESO TOTAL]]/Tabela2234[[#This Row],[QUANTIDADE]]</f>
        <v>#DIV/0!</v>
      </c>
      <c r="J282" s="2"/>
      <c r="K282" s="193"/>
      <c r="L282" s="8"/>
      <c r="M282" s="8"/>
      <c r="N282" s="8"/>
      <c r="O282" s="194"/>
      <c r="P282" s="195"/>
    </row>
    <row r="283" spans="1:16">
      <c r="A283" s="3"/>
      <c r="B283" s="3" t="str">
        <f>TEXT(Tabela2234[[#This Row],[DATA]],"mmmm")</f>
        <v>janeiro</v>
      </c>
      <c r="C283" s="2"/>
      <c r="D283" s="2"/>
      <c r="E283" s="2"/>
      <c r="F283" s="2"/>
      <c r="G283" s="173"/>
      <c r="H283" s="174"/>
      <c r="I283" s="218" t="e">
        <f>Tabela2234[[#This Row],[PESO TOTAL]]/Tabela2234[[#This Row],[QUANTIDADE]]</f>
        <v>#DIV/0!</v>
      </c>
      <c r="J283" s="2"/>
      <c r="K283" s="193"/>
      <c r="L283" s="8"/>
      <c r="M283" s="8"/>
      <c r="N283" s="8"/>
      <c r="O283" s="194"/>
      <c r="P283" s="195"/>
    </row>
    <row r="284" spans="1:16">
      <c r="A284" s="3"/>
      <c r="B284" s="3" t="str">
        <f>TEXT(Tabela2234[[#This Row],[DATA]],"mmmm")</f>
        <v>janeiro</v>
      </c>
      <c r="C284" s="2"/>
      <c r="D284" s="2"/>
      <c r="E284" s="2"/>
      <c r="F284" s="2"/>
      <c r="G284" s="173"/>
      <c r="H284" s="174"/>
      <c r="I284" s="218" t="e">
        <f>Tabela2234[[#This Row],[PESO TOTAL]]/Tabela2234[[#This Row],[QUANTIDADE]]</f>
        <v>#DIV/0!</v>
      </c>
      <c r="J284" s="2"/>
      <c r="K284" s="193"/>
      <c r="L284" s="8"/>
      <c r="M284" s="8"/>
      <c r="N284" s="8"/>
      <c r="O284" s="194"/>
      <c r="P284" s="195"/>
    </row>
    <row r="285" spans="1:16">
      <c r="A285" s="3"/>
      <c r="B285" s="3" t="str">
        <f>TEXT(Tabela2234[[#This Row],[DATA]],"mmmm")</f>
        <v>janeiro</v>
      </c>
      <c r="C285" s="2"/>
      <c r="D285" s="2"/>
      <c r="E285" s="2"/>
      <c r="F285" s="2"/>
      <c r="G285" s="173"/>
      <c r="H285" s="174"/>
      <c r="I285" s="218" t="e">
        <f>Tabela2234[[#This Row],[PESO TOTAL]]/Tabela2234[[#This Row],[QUANTIDADE]]</f>
        <v>#DIV/0!</v>
      </c>
      <c r="J285" s="2"/>
      <c r="K285" s="193"/>
      <c r="L285" s="8"/>
      <c r="M285" s="8"/>
      <c r="N285" s="8"/>
      <c r="O285" s="194"/>
      <c r="P285" s="195"/>
    </row>
    <row r="286" spans="1:16">
      <c r="A286" s="3"/>
      <c r="B286" s="3" t="str">
        <f>TEXT(Tabela2234[[#This Row],[DATA]],"mmmm")</f>
        <v>janeiro</v>
      </c>
      <c r="C286" s="2"/>
      <c r="D286" s="2"/>
      <c r="E286" s="2"/>
      <c r="F286" s="2"/>
      <c r="G286" s="173"/>
      <c r="H286" s="174"/>
      <c r="I286" s="218" t="e">
        <f>Tabela2234[[#This Row],[PESO TOTAL]]/Tabela2234[[#This Row],[QUANTIDADE]]</f>
        <v>#DIV/0!</v>
      </c>
      <c r="J286" s="2"/>
      <c r="K286" s="193"/>
      <c r="L286" s="8"/>
      <c r="M286" s="8"/>
      <c r="N286" s="8"/>
      <c r="O286" s="194"/>
      <c r="P286" s="195"/>
    </row>
    <row r="287" spans="1:16">
      <c r="A287" s="3"/>
      <c r="B287" s="3" t="str">
        <f>TEXT(Tabela2234[[#This Row],[DATA]],"mmmm")</f>
        <v>janeiro</v>
      </c>
      <c r="C287" s="2"/>
      <c r="D287" s="2"/>
      <c r="E287" s="2"/>
      <c r="F287" s="2"/>
      <c r="G287" s="173"/>
      <c r="H287" s="174"/>
      <c r="I287" s="218" t="e">
        <f>Tabela2234[[#This Row],[PESO TOTAL]]/Tabela2234[[#This Row],[QUANTIDADE]]</f>
        <v>#DIV/0!</v>
      </c>
      <c r="J287" s="2"/>
      <c r="K287" s="193"/>
      <c r="L287" s="8"/>
      <c r="M287" s="8"/>
      <c r="N287" s="8"/>
      <c r="O287" s="194"/>
      <c r="P287" s="195"/>
    </row>
    <row r="288" spans="1:16">
      <c r="A288" s="3"/>
      <c r="B288" s="3" t="str">
        <f>TEXT(Tabela2234[[#This Row],[DATA]],"mmmm")</f>
        <v>janeiro</v>
      </c>
      <c r="C288" s="2"/>
      <c r="D288" s="2"/>
      <c r="E288" s="2"/>
      <c r="F288" s="2"/>
      <c r="G288" s="173"/>
      <c r="H288" s="174"/>
      <c r="I288" s="218" t="e">
        <f>Tabela2234[[#This Row],[PESO TOTAL]]/Tabela2234[[#This Row],[QUANTIDADE]]</f>
        <v>#DIV/0!</v>
      </c>
      <c r="J288" s="2"/>
      <c r="K288" s="193"/>
      <c r="L288" s="8"/>
      <c r="M288" s="8"/>
      <c r="N288" s="8"/>
      <c r="O288" s="194"/>
      <c r="P288" s="195"/>
    </row>
    <row r="289" spans="1:16">
      <c r="A289" s="3"/>
      <c r="B289" s="3" t="str">
        <f>TEXT(Tabela2234[[#This Row],[DATA]],"mmmm")</f>
        <v>janeiro</v>
      </c>
      <c r="C289" s="2"/>
      <c r="D289" s="2"/>
      <c r="E289" s="2"/>
      <c r="F289" s="2"/>
      <c r="G289" s="173"/>
      <c r="H289" s="174"/>
      <c r="I289" s="218" t="e">
        <f>Tabela2234[[#This Row],[PESO TOTAL]]/Tabela2234[[#This Row],[QUANTIDADE]]</f>
        <v>#DIV/0!</v>
      </c>
      <c r="J289" s="2"/>
      <c r="K289" s="193"/>
      <c r="L289" s="8"/>
      <c r="M289" s="8"/>
      <c r="N289" s="8"/>
      <c r="O289" s="194"/>
      <c r="P289" s="195"/>
    </row>
    <row r="290" spans="1:16">
      <c r="A290" s="3"/>
      <c r="B290" s="3" t="str">
        <f>TEXT(Tabela2234[[#This Row],[DATA]],"mmmm")</f>
        <v>janeiro</v>
      </c>
      <c r="C290" s="2"/>
      <c r="D290" s="2"/>
      <c r="E290" s="2"/>
      <c r="F290" s="2"/>
      <c r="G290" s="173"/>
      <c r="H290" s="174"/>
      <c r="I290" s="218" t="e">
        <f>Tabela2234[[#This Row],[PESO TOTAL]]/Tabela2234[[#This Row],[QUANTIDADE]]</f>
        <v>#DIV/0!</v>
      </c>
      <c r="J290" s="2"/>
      <c r="K290" s="193"/>
      <c r="L290" s="8"/>
      <c r="M290" s="8"/>
      <c r="N290" s="8"/>
      <c r="O290" s="194"/>
      <c r="P290" s="195"/>
    </row>
    <row r="291" spans="1:16">
      <c r="A291" s="3"/>
      <c r="B291" s="3" t="str">
        <f>TEXT(Tabela2234[[#This Row],[DATA]],"mmmm")</f>
        <v>janeiro</v>
      </c>
      <c r="C291" s="2"/>
      <c r="D291" s="2"/>
      <c r="E291" s="2"/>
      <c r="F291" s="2"/>
      <c r="G291" s="173"/>
      <c r="H291" s="174"/>
      <c r="I291" s="218" t="e">
        <f>Tabela2234[[#This Row],[PESO TOTAL]]/Tabela2234[[#This Row],[QUANTIDADE]]</f>
        <v>#DIV/0!</v>
      </c>
      <c r="J291" s="2"/>
      <c r="K291" s="193"/>
      <c r="L291" s="8"/>
      <c r="M291" s="8"/>
      <c r="N291" s="8"/>
      <c r="O291" s="194"/>
      <c r="P291" s="195"/>
    </row>
    <row r="292" spans="1:16">
      <c r="A292" s="3"/>
      <c r="B292" s="3" t="str">
        <f>TEXT(Tabela2234[[#This Row],[DATA]],"mmmm")</f>
        <v>janeiro</v>
      </c>
      <c r="C292" s="2"/>
      <c r="D292" s="2"/>
      <c r="E292" s="2"/>
      <c r="F292" s="2"/>
      <c r="G292" s="173"/>
      <c r="H292" s="174"/>
      <c r="I292" s="218" t="e">
        <f>Tabela2234[[#This Row],[PESO TOTAL]]/Tabela2234[[#This Row],[QUANTIDADE]]</f>
        <v>#DIV/0!</v>
      </c>
      <c r="J292" s="2"/>
      <c r="K292" s="193"/>
      <c r="L292" s="8"/>
      <c r="M292" s="8"/>
      <c r="N292" s="8"/>
      <c r="O292" s="194"/>
      <c r="P292" s="195"/>
    </row>
    <row r="293" spans="1:16">
      <c r="A293" s="3"/>
      <c r="B293" s="3" t="str">
        <f>TEXT(Tabela2234[[#This Row],[DATA]],"mmmm")</f>
        <v>janeiro</v>
      </c>
      <c r="C293" s="2"/>
      <c r="D293" s="2"/>
      <c r="E293" s="2"/>
      <c r="F293" s="2"/>
      <c r="G293" s="173"/>
      <c r="H293" s="174"/>
      <c r="I293" s="218" t="e">
        <f>Tabela2234[[#This Row],[PESO TOTAL]]/Tabela2234[[#This Row],[QUANTIDADE]]</f>
        <v>#DIV/0!</v>
      </c>
      <c r="J293" s="2"/>
      <c r="K293" s="193"/>
      <c r="L293" s="8"/>
      <c r="M293" s="8"/>
      <c r="N293" s="8"/>
      <c r="O293" s="194"/>
      <c r="P293" s="195"/>
    </row>
    <row r="294" spans="1:16">
      <c r="A294" s="3"/>
      <c r="B294" s="3" t="str">
        <f>TEXT(Tabela2234[[#This Row],[DATA]],"mmmm")</f>
        <v>janeiro</v>
      </c>
      <c r="C294" s="2"/>
      <c r="D294" s="2"/>
      <c r="E294" s="2"/>
      <c r="F294" s="2"/>
      <c r="G294" s="173"/>
      <c r="H294" s="174"/>
      <c r="I294" s="218" t="e">
        <f>Tabela2234[[#This Row],[PESO TOTAL]]/Tabela2234[[#This Row],[QUANTIDADE]]</f>
        <v>#DIV/0!</v>
      </c>
      <c r="J294" s="2"/>
      <c r="K294" s="193"/>
      <c r="L294" s="8"/>
      <c r="M294" s="8"/>
      <c r="N294" s="8"/>
      <c r="O294" s="194"/>
      <c r="P294" s="195"/>
    </row>
    <row r="295" spans="1:16">
      <c r="A295" s="3"/>
      <c r="B295" s="3" t="str">
        <f>TEXT(Tabela2234[[#This Row],[DATA]],"mmmm")</f>
        <v>janeiro</v>
      </c>
      <c r="C295" s="2"/>
      <c r="D295" s="2"/>
      <c r="E295" s="2"/>
      <c r="F295" s="2"/>
      <c r="G295" s="173"/>
      <c r="H295" s="174"/>
      <c r="I295" s="218" t="e">
        <f>Tabela2234[[#This Row],[PESO TOTAL]]/Tabela2234[[#This Row],[QUANTIDADE]]</f>
        <v>#DIV/0!</v>
      </c>
      <c r="J295" s="2"/>
      <c r="K295" s="193"/>
      <c r="L295" s="8"/>
      <c r="M295" s="8"/>
      <c r="N295" s="8"/>
      <c r="O295" s="194"/>
      <c r="P295" s="195"/>
    </row>
    <row r="296" spans="1:16">
      <c r="A296" s="3"/>
      <c r="B296" s="3" t="str">
        <f>TEXT(Tabela2234[[#This Row],[DATA]],"mmmm")</f>
        <v>janeiro</v>
      </c>
      <c r="C296" s="2"/>
      <c r="D296" s="2"/>
      <c r="E296" s="2"/>
      <c r="F296" s="2"/>
      <c r="G296" s="173"/>
      <c r="H296" s="174"/>
      <c r="I296" s="218" t="e">
        <f>Tabela2234[[#This Row],[PESO TOTAL]]/Tabela2234[[#This Row],[QUANTIDADE]]</f>
        <v>#DIV/0!</v>
      </c>
      <c r="J296" s="2"/>
      <c r="K296" s="193"/>
      <c r="L296" s="8"/>
      <c r="M296" s="8"/>
      <c r="N296" s="8"/>
      <c r="O296" s="194"/>
      <c r="P296" s="195"/>
    </row>
    <row r="297" spans="1:16">
      <c r="A297" s="3"/>
      <c r="B297" s="3" t="str">
        <f>TEXT(Tabela2234[[#This Row],[DATA]],"mmmm")</f>
        <v>janeiro</v>
      </c>
      <c r="C297" s="2"/>
      <c r="D297" s="2"/>
      <c r="E297" s="2"/>
      <c r="F297" s="2"/>
      <c r="G297" s="173"/>
      <c r="H297" s="174"/>
      <c r="I297" s="218" t="e">
        <f>Tabela2234[[#This Row],[PESO TOTAL]]/Tabela2234[[#This Row],[QUANTIDADE]]</f>
        <v>#DIV/0!</v>
      </c>
      <c r="J297" s="2"/>
      <c r="K297" s="193"/>
      <c r="L297" s="8"/>
      <c r="M297" s="8"/>
      <c r="N297" s="8"/>
      <c r="O297" s="194"/>
      <c r="P297" s="195"/>
    </row>
    <row r="298" spans="1:16">
      <c r="A298" s="3"/>
      <c r="B298" s="3" t="str">
        <f>TEXT(Tabela2234[[#This Row],[DATA]],"mmmm")</f>
        <v>janeiro</v>
      </c>
      <c r="C298" s="2"/>
      <c r="D298" s="2"/>
      <c r="E298" s="2"/>
      <c r="F298" s="2"/>
      <c r="G298" s="173"/>
      <c r="H298" s="174"/>
      <c r="I298" s="218" t="e">
        <f>Tabela2234[[#This Row],[PESO TOTAL]]/Tabela2234[[#This Row],[QUANTIDADE]]</f>
        <v>#DIV/0!</v>
      </c>
      <c r="J298" s="2"/>
      <c r="K298" s="193"/>
      <c r="L298" s="8"/>
      <c r="M298" s="8"/>
      <c r="N298" s="8"/>
      <c r="O298" s="194"/>
      <c r="P298" s="195"/>
    </row>
    <row r="299" spans="1:16">
      <c r="A299" s="3"/>
      <c r="B299" s="3" t="str">
        <f>TEXT(Tabela2234[[#This Row],[DATA]],"mmmm")</f>
        <v>janeiro</v>
      </c>
      <c r="C299" s="2"/>
      <c r="D299" s="2"/>
      <c r="E299" s="2"/>
      <c r="F299" s="2"/>
      <c r="G299" s="173"/>
      <c r="H299" s="174"/>
      <c r="I299" s="218" t="e">
        <f>Tabela2234[[#This Row],[PESO TOTAL]]/Tabela2234[[#This Row],[QUANTIDADE]]</f>
        <v>#DIV/0!</v>
      </c>
      <c r="J299" s="2"/>
      <c r="K299" s="193"/>
      <c r="L299" s="8"/>
      <c r="M299" s="8"/>
      <c r="N299" s="8"/>
      <c r="O299" s="194"/>
      <c r="P299" s="195"/>
    </row>
    <row r="300" spans="1:16">
      <c r="A300" s="3"/>
      <c r="B300" s="3" t="str">
        <f>TEXT(Tabela2234[[#This Row],[DATA]],"mmmm")</f>
        <v>janeiro</v>
      </c>
      <c r="C300" s="2"/>
      <c r="D300" s="2"/>
      <c r="E300" s="2"/>
      <c r="F300" s="2"/>
      <c r="G300" s="173"/>
      <c r="H300" s="174"/>
      <c r="I300" s="218" t="e">
        <f>Tabela2234[[#This Row],[PESO TOTAL]]/Tabela2234[[#This Row],[QUANTIDADE]]</f>
        <v>#DIV/0!</v>
      </c>
      <c r="J300" s="2"/>
      <c r="K300" s="193"/>
      <c r="L300" s="8"/>
      <c r="M300" s="8"/>
      <c r="N300" s="8"/>
      <c r="O300" s="194"/>
      <c r="P300" s="195"/>
    </row>
    <row r="301" spans="1:16">
      <c r="A301" s="3"/>
      <c r="B301" s="3" t="str">
        <f>TEXT(Tabela2234[[#This Row],[DATA]],"mmmm")</f>
        <v>janeiro</v>
      </c>
      <c r="C301" s="2"/>
      <c r="D301" s="2"/>
      <c r="E301" s="2"/>
      <c r="F301" s="2"/>
      <c r="G301" s="173"/>
      <c r="H301" s="174"/>
      <c r="I301" s="218" t="e">
        <f>Tabela2234[[#This Row],[PESO TOTAL]]/Tabela2234[[#This Row],[QUANTIDADE]]</f>
        <v>#DIV/0!</v>
      </c>
      <c r="J301" s="2"/>
      <c r="K301" s="193"/>
      <c r="L301" s="8"/>
      <c r="M301" s="8"/>
      <c r="N301" s="8"/>
      <c r="O301" s="194"/>
      <c r="P301" s="195"/>
    </row>
    <row r="302" spans="1:16">
      <c r="A302" s="3"/>
      <c r="B302" s="3" t="str">
        <f>TEXT(Tabela2234[[#This Row],[DATA]],"mmmm")</f>
        <v>janeiro</v>
      </c>
      <c r="C302" s="2"/>
      <c r="D302" s="2"/>
      <c r="E302" s="2"/>
      <c r="F302" s="2"/>
      <c r="G302" s="173"/>
      <c r="H302" s="174"/>
      <c r="I302" s="218" t="e">
        <f>Tabela2234[[#This Row],[PESO TOTAL]]/Tabela2234[[#This Row],[QUANTIDADE]]</f>
        <v>#DIV/0!</v>
      </c>
      <c r="J302" s="2"/>
      <c r="K302" s="193"/>
      <c r="L302" s="8"/>
      <c r="M302" s="8"/>
      <c r="N302" s="8"/>
      <c r="O302" s="194"/>
      <c r="P302" s="195"/>
    </row>
    <row r="303" spans="1:16">
      <c r="A303" s="3"/>
      <c r="B303" s="3" t="str">
        <f>TEXT(Tabela2234[[#This Row],[DATA]],"mmmm")</f>
        <v>janeiro</v>
      </c>
      <c r="C303" s="2"/>
      <c r="D303" s="2"/>
      <c r="E303" s="2"/>
      <c r="F303" s="2"/>
      <c r="G303" s="173"/>
      <c r="H303" s="174"/>
      <c r="I303" s="218" t="e">
        <f>Tabela2234[[#This Row],[PESO TOTAL]]/Tabela2234[[#This Row],[QUANTIDADE]]</f>
        <v>#DIV/0!</v>
      </c>
      <c r="J303" s="2"/>
      <c r="K303" s="193"/>
      <c r="L303" s="8"/>
      <c r="M303" s="8"/>
      <c r="N303" s="8"/>
      <c r="O303" s="194"/>
      <c r="P303" s="195"/>
    </row>
    <row r="304" spans="1:16">
      <c r="A304" s="3"/>
      <c r="B304" s="3" t="str">
        <f>TEXT(Tabela2234[[#This Row],[DATA]],"mmmm")</f>
        <v>janeiro</v>
      </c>
      <c r="C304" s="2"/>
      <c r="D304" s="2"/>
      <c r="E304" s="2"/>
      <c r="F304" s="2"/>
      <c r="G304" s="173"/>
      <c r="H304" s="174"/>
      <c r="I304" s="218" t="e">
        <f>Tabela2234[[#This Row],[PESO TOTAL]]/Tabela2234[[#This Row],[QUANTIDADE]]</f>
        <v>#DIV/0!</v>
      </c>
      <c r="J304" s="2"/>
      <c r="K304" s="193"/>
      <c r="L304" s="8"/>
      <c r="M304" s="8"/>
      <c r="N304" s="8"/>
      <c r="O304" s="194"/>
      <c r="P304" s="195"/>
    </row>
    <row r="305" spans="1:16">
      <c r="A305" s="3"/>
      <c r="B305" s="3" t="str">
        <f>TEXT(Tabela2234[[#This Row],[DATA]],"mmmm")</f>
        <v>janeiro</v>
      </c>
      <c r="C305" s="2"/>
      <c r="D305" s="2"/>
      <c r="E305" s="2"/>
      <c r="F305" s="2"/>
      <c r="G305" s="173"/>
      <c r="H305" s="174"/>
      <c r="I305" s="218" t="e">
        <f>Tabela2234[[#This Row],[PESO TOTAL]]/Tabela2234[[#This Row],[QUANTIDADE]]</f>
        <v>#DIV/0!</v>
      </c>
      <c r="J305" s="2"/>
      <c r="K305" s="193"/>
      <c r="L305" s="8"/>
      <c r="M305" s="8"/>
      <c r="N305" s="8"/>
      <c r="O305" s="194"/>
      <c r="P305" s="195"/>
    </row>
    <row r="306" spans="1:16">
      <c r="A306" s="3"/>
      <c r="B306" s="3" t="str">
        <f>TEXT(Tabela2234[[#This Row],[DATA]],"mmmm")</f>
        <v>janeiro</v>
      </c>
      <c r="C306" s="2"/>
      <c r="D306" s="2"/>
      <c r="E306" s="2"/>
      <c r="F306" s="2"/>
      <c r="G306" s="173"/>
      <c r="H306" s="174"/>
      <c r="I306" s="218" t="e">
        <f>Tabela2234[[#This Row],[PESO TOTAL]]/Tabela2234[[#This Row],[QUANTIDADE]]</f>
        <v>#DIV/0!</v>
      </c>
      <c r="J306" s="2"/>
      <c r="K306" s="193"/>
      <c r="L306" s="8"/>
      <c r="M306" s="8"/>
      <c r="N306" s="8"/>
      <c r="O306" s="194"/>
      <c r="P306" s="195"/>
    </row>
    <row r="307" spans="1:16">
      <c r="A307" s="3"/>
      <c r="B307" s="3" t="str">
        <f>TEXT(Tabela2234[[#This Row],[DATA]],"mmmm")</f>
        <v>janeiro</v>
      </c>
      <c r="C307" s="2"/>
      <c r="D307" s="2"/>
      <c r="E307" s="2"/>
      <c r="F307" s="2"/>
      <c r="G307" s="173"/>
      <c r="H307" s="174"/>
      <c r="I307" s="218" t="e">
        <f>Tabela2234[[#This Row],[PESO TOTAL]]/Tabela2234[[#This Row],[QUANTIDADE]]</f>
        <v>#DIV/0!</v>
      </c>
      <c r="J307" s="2"/>
      <c r="K307" s="193"/>
      <c r="L307" s="8"/>
      <c r="M307" s="8"/>
      <c r="N307" s="8"/>
      <c r="O307" s="194"/>
      <c r="P307" s="195"/>
    </row>
    <row r="308" spans="1:16">
      <c r="A308" s="3"/>
      <c r="B308" s="3" t="str">
        <f>TEXT(Tabela2234[[#This Row],[DATA]],"mmmm")</f>
        <v>janeiro</v>
      </c>
      <c r="C308" s="2"/>
      <c r="D308" s="2"/>
      <c r="E308" s="2"/>
      <c r="F308" s="2"/>
      <c r="G308" s="173"/>
      <c r="H308" s="174"/>
      <c r="I308" s="218" t="e">
        <f>Tabela2234[[#This Row],[PESO TOTAL]]/Tabela2234[[#This Row],[QUANTIDADE]]</f>
        <v>#DIV/0!</v>
      </c>
      <c r="J308" s="2"/>
      <c r="K308" s="193"/>
      <c r="L308" s="8"/>
      <c r="M308" s="8"/>
      <c r="N308" s="8"/>
      <c r="O308" s="194"/>
      <c r="P308" s="195"/>
    </row>
    <row r="309" spans="1:16">
      <c r="A309" s="3"/>
      <c r="B309" s="3" t="str">
        <f>TEXT(Tabela2234[[#This Row],[DATA]],"mmmm")</f>
        <v>janeiro</v>
      </c>
      <c r="C309" s="2"/>
      <c r="D309" s="2"/>
      <c r="E309" s="2"/>
      <c r="F309" s="2"/>
      <c r="G309" s="173"/>
      <c r="H309" s="174"/>
      <c r="I309" s="218" t="e">
        <f>Tabela2234[[#This Row],[PESO TOTAL]]/Tabela2234[[#This Row],[QUANTIDADE]]</f>
        <v>#DIV/0!</v>
      </c>
      <c r="J309" s="2"/>
      <c r="K309" s="193"/>
      <c r="L309" s="8"/>
      <c r="M309" s="8"/>
      <c r="N309" s="8"/>
      <c r="O309" s="194"/>
      <c r="P309" s="195"/>
    </row>
    <row r="310" spans="1:16">
      <c r="A310" s="3"/>
      <c r="B310" s="3" t="str">
        <f>TEXT(Tabela2234[[#This Row],[DATA]],"mmmm")</f>
        <v>janeiro</v>
      </c>
      <c r="C310" s="2"/>
      <c r="D310" s="2"/>
      <c r="E310" s="2"/>
      <c r="F310" s="2"/>
      <c r="G310" s="173"/>
      <c r="H310" s="174"/>
      <c r="I310" s="218" t="e">
        <f>Tabela2234[[#This Row],[PESO TOTAL]]/Tabela2234[[#This Row],[QUANTIDADE]]</f>
        <v>#DIV/0!</v>
      </c>
      <c r="J310" s="2"/>
      <c r="K310" s="193"/>
      <c r="L310" s="8"/>
      <c r="M310" s="8"/>
      <c r="N310" s="8"/>
      <c r="O310" s="194"/>
      <c r="P310" s="195"/>
    </row>
    <row r="311" spans="1:16">
      <c r="A311" s="3"/>
      <c r="B311" s="3" t="str">
        <f>TEXT(Tabela2234[[#This Row],[DATA]],"mmmm")</f>
        <v>janeiro</v>
      </c>
      <c r="C311" s="2"/>
      <c r="D311" s="2"/>
      <c r="E311" s="2"/>
      <c r="F311" s="2"/>
      <c r="G311" s="173"/>
      <c r="H311" s="174"/>
      <c r="I311" s="218" t="e">
        <f>Tabela2234[[#This Row],[PESO TOTAL]]/Tabela2234[[#This Row],[QUANTIDADE]]</f>
        <v>#DIV/0!</v>
      </c>
      <c r="J311" s="2"/>
      <c r="K311" s="193"/>
      <c r="L311" s="8"/>
      <c r="M311" s="8"/>
      <c r="N311" s="8"/>
      <c r="O311" s="194"/>
      <c r="P311" s="195"/>
    </row>
    <row r="312" spans="1:16">
      <c r="A312" s="3"/>
      <c r="B312" s="3" t="str">
        <f>TEXT(Tabela2234[[#This Row],[DATA]],"mmmm")</f>
        <v>janeiro</v>
      </c>
      <c r="C312" s="2"/>
      <c r="D312" s="2"/>
      <c r="E312" s="2"/>
      <c r="F312" s="2"/>
      <c r="G312" s="173"/>
      <c r="H312" s="174"/>
      <c r="I312" s="218" t="e">
        <f>Tabela2234[[#This Row],[PESO TOTAL]]/Tabela2234[[#This Row],[QUANTIDADE]]</f>
        <v>#DIV/0!</v>
      </c>
      <c r="J312" s="2"/>
      <c r="K312" s="193"/>
      <c r="L312" s="8"/>
      <c r="M312" s="8"/>
      <c r="N312" s="8"/>
      <c r="O312" s="194"/>
      <c r="P312" s="195"/>
    </row>
    <row r="313" spans="1:16">
      <c r="A313" s="3"/>
      <c r="B313" s="3" t="str">
        <f>TEXT(Tabela2234[[#This Row],[DATA]],"mmmm")</f>
        <v>janeiro</v>
      </c>
      <c r="C313" s="2"/>
      <c r="D313" s="2"/>
      <c r="E313" s="2"/>
      <c r="F313" s="2"/>
      <c r="G313" s="173"/>
      <c r="H313" s="174"/>
      <c r="I313" s="218" t="e">
        <f>Tabela2234[[#This Row],[PESO TOTAL]]/Tabela2234[[#This Row],[QUANTIDADE]]</f>
        <v>#DIV/0!</v>
      </c>
      <c r="J313" s="2"/>
      <c r="K313" s="193"/>
      <c r="L313" s="8"/>
      <c r="M313" s="8"/>
      <c r="N313" s="8"/>
      <c r="O313" s="194"/>
      <c r="P313" s="195"/>
    </row>
    <row r="314" spans="1:16">
      <c r="A314" s="3"/>
      <c r="B314" s="3" t="str">
        <f>TEXT(Tabela2234[[#This Row],[DATA]],"mmmm")</f>
        <v>janeiro</v>
      </c>
      <c r="C314" s="2"/>
      <c r="D314" s="2"/>
      <c r="E314" s="2"/>
      <c r="F314" s="2"/>
      <c r="G314" s="173"/>
      <c r="H314" s="174"/>
      <c r="I314" s="218" t="e">
        <f>Tabela2234[[#This Row],[PESO TOTAL]]/Tabela2234[[#This Row],[QUANTIDADE]]</f>
        <v>#DIV/0!</v>
      </c>
      <c r="J314" s="2"/>
      <c r="K314" s="193"/>
      <c r="L314" s="8"/>
      <c r="M314" s="8"/>
      <c r="N314" s="8"/>
      <c r="O314" s="194"/>
      <c r="P314" s="195"/>
    </row>
    <row r="315" spans="1:16">
      <c r="A315" s="3"/>
      <c r="B315" s="3" t="str">
        <f>TEXT(Tabela2234[[#This Row],[DATA]],"mmmm")</f>
        <v>janeiro</v>
      </c>
      <c r="C315" s="2"/>
      <c r="D315" s="2"/>
      <c r="E315" s="2"/>
      <c r="F315" s="2"/>
      <c r="G315" s="173"/>
      <c r="H315" s="174"/>
      <c r="I315" s="218" t="e">
        <f>Tabela2234[[#This Row],[PESO TOTAL]]/Tabela2234[[#This Row],[QUANTIDADE]]</f>
        <v>#DIV/0!</v>
      </c>
      <c r="J315" s="2"/>
      <c r="K315" s="193"/>
      <c r="L315" s="8"/>
      <c r="M315" s="8"/>
      <c r="N315" s="8"/>
      <c r="O315" s="194"/>
      <c r="P315" s="195"/>
    </row>
    <row r="316" spans="1:16">
      <c r="A316" s="3"/>
      <c r="B316" s="3" t="str">
        <f>TEXT(Tabela2234[[#This Row],[DATA]],"mmmm")</f>
        <v>janeiro</v>
      </c>
      <c r="C316" s="2"/>
      <c r="D316" s="2"/>
      <c r="E316" s="2"/>
      <c r="F316" s="2"/>
      <c r="G316" s="173"/>
      <c r="H316" s="174"/>
      <c r="I316" s="218" t="e">
        <f>Tabela2234[[#This Row],[PESO TOTAL]]/Tabela2234[[#This Row],[QUANTIDADE]]</f>
        <v>#DIV/0!</v>
      </c>
      <c r="J316" s="2"/>
      <c r="K316" s="193"/>
      <c r="L316" s="8"/>
      <c r="M316" s="8"/>
      <c r="N316" s="8"/>
      <c r="O316" s="194"/>
      <c r="P316" s="195"/>
    </row>
    <row r="317" spans="1:16">
      <c r="A317" s="3"/>
      <c r="B317" s="3" t="str">
        <f>TEXT(Tabela2234[[#This Row],[DATA]],"mmmm")</f>
        <v>janeiro</v>
      </c>
      <c r="C317" s="2"/>
      <c r="D317" s="2"/>
      <c r="E317" s="2"/>
      <c r="F317" s="2"/>
      <c r="G317" s="173"/>
      <c r="H317" s="174"/>
      <c r="I317" s="218" t="e">
        <f>Tabela2234[[#This Row],[PESO TOTAL]]/Tabela2234[[#This Row],[QUANTIDADE]]</f>
        <v>#DIV/0!</v>
      </c>
      <c r="J317" s="2"/>
      <c r="K317" s="193"/>
      <c r="L317" s="8"/>
      <c r="M317" s="8"/>
      <c r="N317" s="8"/>
      <c r="O317" s="194"/>
      <c r="P317" s="195"/>
    </row>
    <row r="318" spans="1:16">
      <c r="A318" s="3"/>
      <c r="B318" s="3" t="str">
        <f>TEXT(Tabela2234[[#This Row],[DATA]],"mmmm")</f>
        <v>janeiro</v>
      </c>
      <c r="C318" s="2"/>
      <c r="D318" s="2"/>
      <c r="E318" s="2"/>
      <c r="F318" s="2"/>
      <c r="G318" s="173"/>
      <c r="H318" s="174"/>
      <c r="I318" s="218" t="e">
        <f>Tabela2234[[#This Row],[PESO TOTAL]]/Tabela2234[[#This Row],[QUANTIDADE]]</f>
        <v>#DIV/0!</v>
      </c>
      <c r="J318" s="2"/>
      <c r="K318" s="193"/>
      <c r="L318" s="8"/>
      <c r="M318" s="8"/>
      <c r="N318" s="8"/>
      <c r="O318" s="194"/>
      <c r="P318" s="195"/>
    </row>
    <row r="319" spans="1:16">
      <c r="A319" s="3"/>
      <c r="B319" s="3" t="str">
        <f>TEXT(Tabela2234[[#This Row],[DATA]],"mmmm")</f>
        <v>janeiro</v>
      </c>
      <c r="C319" s="2"/>
      <c r="D319" s="2"/>
      <c r="E319" s="2"/>
      <c r="F319" s="2"/>
      <c r="G319" s="173"/>
      <c r="H319" s="174"/>
      <c r="I319" s="218" t="e">
        <f>Tabela2234[[#This Row],[PESO TOTAL]]/Tabela2234[[#This Row],[QUANTIDADE]]</f>
        <v>#DIV/0!</v>
      </c>
      <c r="J319" s="2"/>
      <c r="K319" s="193"/>
      <c r="L319" s="8"/>
      <c r="M319" s="8"/>
      <c r="N319" s="8"/>
      <c r="O319" s="194"/>
      <c r="P319" s="195"/>
    </row>
    <row r="320" spans="1:16">
      <c r="A320" s="3"/>
      <c r="B320" s="3" t="str">
        <f>TEXT(Tabela2234[[#This Row],[DATA]],"mmmm")</f>
        <v>janeiro</v>
      </c>
      <c r="C320" s="2"/>
      <c r="D320" s="2"/>
      <c r="E320" s="2"/>
      <c r="F320" s="2"/>
      <c r="G320" s="173"/>
      <c r="H320" s="174"/>
      <c r="I320" s="218" t="e">
        <f>Tabela2234[[#This Row],[PESO TOTAL]]/Tabela2234[[#This Row],[QUANTIDADE]]</f>
        <v>#DIV/0!</v>
      </c>
      <c r="J320" s="2"/>
      <c r="K320" s="193"/>
      <c r="L320" s="8"/>
      <c r="M320" s="8"/>
      <c r="N320" s="8"/>
      <c r="O320" s="194"/>
      <c r="P320" s="195"/>
    </row>
    <row r="321" spans="1:16">
      <c r="A321" s="3"/>
      <c r="B321" s="3" t="str">
        <f>TEXT(Tabela2234[[#This Row],[DATA]],"mmmm")</f>
        <v>janeiro</v>
      </c>
      <c r="C321" s="2"/>
      <c r="D321" s="2"/>
      <c r="E321" s="2"/>
      <c r="F321" s="2"/>
      <c r="G321" s="173"/>
      <c r="H321" s="174"/>
      <c r="I321" s="218" t="e">
        <f>Tabela2234[[#This Row],[PESO TOTAL]]/Tabela2234[[#This Row],[QUANTIDADE]]</f>
        <v>#DIV/0!</v>
      </c>
      <c r="J321" s="2"/>
      <c r="K321" s="193"/>
      <c r="L321" s="8"/>
      <c r="M321" s="8"/>
      <c r="N321" s="8"/>
      <c r="O321" s="194"/>
      <c r="P321" s="195"/>
    </row>
    <row r="322" spans="1:16">
      <c r="A322" s="3"/>
      <c r="B322" s="3" t="str">
        <f>TEXT(Tabela2234[[#This Row],[DATA]],"mmmm")</f>
        <v>janeiro</v>
      </c>
      <c r="C322" s="2"/>
      <c r="D322" s="2"/>
      <c r="E322" s="2"/>
      <c r="F322" s="2"/>
      <c r="G322" s="173"/>
      <c r="H322" s="174"/>
      <c r="I322" s="218" t="e">
        <f>Tabela2234[[#This Row],[PESO TOTAL]]/Tabela2234[[#This Row],[QUANTIDADE]]</f>
        <v>#DIV/0!</v>
      </c>
      <c r="J322" s="2"/>
      <c r="K322" s="193"/>
      <c r="L322" s="8"/>
      <c r="M322" s="8"/>
      <c r="N322" s="8"/>
      <c r="O322" s="194"/>
      <c r="P322" s="195"/>
    </row>
    <row r="323" spans="1:16">
      <c r="A323" s="3"/>
      <c r="B323" s="3" t="str">
        <f>TEXT(Tabela2234[[#This Row],[DATA]],"mmmm")</f>
        <v>janeiro</v>
      </c>
      <c r="C323" s="2"/>
      <c r="D323" s="2"/>
      <c r="E323" s="2"/>
      <c r="F323" s="2"/>
      <c r="G323" s="173"/>
      <c r="H323" s="174"/>
      <c r="I323" s="218" t="e">
        <f>Tabela2234[[#This Row],[PESO TOTAL]]/Tabela2234[[#This Row],[QUANTIDADE]]</f>
        <v>#DIV/0!</v>
      </c>
      <c r="J323" s="2"/>
      <c r="K323" s="193"/>
      <c r="L323" s="8"/>
      <c r="M323" s="8"/>
      <c r="N323" s="8"/>
      <c r="O323" s="194"/>
      <c r="P323" s="195"/>
    </row>
    <row r="324" spans="1:16">
      <c r="A324" s="3"/>
      <c r="B324" s="3" t="str">
        <f>TEXT(Tabela2234[[#This Row],[DATA]],"mmmm")</f>
        <v>janeiro</v>
      </c>
      <c r="C324" s="2"/>
      <c r="D324" s="2"/>
      <c r="E324" s="2"/>
      <c r="F324" s="2"/>
      <c r="G324" s="173"/>
      <c r="H324" s="174"/>
      <c r="I324" s="218" t="e">
        <f>Tabela2234[[#This Row],[PESO TOTAL]]/Tabela2234[[#This Row],[QUANTIDADE]]</f>
        <v>#DIV/0!</v>
      </c>
      <c r="J324" s="2"/>
      <c r="K324" s="193"/>
      <c r="L324" s="8"/>
      <c r="M324" s="8"/>
      <c r="N324" s="8"/>
      <c r="O324" s="194"/>
      <c r="P324" s="195"/>
    </row>
    <row r="325" spans="1:16">
      <c r="A325" s="3"/>
      <c r="B325" s="3" t="str">
        <f>TEXT(Tabela2234[[#This Row],[DATA]],"mmmm")</f>
        <v>janeiro</v>
      </c>
      <c r="C325" s="2"/>
      <c r="D325" s="2"/>
      <c r="E325" s="2"/>
      <c r="F325" s="2"/>
      <c r="G325" s="173"/>
      <c r="H325" s="174"/>
      <c r="I325" s="218" t="e">
        <f>Tabela2234[[#This Row],[PESO TOTAL]]/Tabela2234[[#This Row],[QUANTIDADE]]</f>
        <v>#DIV/0!</v>
      </c>
      <c r="J325" s="2"/>
      <c r="K325" s="193"/>
      <c r="L325" s="8"/>
      <c r="M325" s="8"/>
      <c r="N325" s="8"/>
      <c r="O325" s="194"/>
      <c r="P325" s="195"/>
    </row>
    <row r="326" spans="1:16">
      <c r="A326" s="3"/>
      <c r="B326" s="3" t="str">
        <f>TEXT(Tabela2234[[#This Row],[DATA]],"mmmm")</f>
        <v>janeiro</v>
      </c>
      <c r="C326" s="2"/>
      <c r="D326" s="2"/>
      <c r="E326" s="2"/>
      <c r="F326" s="2"/>
      <c r="G326" s="173"/>
      <c r="H326" s="174"/>
      <c r="I326" s="218" t="e">
        <f>Tabela2234[[#This Row],[PESO TOTAL]]/Tabela2234[[#This Row],[QUANTIDADE]]</f>
        <v>#DIV/0!</v>
      </c>
      <c r="J326" s="2"/>
      <c r="K326" s="193"/>
      <c r="L326" s="8"/>
      <c r="M326" s="8"/>
      <c r="N326" s="8"/>
      <c r="O326" s="194"/>
      <c r="P326" s="195"/>
    </row>
    <row r="327" spans="1:16">
      <c r="A327" s="3"/>
      <c r="B327" s="3" t="str">
        <f>TEXT(Tabela2234[[#This Row],[DATA]],"mmmm")</f>
        <v>janeiro</v>
      </c>
      <c r="C327" s="2"/>
      <c r="D327" s="2"/>
      <c r="E327" s="2"/>
      <c r="F327" s="2"/>
      <c r="G327" s="173"/>
      <c r="H327" s="174"/>
      <c r="I327" s="218" t="e">
        <f>Tabela2234[[#This Row],[PESO TOTAL]]/Tabela2234[[#This Row],[QUANTIDADE]]</f>
        <v>#DIV/0!</v>
      </c>
      <c r="J327" s="2"/>
      <c r="K327" s="193"/>
      <c r="L327" s="8"/>
      <c r="M327" s="8"/>
      <c r="N327" s="8"/>
      <c r="O327" s="194"/>
      <c r="P327" s="195"/>
    </row>
    <row r="328" spans="1:16">
      <c r="A328" s="3"/>
      <c r="B328" s="3" t="str">
        <f>TEXT(Tabela2234[[#This Row],[DATA]],"mmmm")</f>
        <v>janeiro</v>
      </c>
      <c r="C328" s="2"/>
      <c r="D328" s="2"/>
      <c r="E328" s="2"/>
      <c r="F328" s="2"/>
      <c r="G328" s="173"/>
      <c r="H328" s="174"/>
      <c r="I328" s="218" t="e">
        <f>Tabela2234[[#This Row],[PESO TOTAL]]/Tabela2234[[#This Row],[QUANTIDADE]]</f>
        <v>#DIV/0!</v>
      </c>
      <c r="J328" s="2"/>
      <c r="K328" s="193"/>
      <c r="L328" s="8"/>
      <c r="M328" s="8"/>
      <c r="N328" s="8"/>
      <c r="O328" s="194"/>
      <c r="P328" s="195"/>
    </row>
    <row r="329" spans="1:16">
      <c r="A329" s="3"/>
      <c r="B329" s="3" t="str">
        <f>TEXT(Tabela2234[[#This Row],[DATA]],"mmmm")</f>
        <v>janeiro</v>
      </c>
      <c r="C329" s="2"/>
      <c r="D329" s="2"/>
      <c r="E329" s="2"/>
      <c r="F329" s="2"/>
      <c r="G329" s="173"/>
      <c r="H329" s="174"/>
      <c r="I329" s="218" t="e">
        <f>Tabela2234[[#This Row],[PESO TOTAL]]/Tabela2234[[#This Row],[QUANTIDADE]]</f>
        <v>#DIV/0!</v>
      </c>
      <c r="J329" s="2"/>
      <c r="K329" s="193"/>
      <c r="L329" s="8"/>
      <c r="M329" s="8"/>
      <c r="N329" s="8"/>
      <c r="O329" s="194"/>
      <c r="P329" s="195"/>
    </row>
    <row r="330" spans="1:16">
      <c r="A330" s="3"/>
      <c r="B330" s="3" t="str">
        <f>TEXT(Tabela2234[[#This Row],[DATA]],"mmmm")</f>
        <v>janeiro</v>
      </c>
      <c r="C330" s="2"/>
      <c r="D330" s="2"/>
      <c r="E330" s="2"/>
      <c r="F330" s="2"/>
      <c r="G330" s="173"/>
      <c r="H330" s="174"/>
      <c r="I330" s="218" t="e">
        <f>Tabela2234[[#This Row],[PESO TOTAL]]/Tabela2234[[#This Row],[QUANTIDADE]]</f>
        <v>#DIV/0!</v>
      </c>
      <c r="J330" s="2"/>
      <c r="K330" s="193"/>
      <c r="L330" s="8"/>
      <c r="M330" s="8"/>
      <c r="N330" s="8"/>
      <c r="O330" s="194"/>
      <c r="P330" s="195"/>
    </row>
    <row r="331" spans="1:16">
      <c r="A331" s="3"/>
      <c r="B331" s="3" t="str">
        <f>TEXT(Tabela2234[[#This Row],[DATA]],"mmmm")</f>
        <v>janeiro</v>
      </c>
      <c r="C331" s="2"/>
      <c r="D331" s="2"/>
      <c r="E331" s="2"/>
      <c r="F331" s="2"/>
      <c r="G331" s="173"/>
      <c r="H331" s="174"/>
      <c r="I331" s="218" t="e">
        <f>Tabela2234[[#This Row],[PESO TOTAL]]/Tabela2234[[#This Row],[QUANTIDADE]]</f>
        <v>#DIV/0!</v>
      </c>
      <c r="J331" s="2"/>
      <c r="K331" s="193"/>
      <c r="L331" s="8"/>
      <c r="M331" s="8"/>
      <c r="N331" s="8"/>
      <c r="O331" s="194"/>
      <c r="P331" s="195"/>
    </row>
    <row r="332" spans="1:16">
      <c r="A332" s="3"/>
      <c r="B332" s="3" t="str">
        <f>TEXT(Tabela2234[[#This Row],[DATA]],"mmmm")</f>
        <v>janeiro</v>
      </c>
      <c r="C332" s="2"/>
      <c r="D332" s="2"/>
      <c r="E332" s="2"/>
      <c r="F332" s="2"/>
      <c r="G332" s="173"/>
      <c r="H332" s="174"/>
      <c r="I332" s="218" t="e">
        <f>Tabela2234[[#This Row],[PESO TOTAL]]/Tabela2234[[#This Row],[QUANTIDADE]]</f>
        <v>#DIV/0!</v>
      </c>
      <c r="J332" s="2"/>
      <c r="K332" s="193"/>
      <c r="L332" s="8"/>
      <c r="M332" s="8"/>
      <c r="N332" s="8"/>
      <c r="O332" s="194"/>
      <c r="P332" s="195"/>
    </row>
    <row r="333" spans="1:16">
      <c r="A333" s="3"/>
      <c r="B333" s="3" t="str">
        <f>TEXT(Tabela2234[[#This Row],[DATA]],"mmmm")</f>
        <v>janeiro</v>
      </c>
      <c r="C333" s="2"/>
      <c r="D333" s="2"/>
      <c r="E333" s="2"/>
      <c r="F333" s="2"/>
      <c r="G333" s="173"/>
      <c r="H333" s="174"/>
      <c r="I333" s="218" t="e">
        <f>Tabela2234[[#This Row],[PESO TOTAL]]/Tabela2234[[#This Row],[QUANTIDADE]]</f>
        <v>#DIV/0!</v>
      </c>
      <c r="J333" s="2"/>
      <c r="K333" s="193"/>
      <c r="L333" s="8"/>
      <c r="M333" s="8"/>
      <c r="N333" s="8"/>
      <c r="O333" s="194"/>
      <c r="P333" s="195"/>
    </row>
    <row r="334" spans="1:16">
      <c r="A334" s="3"/>
      <c r="B334" s="3" t="str">
        <f>TEXT(Tabela2234[[#This Row],[DATA]],"mmmm")</f>
        <v>janeiro</v>
      </c>
      <c r="C334" s="2"/>
      <c r="D334" s="2"/>
      <c r="E334" s="2"/>
      <c r="F334" s="2"/>
      <c r="G334" s="173"/>
      <c r="H334" s="174"/>
      <c r="I334" s="218" t="e">
        <f>Tabela2234[[#This Row],[PESO TOTAL]]/Tabela2234[[#This Row],[QUANTIDADE]]</f>
        <v>#DIV/0!</v>
      </c>
      <c r="J334" s="2"/>
      <c r="K334" s="193"/>
      <c r="L334" s="8"/>
      <c r="M334" s="8"/>
      <c r="N334" s="8"/>
      <c r="O334" s="194"/>
      <c r="P334" s="195"/>
    </row>
    <row r="335" spans="1:16">
      <c r="A335" s="3"/>
      <c r="B335" s="3" t="str">
        <f>TEXT(Tabela2234[[#This Row],[DATA]],"mmmm")</f>
        <v>janeiro</v>
      </c>
      <c r="C335" s="2"/>
      <c r="D335" s="2"/>
      <c r="E335" s="2"/>
      <c r="F335" s="2"/>
      <c r="G335" s="173"/>
      <c r="H335" s="174"/>
      <c r="I335" s="218" t="e">
        <f>Tabela2234[[#This Row],[PESO TOTAL]]/Tabela2234[[#This Row],[QUANTIDADE]]</f>
        <v>#DIV/0!</v>
      </c>
      <c r="J335" s="2"/>
      <c r="K335" s="193"/>
      <c r="L335" s="8"/>
      <c r="M335" s="8"/>
      <c r="N335" s="8"/>
      <c r="O335" s="194"/>
      <c r="P335" s="195"/>
    </row>
    <row r="336" spans="1:16">
      <c r="A336" s="3"/>
      <c r="B336" s="3" t="str">
        <f>TEXT(Tabela2234[[#This Row],[DATA]],"mmmm")</f>
        <v>janeiro</v>
      </c>
      <c r="C336" s="2"/>
      <c r="D336" s="2"/>
      <c r="E336" s="2"/>
      <c r="F336" s="2"/>
      <c r="G336" s="173"/>
      <c r="H336" s="174"/>
      <c r="I336" s="218" t="e">
        <f>Tabela2234[[#This Row],[PESO TOTAL]]/Tabela2234[[#This Row],[QUANTIDADE]]</f>
        <v>#DIV/0!</v>
      </c>
      <c r="J336" s="2"/>
      <c r="K336" s="193"/>
      <c r="L336" s="8"/>
      <c r="M336" s="8"/>
      <c r="N336" s="8"/>
      <c r="O336" s="194"/>
      <c r="P336" s="195"/>
    </row>
    <row r="337" spans="1:16">
      <c r="A337" s="3"/>
      <c r="B337" s="3" t="str">
        <f>TEXT(Tabela2234[[#This Row],[DATA]],"mmmm")</f>
        <v>janeiro</v>
      </c>
      <c r="C337" s="2"/>
      <c r="D337" s="2"/>
      <c r="E337" s="2"/>
      <c r="F337" s="2"/>
      <c r="G337" s="173"/>
      <c r="H337" s="174"/>
      <c r="I337" s="218" t="e">
        <f>Tabela2234[[#This Row],[PESO TOTAL]]/Tabela2234[[#This Row],[QUANTIDADE]]</f>
        <v>#DIV/0!</v>
      </c>
      <c r="J337" s="2"/>
      <c r="K337" s="193"/>
      <c r="L337" s="8"/>
      <c r="M337" s="8"/>
      <c r="N337" s="8"/>
      <c r="O337" s="194"/>
      <c r="P337" s="195"/>
    </row>
    <row r="338" spans="1:16">
      <c r="A338" s="3"/>
      <c r="B338" s="3" t="str">
        <f>TEXT(Tabela2234[[#This Row],[DATA]],"mmmm")</f>
        <v>janeiro</v>
      </c>
      <c r="C338" s="2"/>
      <c r="D338" s="2"/>
      <c r="E338" s="2"/>
      <c r="F338" s="2"/>
      <c r="G338" s="173"/>
      <c r="H338" s="174"/>
      <c r="I338" s="218" t="e">
        <f>Tabela2234[[#This Row],[PESO TOTAL]]/Tabela2234[[#This Row],[QUANTIDADE]]</f>
        <v>#DIV/0!</v>
      </c>
      <c r="J338" s="2"/>
      <c r="K338" s="193"/>
      <c r="L338" s="8"/>
      <c r="M338" s="8"/>
      <c r="N338" s="8"/>
      <c r="O338" s="194"/>
      <c r="P338" s="195"/>
    </row>
    <row r="339" spans="1:16">
      <c r="A339" s="3"/>
      <c r="B339" s="3" t="str">
        <f>TEXT(Tabela2234[[#This Row],[DATA]],"mmmm")</f>
        <v>janeiro</v>
      </c>
      <c r="C339" s="2"/>
      <c r="D339" s="2"/>
      <c r="E339" s="2"/>
      <c r="F339" s="2"/>
      <c r="G339" s="173"/>
      <c r="H339" s="174"/>
      <c r="I339" s="218" t="e">
        <f>Tabela2234[[#This Row],[PESO TOTAL]]/Tabela2234[[#This Row],[QUANTIDADE]]</f>
        <v>#DIV/0!</v>
      </c>
      <c r="J339" s="2"/>
      <c r="K339" s="193"/>
      <c r="L339" s="8"/>
      <c r="M339" s="8"/>
      <c r="N339" s="8"/>
      <c r="O339" s="194"/>
      <c r="P339" s="195"/>
    </row>
    <row r="340" spans="1:16">
      <c r="A340" s="3"/>
      <c r="B340" s="3" t="str">
        <f>TEXT(Tabela2234[[#This Row],[DATA]],"mmmm")</f>
        <v>janeiro</v>
      </c>
      <c r="C340" s="2"/>
      <c r="D340" s="2"/>
      <c r="E340" s="2"/>
      <c r="F340" s="2"/>
      <c r="G340" s="173"/>
      <c r="H340" s="174"/>
      <c r="I340" s="218" t="e">
        <f>Tabela2234[[#This Row],[PESO TOTAL]]/Tabela2234[[#This Row],[QUANTIDADE]]</f>
        <v>#DIV/0!</v>
      </c>
      <c r="J340" s="2"/>
      <c r="K340" s="193"/>
      <c r="L340" s="8"/>
      <c r="M340" s="8"/>
      <c r="N340" s="8"/>
      <c r="O340" s="194"/>
      <c r="P340" s="195"/>
    </row>
    <row r="341" spans="1:16">
      <c r="A341" s="3"/>
      <c r="B341" s="3" t="str">
        <f>TEXT(Tabela2234[[#This Row],[DATA]],"mmmm")</f>
        <v>janeiro</v>
      </c>
      <c r="C341" s="2"/>
      <c r="D341" s="2"/>
      <c r="E341" s="2"/>
      <c r="F341" s="2"/>
      <c r="G341" s="173"/>
      <c r="H341" s="174"/>
      <c r="I341" s="218" t="e">
        <f>Tabela2234[[#This Row],[PESO TOTAL]]/Tabela2234[[#This Row],[QUANTIDADE]]</f>
        <v>#DIV/0!</v>
      </c>
      <c r="J341" s="2"/>
      <c r="K341" s="193"/>
      <c r="L341" s="8"/>
      <c r="M341" s="8"/>
      <c r="N341" s="8"/>
      <c r="O341" s="194"/>
      <c r="P341" s="195"/>
    </row>
    <row r="342" spans="1:16">
      <c r="A342" s="3"/>
      <c r="B342" s="3" t="str">
        <f>TEXT(Tabela2234[[#This Row],[DATA]],"mmmm")</f>
        <v>janeiro</v>
      </c>
      <c r="C342" s="2"/>
      <c r="D342" s="2"/>
      <c r="E342" s="2"/>
      <c r="F342" s="2"/>
      <c r="G342" s="173"/>
      <c r="H342" s="174"/>
      <c r="I342" s="218" t="e">
        <f>Tabela2234[[#This Row],[PESO TOTAL]]/Tabela2234[[#This Row],[QUANTIDADE]]</f>
        <v>#DIV/0!</v>
      </c>
      <c r="J342" s="2"/>
      <c r="K342" s="193"/>
      <c r="L342" s="8"/>
      <c r="M342" s="8"/>
      <c r="N342" s="8"/>
      <c r="O342" s="194"/>
      <c r="P342" s="195"/>
    </row>
    <row r="343" spans="1:16">
      <c r="A343" s="3"/>
      <c r="B343" s="3" t="str">
        <f>TEXT(Tabela2234[[#This Row],[DATA]],"mmmm")</f>
        <v>janeiro</v>
      </c>
      <c r="C343" s="2"/>
      <c r="D343" s="2"/>
      <c r="E343" s="2"/>
      <c r="F343" s="2"/>
      <c r="G343" s="173"/>
      <c r="H343" s="174"/>
      <c r="I343" s="218" t="e">
        <f>Tabela2234[[#This Row],[PESO TOTAL]]/Tabela2234[[#This Row],[QUANTIDADE]]</f>
        <v>#DIV/0!</v>
      </c>
      <c r="J343" s="2"/>
      <c r="K343" s="193"/>
      <c r="L343" s="8"/>
      <c r="M343" s="8"/>
      <c r="N343" s="8"/>
      <c r="O343" s="194"/>
      <c r="P343" s="195"/>
    </row>
    <row r="344" spans="1:16">
      <c r="A344" s="3"/>
      <c r="B344" s="3" t="str">
        <f>TEXT(Tabela2234[[#This Row],[DATA]],"mmmm")</f>
        <v>janeiro</v>
      </c>
      <c r="C344" s="2"/>
      <c r="D344" s="2"/>
      <c r="E344" s="2"/>
      <c r="F344" s="2"/>
      <c r="G344" s="173"/>
      <c r="H344" s="174"/>
      <c r="I344" s="218" t="e">
        <f>Tabela2234[[#This Row],[PESO TOTAL]]/Tabela2234[[#This Row],[QUANTIDADE]]</f>
        <v>#DIV/0!</v>
      </c>
      <c r="J344" s="2"/>
      <c r="K344" s="193"/>
      <c r="L344" s="8"/>
      <c r="M344" s="8"/>
      <c r="N344" s="8"/>
      <c r="O344" s="194"/>
      <c r="P344" s="195"/>
    </row>
    <row r="345" spans="1:16">
      <c r="A345" s="3"/>
      <c r="B345" s="3" t="str">
        <f>TEXT(Tabela2234[[#This Row],[DATA]],"mmmm")</f>
        <v>janeiro</v>
      </c>
      <c r="C345" s="2"/>
      <c r="D345" s="2"/>
      <c r="E345" s="2"/>
      <c r="F345" s="2"/>
      <c r="G345" s="173"/>
      <c r="H345" s="174"/>
      <c r="I345" s="218" t="e">
        <f>Tabela2234[[#This Row],[PESO TOTAL]]/Tabela2234[[#This Row],[QUANTIDADE]]</f>
        <v>#DIV/0!</v>
      </c>
      <c r="J345" s="2"/>
      <c r="K345" s="193"/>
      <c r="L345" s="8"/>
      <c r="M345" s="8"/>
      <c r="N345" s="8"/>
      <c r="O345" s="194"/>
      <c r="P345" s="195"/>
    </row>
    <row r="346" spans="1:16">
      <c r="A346" s="3"/>
      <c r="B346" s="3" t="str">
        <f>TEXT(Tabela2234[[#This Row],[DATA]],"mmmm")</f>
        <v>janeiro</v>
      </c>
      <c r="C346" s="2"/>
      <c r="D346" s="2"/>
      <c r="E346" s="2"/>
      <c r="F346" s="2"/>
      <c r="G346" s="173"/>
      <c r="H346" s="174"/>
      <c r="I346" s="218" t="e">
        <f>Tabela2234[[#This Row],[PESO TOTAL]]/Tabela2234[[#This Row],[QUANTIDADE]]</f>
        <v>#DIV/0!</v>
      </c>
      <c r="J346" s="2"/>
      <c r="K346" s="193"/>
      <c r="L346" s="8"/>
      <c r="M346" s="8"/>
      <c r="N346" s="8"/>
      <c r="O346" s="194"/>
      <c r="P346" s="195"/>
    </row>
    <row r="347" spans="1:16">
      <c r="A347" s="3"/>
      <c r="B347" s="3" t="str">
        <f>TEXT(Tabela2234[[#This Row],[DATA]],"mmmm")</f>
        <v>janeiro</v>
      </c>
      <c r="C347" s="2"/>
      <c r="D347" s="2"/>
      <c r="E347" s="2"/>
      <c r="F347" s="2"/>
      <c r="G347" s="173"/>
      <c r="H347" s="174"/>
      <c r="I347" s="218" t="e">
        <f>Tabela2234[[#This Row],[PESO TOTAL]]/Tabela2234[[#This Row],[QUANTIDADE]]</f>
        <v>#DIV/0!</v>
      </c>
      <c r="J347" s="2"/>
      <c r="K347" s="193"/>
      <c r="L347" s="8"/>
      <c r="M347" s="8"/>
      <c r="N347" s="8"/>
      <c r="O347" s="194"/>
      <c r="P347" s="195"/>
    </row>
    <row r="348" spans="1:16">
      <c r="A348" s="3"/>
      <c r="B348" s="3" t="str">
        <f>TEXT(Tabela2234[[#This Row],[DATA]],"mmmm")</f>
        <v>janeiro</v>
      </c>
      <c r="C348" s="2"/>
      <c r="D348" s="2"/>
      <c r="E348" s="2"/>
      <c r="F348" s="2"/>
      <c r="G348" s="173"/>
      <c r="H348" s="174"/>
      <c r="I348" s="218" t="e">
        <f>Tabela2234[[#This Row],[PESO TOTAL]]/Tabela2234[[#This Row],[QUANTIDADE]]</f>
        <v>#DIV/0!</v>
      </c>
      <c r="J348" s="2"/>
      <c r="K348" s="193"/>
      <c r="L348" s="8"/>
      <c r="M348" s="8"/>
      <c r="N348" s="8"/>
      <c r="O348" s="194"/>
      <c r="P348" s="195"/>
    </row>
    <row r="349" spans="1:16">
      <c r="A349" s="3"/>
      <c r="B349" s="3" t="str">
        <f>TEXT(Tabela2234[[#This Row],[DATA]],"mmmm")</f>
        <v>janeiro</v>
      </c>
      <c r="C349" s="2"/>
      <c r="D349" s="2"/>
      <c r="E349" s="2"/>
      <c r="F349" s="2"/>
      <c r="G349" s="173"/>
      <c r="H349" s="174"/>
      <c r="I349" s="218" t="e">
        <f>Tabela2234[[#This Row],[PESO TOTAL]]/Tabela2234[[#This Row],[QUANTIDADE]]</f>
        <v>#DIV/0!</v>
      </c>
      <c r="J349" s="2"/>
      <c r="K349" s="193"/>
      <c r="L349" s="8"/>
      <c r="M349" s="8"/>
      <c r="N349" s="8"/>
      <c r="O349" s="194"/>
      <c r="P349" s="195"/>
    </row>
    <row r="350" spans="1:16">
      <c r="A350" s="3"/>
      <c r="B350" s="3" t="str">
        <f>TEXT(Tabela2234[[#This Row],[DATA]],"mmmm")</f>
        <v>janeiro</v>
      </c>
      <c r="C350" s="2"/>
      <c r="D350" s="2"/>
      <c r="E350" s="2"/>
      <c r="F350" s="2"/>
      <c r="G350" s="173"/>
      <c r="H350" s="174"/>
      <c r="I350" s="218" t="e">
        <f>Tabela2234[[#This Row],[PESO TOTAL]]/Tabela2234[[#This Row],[QUANTIDADE]]</f>
        <v>#DIV/0!</v>
      </c>
      <c r="J350" s="2"/>
      <c r="K350" s="193"/>
      <c r="L350" s="8"/>
      <c r="M350" s="8"/>
      <c r="N350" s="8"/>
      <c r="O350" s="194"/>
      <c r="P350" s="195"/>
    </row>
    <row r="351" spans="1:16">
      <c r="A351" s="3"/>
      <c r="B351" s="3" t="str">
        <f>TEXT(Tabela2234[[#This Row],[DATA]],"mmmm")</f>
        <v>janeiro</v>
      </c>
      <c r="C351" s="2"/>
      <c r="D351" s="2"/>
      <c r="E351" s="2"/>
      <c r="F351" s="2"/>
      <c r="G351" s="173"/>
      <c r="H351" s="174"/>
      <c r="I351" s="218" t="e">
        <f>Tabela2234[[#This Row],[PESO TOTAL]]/Tabela2234[[#This Row],[QUANTIDADE]]</f>
        <v>#DIV/0!</v>
      </c>
      <c r="J351" s="2"/>
      <c r="K351" s="193"/>
      <c r="L351" s="8"/>
      <c r="M351" s="8"/>
      <c r="N351" s="8"/>
      <c r="O351" s="194"/>
      <c r="P351" s="195"/>
    </row>
    <row r="352" spans="1:16">
      <c r="A352" s="3"/>
      <c r="B352" s="3" t="str">
        <f>TEXT(Tabela2234[[#This Row],[DATA]],"mmmm")</f>
        <v>janeiro</v>
      </c>
      <c r="C352" s="2"/>
      <c r="D352" s="2"/>
      <c r="E352" s="2"/>
      <c r="F352" s="2"/>
      <c r="G352" s="173"/>
      <c r="H352" s="174"/>
      <c r="I352" s="218" t="e">
        <f>Tabela2234[[#This Row],[PESO TOTAL]]/Tabela2234[[#This Row],[QUANTIDADE]]</f>
        <v>#DIV/0!</v>
      </c>
      <c r="J352" s="2"/>
      <c r="K352" s="193"/>
      <c r="L352" s="8"/>
      <c r="M352" s="8"/>
      <c r="N352" s="8"/>
      <c r="O352" s="194"/>
      <c r="P352" s="195"/>
    </row>
    <row r="353" spans="1:16">
      <c r="A353" s="3"/>
      <c r="B353" s="3" t="str">
        <f>TEXT(Tabela2234[[#This Row],[DATA]],"mmmm")</f>
        <v>janeiro</v>
      </c>
      <c r="C353" s="2"/>
      <c r="D353" s="2"/>
      <c r="E353" s="2"/>
      <c r="F353" s="2"/>
      <c r="G353" s="173"/>
      <c r="H353" s="174"/>
      <c r="I353" s="218" t="e">
        <f>Tabela2234[[#This Row],[PESO TOTAL]]/Tabela2234[[#This Row],[QUANTIDADE]]</f>
        <v>#DIV/0!</v>
      </c>
      <c r="J353" s="2"/>
      <c r="K353" s="193"/>
      <c r="L353" s="8"/>
      <c r="M353" s="8"/>
      <c r="N353" s="8"/>
      <c r="O353" s="194"/>
      <c r="P353" s="195"/>
    </row>
    <row r="354" spans="1:16">
      <c r="A354" s="3"/>
      <c r="B354" s="3" t="str">
        <f>TEXT(Tabela2234[[#This Row],[DATA]],"mmmm")</f>
        <v>janeiro</v>
      </c>
      <c r="C354" s="2"/>
      <c r="D354" s="2"/>
      <c r="E354" s="2"/>
      <c r="F354" s="2"/>
      <c r="G354" s="173"/>
      <c r="H354" s="174"/>
      <c r="I354" s="218" t="e">
        <f>Tabela2234[[#This Row],[PESO TOTAL]]/Tabela2234[[#This Row],[QUANTIDADE]]</f>
        <v>#DIV/0!</v>
      </c>
      <c r="J354" s="2"/>
      <c r="K354" s="193"/>
      <c r="L354" s="8"/>
      <c r="M354" s="8"/>
      <c r="N354" s="8"/>
      <c r="O354" s="194"/>
      <c r="P354" s="195"/>
    </row>
    <row r="355" spans="1:16">
      <c r="A355" s="3"/>
      <c r="B355" s="3" t="str">
        <f>TEXT(Tabela2234[[#This Row],[DATA]],"mmmm")</f>
        <v>janeiro</v>
      </c>
      <c r="C355" s="2"/>
      <c r="D355" s="2"/>
      <c r="E355" s="2"/>
      <c r="F355" s="2"/>
      <c r="G355" s="173"/>
      <c r="H355" s="174"/>
      <c r="I355" s="218" t="e">
        <f>Tabela2234[[#This Row],[PESO TOTAL]]/Tabela2234[[#This Row],[QUANTIDADE]]</f>
        <v>#DIV/0!</v>
      </c>
      <c r="J355" s="2"/>
      <c r="K355" s="193"/>
      <c r="L355" s="8"/>
      <c r="M355" s="8"/>
      <c r="N355" s="8"/>
      <c r="O355" s="194"/>
      <c r="P355" s="195"/>
    </row>
    <row r="356" spans="1:16">
      <c r="A356" s="3"/>
      <c r="B356" s="3" t="str">
        <f>TEXT(Tabela2234[[#This Row],[DATA]],"mmmm")</f>
        <v>janeiro</v>
      </c>
      <c r="C356" s="2"/>
      <c r="D356" s="2"/>
      <c r="E356" s="2"/>
      <c r="F356" s="2"/>
      <c r="G356" s="173"/>
      <c r="H356" s="174"/>
      <c r="I356" s="218" t="e">
        <f>Tabela2234[[#This Row],[PESO TOTAL]]/Tabela2234[[#This Row],[QUANTIDADE]]</f>
        <v>#DIV/0!</v>
      </c>
      <c r="J356" s="2"/>
      <c r="K356" s="193"/>
      <c r="L356" s="8"/>
      <c r="M356" s="8"/>
      <c r="N356" s="8"/>
      <c r="O356" s="194"/>
      <c r="P356" s="195"/>
    </row>
    <row r="357" spans="1:16">
      <c r="A357" s="3"/>
      <c r="B357" s="3" t="str">
        <f>TEXT(Tabela2234[[#This Row],[DATA]],"mmmm")</f>
        <v>janeiro</v>
      </c>
      <c r="C357" s="2"/>
      <c r="D357" s="2"/>
      <c r="E357" s="2"/>
      <c r="F357" s="2"/>
      <c r="G357" s="173"/>
      <c r="H357" s="174"/>
      <c r="I357" s="218" t="e">
        <f>Tabela2234[[#This Row],[PESO TOTAL]]/Tabela2234[[#This Row],[QUANTIDADE]]</f>
        <v>#DIV/0!</v>
      </c>
      <c r="J357" s="2"/>
      <c r="K357" s="193"/>
      <c r="L357" s="8"/>
      <c r="M357" s="8"/>
      <c r="N357" s="8"/>
      <c r="O357" s="194"/>
      <c r="P357" s="195"/>
    </row>
    <row r="358" spans="1:16">
      <c r="A358" s="3"/>
      <c r="B358" s="3" t="str">
        <f>TEXT(Tabela2234[[#This Row],[DATA]],"mmmm")</f>
        <v>janeiro</v>
      </c>
      <c r="C358" s="2"/>
      <c r="D358" s="2"/>
      <c r="E358" s="2"/>
      <c r="F358" s="2"/>
      <c r="G358" s="173"/>
      <c r="H358" s="174"/>
      <c r="I358" s="218" t="e">
        <f>Tabela2234[[#This Row],[PESO TOTAL]]/Tabela2234[[#This Row],[QUANTIDADE]]</f>
        <v>#DIV/0!</v>
      </c>
      <c r="J358" s="2"/>
      <c r="K358" s="193"/>
      <c r="L358" s="8"/>
      <c r="M358" s="8"/>
      <c r="N358" s="8"/>
      <c r="O358" s="194"/>
      <c r="P358" s="195"/>
    </row>
    <row r="359" spans="1:16">
      <c r="A359" s="3"/>
      <c r="B359" s="3" t="str">
        <f>TEXT(Tabela2234[[#This Row],[DATA]],"mmmm")</f>
        <v>janeiro</v>
      </c>
      <c r="C359" s="2"/>
      <c r="D359" s="2"/>
      <c r="E359" s="2"/>
      <c r="F359" s="2"/>
      <c r="G359" s="173"/>
      <c r="H359" s="174"/>
      <c r="I359" s="218" t="e">
        <f>Tabela2234[[#This Row],[PESO TOTAL]]/Tabela2234[[#This Row],[QUANTIDADE]]</f>
        <v>#DIV/0!</v>
      </c>
      <c r="J359" s="2"/>
      <c r="K359" s="193"/>
      <c r="L359" s="8"/>
      <c r="M359" s="8"/>
      <c r="N359" s="8"/>
      <c r="O359" s="194"/>
      <c r="P359" s="195"/>
    </row>
    <row r="360" spans="1:16">
      <c r="A360" s="3"/>
      <c r="B360" s="3" t="str">
        <f>TEXT(Tabela2234[[#This Row],[DATA]],"mmmm")</f>
        <v>janeiro</v>
      </c>
      <c r="C360" s="2"/>
      <c r="D360" s="2"/>
      <c r="E360" s="2"/>
      <c r="F360" s="2"/>
      <c r="G360" s="173"/>
      <c r="H360" s="174"/>
      <c r="I360" s="218" t="e">
        <f>Tabela2234[[#This Row],[PESO TOTAL]]/Tabela2234[[#This Row],[QUANTIDADE]]</f>
        <v>#DIV/0!</v>
      </c>
      <c r="J360" s="2"/>
      <c r="K360" s="193"/>
      <c r="L360" s="8"/>
      <c r="M360" s="8"/>
      <c r="N360" s="8"/>
      <c r="O360" s="194"/>
      <c r="P360" s="195"/>
    </row>
    <row r="361" spans="1:16">
      <c r="A361" s="3"/>
      <c r="B361" s="3" t="str">
        <f>TEXT(Tabela2234[[#This Row],[DATA]],"mmmm")</f>
        <v>janeiro</v>
      </c>
      <c r="C361" s="2"/>
      <c r="D361" s="2"/>
      <c r="E361" s="2"/>
      <c r="F361" s="2"/>
      <c r="G361" s="173"/>
      <c r="H361" s="174"/>
      <c r="I361" s="218" t="e">
        <f>Tabela2234[[#This Row],[PESO TOTAL]]/Tabela2234[[#This Row],[QUANTIDADE]]</f>
        <v>#DIV/0!</v>
      </c>
      <c r="J361" s="2"/>
      <c r="K361" s="193"/>
      <c r="L361" s="8"/>
      <c r="M361" s="8"/>
      <c r="N361" s="8"/>
      <c r="O361" s="194"/>
      <c r="P361" s="195"/>
    </row>
    <row r="362" spans="1:16">
      <c r="A362" s="3"/>
      <c r="B362" s="3" t="str">
        <f>TEXT(Tabela2234[[#This Row],[DATA]],"mmmm")</f>
        <v>janeiro</v>
      </c>
      <c r="C362" s="2"/>
      <c r="D362" s="2"/>
      <c r="E362" s="2"/>
      <c r="F362" s="2"/>
      <c r="G362" s="173"/>
      <c r="H362" s="174"/>
      <c r="I362" s="218" t="e">
        <f>Tabela2234[[#This Row],[PESO TOTAL]]/Tabela2234[[#This Row],[QUANTIDADE]]</f>
        <v>#DIV/0!</v>
      </c>
      <c r="J362" s="2"/>
      <c r="K362" s="193"/>
      <c r="L362" s="8"/>
      <c r="M362" s="8"/>
      <c r="N362" s="8"/>
      <c r="O362" s="194"/>
      <c r="P362" s="195"/>
    </row>
    <row r="363" spans="1:16">
      <c r="A363" s="3"/>
      <c r="B363" s="3" t="str">
        <f>TEXT(Tabela2234[[#This Row],[DATA]],"mmmm")</f>
        <v>janeiro</v>
      </c>
      <c r="C363" s="2"/>
      <c r="D363" s="2"/>
      <c r="E363" s="2"/>
      <c r="F363" s="2"/>
      <c r="G363" s="173"/>
      <c r="H363" s="174"/>
      <c r="I363" s="218" t="e">
        <f>Tabela2234[[#This Row],[PESO TOTAL]]/Tabela2234[[#This Row],[QUANTIDADE]]</f>
        <v>#DIV/0!</v>
      </c>
      <c r="J363" s="2"/>
      <c r="K363" s="193"/>
      <c r="L363" s="8"/>
      <c r="M363" s="8"/>
      <c r="N363" s="8"/>
      <c r="O363" s="194"/>
      <c r="P363" s="195"/>
    </row>
    <row r="364" spans="1:16">
      <c r="A364" s="3"/>
      <c r="B364" s="3" t="str">
        <f>TEXT(Tabela2234[[#This Row],[DATA]],"mmmm")</f>
        <v>janeiro</v>
      </c>
      <c r="C364" s="2"/>
      <c r="D364" s="2"/>
      <c r="E364" s="2"/>
      <c r="F364" s="2"/>
      <c r="G364" s="173"/>
      <c r="H364" s="174"/>
      <c r="I364" s="218" t="e">
        <f>Tabela2234[[#This Row],[PESO TOTAL]]/Tabela2234[[#This Row],[QUANTIDADE]]</f>
        <v>#DIV/0!</v>
      </c>
      <c r="J364" s="2"/>
      <c r="K364" s="193"/>
      <c r="L364" s="8"/>
      <c r="M364" s="8"/>
      <c r="N364" s="8"/>
      <c r="O364" s="194"/>
      <c r="P364" s="195"/>
    </row>
    <row r="365" spans="1:16">
      <c r="A365" s="3"/>
      <c r="B365" s="3" t="str">
        <f>TEXT(Tabela2234[[#This Row],[DATA]],"mmmm")</f>
        <v>janeiro</v>
      </c>
      <c r="C365" s="2"/>
      <c r="D365" s="2"/>
      <c r="E365" s="2"/>
      <c r="F365" s="2"/>
      <c r="G365" s="173"/>
      <c r="H365" s="174"/>
      <c r="I365" s="218" t="e">
        <f>Tabela2234[[#This Row],[PESO TOTAL]]/Tabela2234[[#This Row],[QUANTIDADE]]</f>
        <v>#DIV/0!</v>
      </c>
      <c r="J365" s="2"/>
      <c r="K365" s="193"/>
      <c r="L365" s="8"/>
      <c r="M365" s="8"/>
      <c r="N365" s="8"/>
      <c r="O365" s="194"/>
      <c r="P365" s="195"/>
    </row>
    <row r="366" spans="1:16">
      <c r="A366" s="3"/>
      <c r="B366" s="3" t="str">
        <f>TEXT(Tabela2234[[#This Row],[DATA]],"mmmm")</f>
        <v>janeiro</v>
      </c>
      <c r="C366" s="2"/>
      <c r="D366" s="2"/>
      <c r="E366" s="2"/>
      <c r="F366" s="2"/>
      <c r="G366" s="173"/>
      <c r="H366" s="174"/>
      <c r="I366" s="218" t="e">
        <f>Tabela2234[[#This Row],[PESO TOTAL]]/Tabela2234[[#This Row],[QUANTIDADE]]</f>
        <v>#DIV/0!</v>
      </c>
      <c r="J366" s="2"/>
      <c r="K366" s="193"/>
      <c r="L366" s="8"/>
      <c r="M366" s="8"/>
      <c r="N366" s="8"/>
      <c r="O366" s="194"/>
      <c r="P366" s="195"/>
    </row>
    <row r="367" spans="1:16">
      <c r="A367" s="3"/>
      <c r="B367" s="3" t="str">
        <f>TEXT(Tabela2234[[#This Row],[DATA]],"mmmm")</f>
        <v>janeiro</v>
      </c>
      <c r="C367" s="2"/>
      <c r="D367" s="2"/>
      <c r="E367" s="2"/>
      <c r="F367" s="2"/>
      <c r="G367" s="173"/>
      <c r="H367" s="174"/>
      <c r="I367" s="218" t="e">
        <f>Tabela2234[[#This Row],[PESO TOTAL]]/Tabela2234[[#This Row],[QUANTIDADE]]</f>
        <v>#DIV/0!</v>
      </c>
      <c r="J367" s="2"/>
      <c r="K367" s="193"/>
      <c r="L367" s="8"/>
      <c r="M367" s="8"/>
      <c r="N367" s="8"/>
      <c r="O367" s="194"/>
      <c r="P367" s="195"/>
    </row>
    <row r="368" spans="1:16">
      <c r="A368" s="3"/>
      <c r="B368" s="3" t="str">
        <f>TEXT(Tabela2234[[#This Row],[DATA]],"mmmm")</f>
        <v>janeiro</v>
      </c>
      <c r="C368" s="2"/>
      <c r="D368" s="2"/>
      <c r="E368" s="2"/>
      <c r="F368" s="2"/>
      <c r="G368" s="173"/>
      <c r="H368" s="174"/>
      <c r="I368" s="218" t="e">
        <f>Tabela2234[[#This Row],[PESO TOTAL]]/Tabela2234[[#This Row],[QUANTIDADE]]</f>
        <v>#DIV/0!</v>
      </c>
      <c r="J368" s="2"/>
      <c r="K368" s="193"/>
      <c r="L368" s="8"/>
      <c r="M368" s="8"/>
      <c r="N368" s="8"/>
      <c r="O368" s="194"/>
      <c r="P368" s="195"/>
    </row>
    <row r="369" spans="1:16">
      <c r="A369" s="3"/>
      <c r="B369" s="3" t="str">
        <f>TEXT(Tabela2234[[#This Row],[DATA]],"mmmm")</f>
        <v>janeiro</v>
      </c>
      <c r="C369" s="2"/>
      <c r="D369" s="2"/>
      <c r="E369" s="2"/>
      <c r="F369" s="2"/>
      <c r="G369" s="173"/>
      <c r="H369" s="174"/>
      <c r="I369" s="218" t="e">
        <f>Tabela2234[[#This Row],[PESO TOTAL]]/Tabela2234[[#This Row],[QUANTIDADE]]</f>
        <v>#DIV/0!</v>
      </c>
      <c r="J369" s="2"/>
      <c r="K369" s="193"/>
      <c r="L369" s="8"/>
      <c r="M369" s="8"/>
      <c r="N369" s="8"/>
      <c r="O369" s="194"/>
      <c r="P369" s="195"/>
    </row>
    <row r="370" spans="1:16">
      <c r="A370" s="3"/>
      <c r="B370" s="3" t="str">
        <f>TEXT(Tabela2234[[#This Row],[DATA]],"mmmm")</f>
        <v>janeiro</v>
      </c>
      <c r="C370" s="2"/>
      <c r="D370" s="2"/>
      <c r="E370" s="2"/>
      <c r="F370" s="2"/>
      <c r="G370" s="173"/>
      <c r="H370" s="174"/>
      <c r="I370" s="218" t="e">
        <f>Tabela2234[[#This Row],[PESO TOTAL]]/Tabela2234[[#This Row],[QUANTIDADE]]</f>
        <v>#DIV/0!</v>
      </c>
      <c r="J370" s="2"/>
      <c r="K370" s="193"/>
      <c r="L370" s="8"/>
      <c r="M370" s="8"/>
      <c r="N370" s="8"/>
      <c r="O370" s="194"/>
      <c r="P370" s="195"/>
    </row>
    <row r="371" spans="1:16">
      <c r="A371" s="3"/>
      <c r="B371" s="3" t="str">
        <f>TEXT(Tabela2234[[#This Row],[DATA]],"mmmm")</f>
        <v>janeiro</v>
      </c>
      <c r="C371" s="2"/>
      <c r="D371" s="2"/>
      <c r="E371" s="2"/>
      <c r="F371" s="2"/>
      <c r="G371" s="173"/>
      <c r="H371" s="174"/>
      <c r="I371" s="218" t="e">
        <f>Tabela2234[[#This Row],[PESO TOTAL]]/Tabela2234[[#This Row],[QUANTIDADE]]</f>
        <v>#DIV/0!</v>
      </c>
      <c r="J371" s="2"/>
      <c r="K371" s="193"/>
      <c r="L371" s="8"/>
      <c r="M371" s="8"/>
      <c r="N371" s="8"/>
      <c r="O371" s="194"/>
      <c r="P371" s="195"/>
    </row>
    <row r="372" spans="1:16">
      <c r="A372" s="3"/>
      <c r="B372" s="3" t="str">
        <f>TEXT(Tabela2234[[#This Row],[DATA]],"mmmm")</f>
        <v>janeiro</v>
      </c>
      <c r="C372" s="2"/>
      <c r="D372" s="2"/>
      <c r="E372" s="2"/>
      <c r="F372" s="2"/>
      <c r="G372" s="173"/>
      <c r="H372" s="174"/>
      <c r="I372" s="218" t="e">
        <f>Tabela2234[[#This Row],[PESO TOTAL]]/Tabela2234[[#This Row],[QUANTIDADE]]</f>
        <v>#DIV/0!</v>
      </c>
      <c r="J372" s="2"/>
      <c r="K372" s="193"/>
      <c r="L372" s="8"/>
      <c r="M372" s="8"/>
      <c r="N372" s="8"/>
      <c r="O372" s="194"/>
      <c r="P372" s="195"/>
    </row>
    <row r="373" spans="1:16">
      <c r="A373" s="3"/>
      <c r="B373" s="3" t="str">
        <f>TEXT(Tabela2234[[#This Row],[DATA]],"mmmm")</f>
        <v>janeiro</v>
      </c>
      <c r="C373" s="2"/>
      <c r="D373" s="2"/>
      <c r="E373" s="2"/>
      <c r="F373" s="2"/>
      <c r="G373" s="173"/>
      <c r="H373" s="174"/>
      <c r="I373" s="218" t="e">
        <f>Tabela2234[[#This Row],[PESO TOTAL]]/Tabela2234[[#This Row],[QUANTIDADE]]</f>
        <v>#DIV/0!</v>
      </c>
      <c r="J373" s="2"/>
      <c r="K373" s="193"/>
      <c r="L373" s="8"/>
      <c r="M373" s="8"/>
      <c r="N373" s="8"/>
      <c r="O373" s="194"/>
      <c r="P373" s="195"/>
    </row>
    <row r="374" spans="1:16">
      <c r="A374" s="3"/>
      <c r="B374" s="3" t="str">
        <f>TEXT(Tabela2234[[#This Row],[DATA]],"mmmm")</f>
        <v>janeiro</v>
      </c>
      <c r="C374" s="2"/>
      <c r="D374" s="2"/>
      <c r="E374" s="2"/>
      <c r="F374" s="2"/>
      <c r="G374" s="173"/>
      <c r="H374" s="174"/>
      <c r="I374" s="218" t="e">
        <f>Tabela2234[[#This Row],[PESO TOTAL]]/Tabela2234[[#This Row],[QUANTIDADE]]</f>
        <v>#DIV/0!</v>
      </c>
      <c r="J374" s="2"/>
      <c r="K374" s="193"/>
      <c r="L374" s="8"/>
      <c r="M374" s="8"/>
      <c r="N374" s="8"/>
      <c r="O374" s="194"/>
      <c r="P374" s="195"/>
    </row>
    <row r="375" spans="1:16">
      <c r="A375" s="3"/>
      <c r="B375" s="3" t="str">
        <f>TEXT(Tabela2234[[#This Row],[DATA]],"mmmm")</f>
        <v>janeiro</v>
      </c>
      <c r="C375" s="2"/>
      <c r="D375" s="2"/>
      <c r="E375" s="2"/>
      <c r="F375" s="2"/>
      <c r="G375" s="173"/>
      <c r="H375" s="174"/>
      <c r="I375" s="218" t="e">
        <f>Tabela2234[[#This Row],[PESO TOTAL]]/Tabela2234[[#This Row],[QUANTIDADE]]</f>
        <v>#DIV/0!</v>
      </c>
      <c r="J375" s="2"/>
      <c r="K375" s="193"/>
      <c r="L375" s="8"/>
      <c r="M375" s="8"/>
      <c r="N375" s="8"/>
      <c r="O375" s="194"/>
      <c r="P375" s="195"/>
    </row>
    <row r="376" spans="1:16">
      <c r="A376" s="3"/>
      <c r="B376" s="3" t="str">
        <f>TEXT(Tabela2234[[#This Row],[DATA]],"mmmm")</f>
        <v>janeiro</v>
      </c>
      <c r="C376" s="2"/>
      <c r="D376" s="2"/>
      <c r="E376" s="2"/>
      <c r="F376" s="2"/>
      <c r="G376" s="173"/>
      <c r="H376" s="174"/>
      <c r="I376" s="218" t="e">
        <f>Tabela2234[[#This Row],[PESO TOTAL]]/Tabela2234[[#This Row],[QUANTIDADE]]</f>
        <v>#DIV/0!</v>
      </c>
      <c r="J376" s="2"/>
      <c r="K376" s="193"/>
      <c r="L376" s="8"/>
      <c r="M376" s="8"/>
      <c r="N376" s="8"/>
      <c r="O376" s="194"/>
      <c r="P376" s="195"/>
    </row>
    <row r="377" spans="1:16">
      <c r="A377" s="3"/>
      <c r="B377" s="3" t="str">
        <f>TEXT(Tabela2234[[#This Row],[DATA]],"mmmm")</f>
        <v>janeiro</v>
      </c>
      <c r="C377" s="2"/>
      <c r="D377" s="2"/>
      <c r="E377" s="2"/>
      <c r="F377" s="2"/>
      <c r="G377" s="173"/>
      <c r="H377" s="174"/>
      <c r="I377" s="218" t="e">
        <f>Tabela2234[[#This Row],[PESO TOTAL]]/Tabela2234[[#This Row],[QUANTIDADE]]</f>
        <v>#DIV/0!</v>
      </c>
      <c r="J377" s="2"/>
      <c r="K377" s="193"/>
      <c r="L377" s="8"/>
      <c r="M377" s="8"/>
      <c r="N377" s="8"/>
      <c r="O377" s="194"/>
      <c r="P377" s="195"/>
    </row>
    <row r="378" spans="1:16">
      <c r="A378" s="3"/>
      <c r="B378" s="3" t="str">
        <f>TEXT(Tabela2234[[#This Row],[DATA]],"mmmm")</f>
        <v>janeiro</v>
      </c>
      <c r="C378" s="2"/>
      <c r="D378" s="2"/>
      <c r="E378" s="2"/>
      <c r="F378" s="2"/>
      <c r="G378" s="173"/>
      <c r="H378" s="174"/>
      <c r="I378" s="218" t="e">
        <f>Tabela2234[[#This Row],[PESO TOTAL]]/Tabela2234[[#This Row],[QUANTIDADE]]</f>
        <v>#DIV/0!</v>
      </c>
      <c r="J378" s="2"/>
      <c r="K378" s="193"/>
      <c r="L378" s="8"/>
      <c r="M378" s="8"/>
      <c r="N378" s="8"/>
      <c r="O378" s="194"/>
      <c r="P378" s="195"/>
    </row>
    <row r="379" spans="1:16">
      <c r="A379" s="3"/>
      <c r="B379" s="3" t="str">
        <f>TEXT(Tabela2234[[#This Row],[DATA]],"mmmm")</f>
        <v>janeiro</v>
      </c>
      <c r="C379" s="2"/>
      <c r="D379" s="2"/>
      <c r="E379" s="2"/>
      <c r="F379" s="2"/>
      <c r="G379" s="173"/>
      <c r="H379" s="174"/>
      <c r="I379" s="218" t="e">
        <f>Tabela2234[[#This Row],[PESO TOTAL]]/Tabela2234[[#This Row],[QUANTIDADE]]</f>
        <v>#DIV/0!</v>
      </c>
      <c r="J379" s="2"/>
      <c r="K379" s="193"/>
      <c r="L379" s="8"/>
      <c r="M379" s="8"/>
      <c r="N379" s="8"/>
      <c r="O379" s="194"/>
      <c r="P379" s="195"/>
    </row>
    <row r="380" spans="1:16">
      <c r="A380" s="3"/>
      <c r="B380" s="3" t="str">
        <f>TEXT(Tabela2234[[#This Row],[DATA]],"mmmm")</f>
        <v>janeiro</v>
      </c>
      <c r="C380" s="2"/>
      <c r="D380" s="2"/>
      <c r="E380" s="2"/>
      <c r="F380" s="2"/>
      <c r="G380" s="173"/>
      <c r="H380" s="174"/>
      <c r="I380" s="218" t="e">
        <f>Tabela2234[[#This Row],[PESO TOTAL]]/Tabela2234[[#This Row],[QUANTIDADE]]</f>
        <v>#DIV/0!</v>
      </c>
      <c r="J380" s="2"/>
      <c r="K380" s="193"/>
      <c r="L380" s="8"/>
      <c r="M380" s="8"/>
      <c r="N380" s="8"/>
      <c r="O380" s="194"/>
      <c r="P380" s="195"/>
    </row>
    <row r="381" spans="1:16">
      <c r="A381" s="3"/>
      <c r="B381" s="3" t="str">
        <f>TEXT(Tabela2234[[#This Row],[DATA]],"mmmm")</f>
        <v>janeiro</v>
      </c>
      <c r="C381" s="2"/>
      <c r="D381" s="2"/>
      <c r="E381" s="2"/>
      <c r="F381" s="2"/>
      <c r="G381" s="173"/>
      <c r="H381" s="174"/>
      <c r="I381" s="218" t="e">
        <f>Tabela2234[[#This Row],[PESO TOTAL]]/Tabela2234[[#This Row],[QUANTIDADE]]</f>
        <v>#DIV/0!</v>
      </c>
      <c r="J381" s="2"/>
      <c r="K381" s="193"/>
      <c r="L381" s="8"/>
      <c r="M381" s="8"/>
      <c r="N381" s="8"/>
      <c r="O381" s="194"/>
      <c r="P381" s="195"/>
    </row>
    <row r="382" spans="1:16">
      <c r="A382" s="3"/>
      <c r="B382" s="3" t="str">
        <f>TEXT(Tabela2234[[#This Row],[DATA]],"mmmm")</f>
        <v>janeiro</v>
      </c>
      <c r="C382" s="2"/>
      <c r="D382" s="2"/>
      <c r="E382" s="2"/>
      <c r="F382" s="2"/>
      <c r="G382" s="173"/>
      <c r="H382" s="174"/>
      <c r="I382" s="218" t="e">
        <f>Tabela2234[[#This Row],[PESO TOTAL]]/Tabela2234[[#This Row],[QUANTIDADE]]</f>
        <v>#DIV/0!</v>
      </c>
      <c r="J382" s="2"/>
      <c r="K382" s="193"/>
      <c r="L382" s="8"/>
      <c r="M382" s="8"/>
      <c r="N382" s="8"/>
      <c r="O382" s="194"/>
      <c r="P382" s="195"/>
    </row>
    <row r="383" spans="1:16">
      <c r="A383" s="3"/>
      <c r="B383" s="3" t="str">
        <f>TEXT(Tabela2234[[#This Row],[DATA]],"mmmm")</f>
        <v>janeiro</v>
      </c>
      <c r="C383" s="2"/>
      <c r="D383" s="2"/>
      <c r="E383" s="2"/>
      <c r="F383" s="2"/>
      <c r="G383" s="173"/>
      <c r="H383" s="174"/>
      <c r="I383" s="218" t="e">
        <f>Tabela2234[[#This Row],[PESO TOTAL]]/Tabela2234[[#This Row],[QUANTIDADE]]</f>
        <v>#DIV/0!</v>
      </c>
      <c r="J383" s="2"/>
      <c r="K383" s="193"/>
      <c r="L383" s="8"/>
      <c r="M383" s="8"/>
      <c r="N383" s="8"/>
      <c r="O383" s="194"/>
      <c r="P383" s="195"/>
    </row>
    <row r="384" spans="1:16">
      <c r="A384" s="3"/>
      <c r="B384" s="3" t="str">
        <f>TEXT(Tabela2234[[#This Row],[DATA]],"mmmm")</f>
        <v>janeiro</v>
      </c>
      <c r="C384" s="2"/>
      <c r="D384" s="2"/>
      <c r="E384" s="2"/>
      <c r="F384" s="2"/>
      <c r="G384" s="173"/>
      <c r="H384" s="174"/>
      <c r="I384" s="218" t="e">
        <f>Tabela2234[[#This Row],[PESO TOTAL]]/Tabela2234[[#This Row],[QUANTIDADE]]</f>
        <v>#DIV/0!</v>
      </c>
      <c r="J384" s="2"/>
      <c r="K384" s="193"/>
      <c r="L384" s="8"/>
      <c r="M384" s="8"/>
      <c r="N384" s="8"/>
      <c r="O384" s="194"/>
      <c r="P384" s="195"/>
    </row>
    <row r="385" spans="1:16">
      <c r="A385" s="3"/>
      <c r="B385" s="3" t="str">
        <f>TEXT(Tabela2234[[#This Row],[DATA]],"mmmm")</f>
        <v>janeiro</v>
      </c>
      <c r="C385" s="2"/>
      <c r="D385" s="2"/>
      <c r="E385" s="2"/>
      <c r="F385" s="2"/>
      <c r="G385" s="173"/>
      <c r="H385" s="174"/>
      <c r="I385" s="218" t="e">
        <f>Tabela2234[[#This Row],[PESO TOTAL]]/Tabela2234[[#This Row],[QUANTIDADE]]</f>
        <v>#DIV/0!</v>
      </c>
      <c r="J385" s="2"/>
      <c r="K385" s="193"/>
      <c r="L385" s="8"/>
      <c r="M385" s="8"/>
      <c r="N385" s="8"/>
      <c r="O385" s="194"/>
      <c r="P385" s="195"/>
    </row>
    <row r="386" spans="1:16">
      <c r="A386" s="3"/>
      <c r="B386" s="3" t="str">
        <f>TEXT(Tabela2234[[#This Row],[DATA]],"mmmm")</f>
        <v>janeiro</v>
      </c>
      <c r="C386" s="2"/>
      <c r="D386" s="2"/>
      <c r="E386" s="2"/>
      <c r="F386" s="2"/>
      <c r="G386" s="173"/>
      <c r="H386" s="174"/>
      <c r="I386" s="218" t="e">
        <f>Tabela2234[[#This Row],[PESO TOTAL]]/Tabela2234[[#This Row],[QUANTIDADE]]</f>
        <v>#DIV/0!</v>
      </c>
      <c r="J386" s="2"/>
      <c r="K386" s="193"/>
      <c r="L386" s="8"/>
      <c r="M386" s="8"/>
      <c r="N386" s="8"/>
      <c r="O386" s="194"/>
      <c r="P386" s="195"/>
    </row>
    <row r="387" spans="1:16">
      <c r="A387" s="3"/>
      <c r="B387" s="3" t="str">
        <f>TEXT(Tabela2234[[#This Row],[DATA]],"mmmm")</f>
        <v>janeiro</v>
      </c>
      <c r="C387" s="2"/>
      <c r="D387" s="2"/>
      <c r="E387" s="2"/>
      <c r="F387" s="2"/>
      <c r="G387" s="173"/>
      <c r="H387" s="174"/>
      <c r="I387" s="218" t="e">
        <f>Tabela2234[[#This Row],[PESO TOTAL]]/Tabela2234[[#This Row],[QUANTIDADE]]</f>
        <v>#DIV/0!</v>
      </c>
      <c r="J387" s="2"/>
      <c r="K387" s="193"/>
      <c r="L387" s="8"/>
      <c r="M387" s="8"/>
      <c r="N387" s="8"/>
      <c r="O387" s="194"/>
      <c r="P387" s="195"/>
    </row>
    <row r="388" spans="1:16">
      <c r="A388" s="3"/>
      <c r="B388" s="3" t="str">
        <f>TEXT(Tabela2234[[#This Row],[DATA]],"mmmm")</f>
        <v>janeiro</v>
      </c>
      <c r="C388" s="2"/>
      <c r="D388" s="2"/>
      <c r="E388" s="2"/>
      <c r="F388" s="2"/>
      <c r="G388" s="173"/>
      <c r="H388" s="174"/>
      <c r="I388" s="218" t="e">
        <f>Tabela2234[[#This Row],[PESO TOTAL]]/Tabela2234[[#This Row],[QUANTIDADE]]</f>
        <v>#DIV/0!</v>
      </c>
      <c r="J388" s="2"/>
      <c r="K388" s="193"/>
      <c r="L388" s="8"/>
      <c r="M388" s="8"/>
      <c r="N388" s="8"/>
      <c r="O388" s="194"/>
      <c r="P388" s="195"/>
    </row>
    <row r="389" spans="1:16">
      <c r="A389" s="3"/>
      <c r="B389" s="3" t="str">
        <f>TEXT(Tabela2234[[#This Row],[DATA]],"mmmm")</f>
        <v>janeiro</v>
      </c>
      <c r="C389" s="2"/>
      <c r="D389" s="2"/>
      <c r="E389" s="2"/>
      <c r="F389" s="2"/>
      <c r="G389" s="173"/>
      <c r="H389" s="174"/>
      <c r="I389" s="218" t="e">
        <f>Tabela2234[[#This Row],[PESO TOTAL]]/Tabela2234[[#This Row],[QUANTIDADE]]</f>
        <v>#DIV/0!</v>
      </c>
      <c r="J389" s="2"/>
      <c r="K389" s="193"/>
      <c r="L389" s="8"/>
      <c r="M389" s="8"/>
      <c r="N389" s="8"/>
      <c r="O389" s="194"/>
      <c r="P389" s="195"/>
    </row>
    <row r="390" spans="1:16">
      <c r="A390" s="3"/>
      <c r="B390" s="3" t="str">
        <f>TEXT(Tabela2234[[#This Row],[DATA]],"mmmm")</f>
        <v>janeiro</v>
      </c>
      <c r="C390" s="2"/>
      <c r="D390" s="2"/>
      <c r="E390" s="2"/>
      <c r="F390" s="2"/>
      <c r="G390" s="173"/>
      <c r="H390" s="174"/>
      <c r="I390" s="218" t="e">
        <f>Tabela2234[[#This Row],[PESO TOTAL]]/Tabela2234[[#This Row],[QUANTIDADE]]</f>
        <v>#DIV/0!</v>
      </c>
      <c r="J390" s="2"/>
      <c r="K390" s="193"/>
      <c r="L390" s="8"/>
      <c r="M390" s="8"/>
      <c r="N390" s="8"/>
      <c r="O390" s="194"/>
      <c r="P390" s="195"/>
    </row>
    <row r="391" spans="1:16">
      <c r="A391" s="3"/>
      <c r="B391" s="3" t="str">
        <f>TEXT(Tabela2234[[#This Row],[DATA]],"mmmm")</f>
        <v>janeiro</v>
      </c>
      <c r="C391" s="2"/>
      <c r="D391" s="2"/>
      <c r="E391" s="2"/>
      <c r="F391" s="2"/>
      <c r="G391" s="173"/>
      <c r="H391" s="174"/>
      <c r="I391" s="218" t="e">
        <f>Tabela2234[[#This Row],[PESO TOTAL]]/Tabela2234[[#This Row],[QUANTIDADE]]</f>
        <v>#DIV/0!</v>
      </c>
      <c r="J391" s="2"/>
      <c r="K391" s="193"/>
      <c r="L391" s="8"/>
      <c r="M391" s="8"/>
      <c r="N391" s="8"/>
      <c r="O391" s="194"/>
      <c r="P391" s="195"/>
    </row>
    <row r="392" spans="1:16">
      <c r="A392" s="3"/>
      <c r="B392" s="3" t="str">
        <f>TEXT(Tabela2234[[#This Row],[DATA]],"mmmm")</f>
        <v>janeiro</v>
      </c>
      <c r="C392" s="2"/>
      <c r="D392" s="2"/>
      <c r="E392" s="2"/>
      <c r="F392" s="2"/>
      <c r="G392" s="173"/>
      <c r="H392" s="174"/>
      <c r="I392" s="218" t="e">
        <f>Tabela2234[[#This Row],[PESO TOTAL]]/Tabela2234[[#This Row],[QUANTIDADE]]</f>
        <v>#DIV/0!</v>
      </c>
      <c r="J392" s="2"/>
      <c r="K392" s="193"/>
      <c r="L392" s="8"/>
      <c r="M392" s="8"/>
      <c r="N392" s="8"/>
      <c r="O392" s="194"/>
      <c r="P392" s="195"/>
    </row>
    <row r="393" spans="1:16">
      <c r="A393" s="3"/>
      <c r="B393" s="3" t="str">
        <f>TEXT(Tabela2234[[#This Row],[DATA]],"mmmm")</f>
        <v>janeiro</v>
      </c>
      <c r="C393" s="2"/>
      <c r="D393" s="2"/>
      <c r="E393" s="2"/>
      <c r="F393" s="2"/>
      <c r="G393" s="173"/>
      <c r="H393" s="174"/>
      <c r="I393" s="218" t="e">
        <f>Tabela2234[[#This Row],[PESO TOTAL]]/Tabela2234[[#This Row],[QUANTIDADE]]</f>
        <v>#DIV/0!</v>
      </c>
      <c r="J393" s="2"/>
      <c r="K393" s="193"/>
      <c r="L393" s="8"/>
      <c r="M393" s="8"/>
      <c r="N393" s="8"/>
      <c r="O393" s="194"/>
      <c r="P393" s="195"/>
    </row>
    <row r="394" spans="1:16">
      <c r="A394" s="3"/>
      <c r="B394" s="3" t="str">
        <f>TEXT(Tabela2234[[#This Row],[DATA]],"mmmm")</f>
        <v>janeiro</v>
      </c>
      <c r="C394" s="2"/>
      <c r="D394" s="2"/>
      <c r="E394" s="2"/>
      <c r="F394" s="2"/>
      <c r="G394" s="173"/>
      <c r="H394" s="174"/>
      <c r="I394" s="218" t="e">
        <f>Tabela2234[[#This Row],[PESO TOTAL]]/Tabela2234[[#This Row],[QUANTIDADE]]</f>
        <v>#DIV/0!</v>
      </c>
      <c r="J394" s="2"/>
      <c r="K394" s="193"/>
      <c r="L394" s="8"/>
      <c r="M394" s="8"/>
      <c r="N394" s="8"/>
      <c r="O394" s="194"/>
      <c r="P394" s="195"/>
    </row>
    <row r="395" spans="1:16">
      <c r="A395" s="3"/>
      <c r="B395" s="3" t="str">
        <f>TEXT(Tabela2234[[#This Row],[DATA]],"mmmm")</f>
        <v>janeiro</v>
      </c>
      <c r="C395" s="2"/>
      <c r="D395" s="2"/>
      <c r="E395" s="2"/>
      <c r="F395" s="2"/>
      <c r="G395" s="173"/>
      <c r="H395" s="174"/>
      <c r="I395" s="218" t="e">
        <f>Tabela2234[[#This Row],[PESO TOTAL]]/Tabela2234[[#This Row],[QUANTIDADE]]</f>
        <v>#DIV/0!</v>
      </c>
      <c r="J395" s="2"/>
      <c r="K395" s="193"/>
      <c r="L395" s="8"/>
      <c r="M395" s="8"/>
      <c r="N395" s="8"/>
      <c r="O395" s="194"/>
      <c r="P395" s="195"/>
    </row>
    <row r="396" spans="1:16">
      <c r="A396" s="3"/>
      <c r="B396" s="3" t="str">
        <f>TEXT(Tabela2234[[#This Row],[DATA]],"mmmm")</f>
        <v>janeiro</v>
      </c>
      <c r="C396" s="2"/>
      <c r="D396" s="2"/>
      <c r="E396" s="2"/>
      <c r="F396" s="2"/>
      <c r="G396" s="173"/>
      <c r="H396" s="174"/>
      <c r="I396" s="218" t="e">
        <f>Tabela2234[[#This Row],[PESO TOTAL]]/Tabela2234[[#This Row],[QUANTIDADE]]</f>
        <v>#DIV/0!</v>
      </c>
      <c r="J396" s="2"/>
      <c r="K396" s="193"/>
      <c r="L396" s="8"/>
      <c r="M396" s="8"/>
      <c r="N396" s="8"/>
      <c r="O396" s="194"/>
      <c r="P396" s="195"/>
    </row>
    <row r="397" spans="1:16">
      <c r="A397" s="3"/>
      <c r="B397" s="3" t="str">
        <f>TEXT(Tabela2234[[#This Row],[DATA]],"mmmm")</f>
        <v>janeiro</v>
      </c>
      <c r="C397" s="2"/>
      <c r="D397" s="2"/>
      <c r="E397" s="2"/>
      <c r="F397" s="2"/>
      <c r="G397" s="173"/>
      <c r="H397" s="174"/>
      <c r="I397" s="218" t="e">
        <f>Tabela2234[[#This Row],[PESO TOTAL]]/Tabela2234[[#This Row],[QUANTIDADE]]</f>
        <v>#DIV/0!</v>
      </c>
      <c r="J397" s="2"/>
      <c r="K397" s="193"/>
      <c r="L397" s="8"/>
      <c r="M397" s="8"/>
      <c r="N397" s="8"/>
      <c r="O397" s="194"/>
      <c r="P397" s="195"/>
    </row>
    <row r="398" spans="1:16">
      <c r="A398" s="3"/>
      <c r="B398" s="3" t="str">
        <f>TEXT(Tabela2234[[#This Row],[DATA]],"mmmm")</f>
        <v>janeiro</v>
      </c>
      <c r="C398" s="2"/>
      <c r="D398" s="2"/>
      <c r="E398" s="2"/>
      <c r="F398" s="2"/>
      <c r="G398" s="173"/>
      <c r="H398" s="174"/>
      <c r="I398" s="218" t="e">
        <f>Tabela2234[[#This Row],[PESO TOTAL]]/Tabela2234[[#This Row],[QUANTIDADE]]</f>
        <v>#DIV/0!</v>
      </c>
      <c r="J398" s="2"/>
      <c r="K398" s="193"/>
      <c r="L398" s="8"/>
      <c r="M398" s="8"/>
      <c r="N398" s="8"/>
      <c r="O398" s="194"/>
      <c r="P398" s="195"/>
    </row>
    <row r="399" spans="1:16">
      <c r="A399" s="3"/>
      <c r="B399" s="3" t="str">
        <f>TEXT(Tabela2234[[#This Row],[DATA]],"mmmm")</f>
        <v>janeiro</v>
      </c>
      <c r="C399" s="2"/>
      <c r="D399" s="2"/>
      <c r="E399" s="2"/>
      <c r="F399" s="2"/>
      <c r="G399" s="173"/>
      <c r="H399" s="174"/>
      <c r="I399" s="218" t="e">
        <f>Tabela2234[[#This Row],[PESO TOTAL]]/Tabela2234[[#This Row],[QUANTIDADE]]</f>
        <v>#DIV/0!</v>
      </c>
      <c r="J399" s="2"/>
      <c r="K399" s="193"/>
      <c r="L399" s="8"/>
      <c r="M399" s="8"/>
      <c r="N399" s="8"/>
      <c r="O399" s="194"/>
      <c r="P399" s="195"/>
    </row>
    <row r="400" spans="1:16">
      <c r="A400" s="3"/>
      <c r="B400" s="3" t="str">
        <f>TEXT(Tabela2234[[#This Row],[DATA]],"mmmm")</f>
        <v>janeiro</v>
      </c>
      <c r="C400" s="2"/>
      <c r="D400" s="2"/>
      <c r="E400" s="2"/>
      <c r="F400" s="2"/>
      <c r="G400" s="173"/>
      <c r="H400" s="174"/>
      <c r="I400" s="218" t="e">
        <f>Tabela2234[[#This Row],[PESO TOTAL]]/Tabela2234[[#This Row],[QUANTIDADE]]</f>
        <v>#DIV/0!</v>
      </c>
      <c r="J400" s="2"/>
      <c r="K400" s="193"/>
      <c r="L400" s="8"/>
      <c r="M400" s="8"/>
      <c r="N400" s="8"/>
      <c r="O400" s="194"/>
      <c r="P400" s="195"/>
    </row>
    <row r="401" spans="1:16">
      <c r="A401" s="3"/>
      <c r="B401" s="3" t="str">
        <f>TEXT(Tabela2234[[#This Row],[DATA]],"mmmm")</f>
        <v>janeiro</v>
      </c>
      <c r="C401" s="2"/>
      <c r="D401" s="2"/>
      <c r="E401" s="2"/>
      <c r="F401" s="2"/>
      <c r="G401" s="173"/>
      <c r="H401" s="174"/>
      <c r="I401" s="218" t="e">
        <f>Tabela2234[[#This Row],[PESO TOTAL]]/Tabela2234[[#This Row],[QUANTIDADE]]</f>
        <v>#DIV/0!</v>
      </c>
      <c r="J401" s="2"/>
      <c r="K401" s="193"/>
      <c r="L401" s="8"/>
      <c r="M401" s="8"/>
      <c r="N401" s="8"/>
      <c r="O401" s="194"/>
      <c r="P401" s="195"/>
    </row>
    <row r="402" spans="1:16">
      <c r="A402" s="3"/>
      <c r="B402" s="3" t="str">
        <f>TEXT(Tabela2234[[#This Row],[DATA]],"mmmm")</f>
        <v>janeiro</v>
      </c>
      <c r="C402" s="2"/>
      <c r="D402" s="2"/>
      <c r="E402" s="2"/>
      <c r="F402" s="2"/>
      <c r="G402" s="173"/>
      <c r="H402" s="174"/>
      <c r="I402" s="218" t="e">
        <f>Tabela2234[[#This Row],[PESO TOTAL]]/Tabela2234[[#This Row],[QUANTIDADE]]</f>
        <v>#DIV/0!</v>
      </c>
      <c r="J402" s="2"/>
      <c r="K402" s="193"/>
      <c r="L402" s="8"/>
      <c r="M402" s="8"/>
      <c r="N402" s="8"/>
      <c r="O402" s="194"/>
      <c r="P402" s="195"/>
    </row>
    <row r="403" spans="1:16">
      <c r="A403" s="3"/>
      <c r="B403" s="3" t="str">
        <f>TEXT(Tabela2234[[#This Row],[DATA]],"mmmm")</f>
        <v>janeiro</v>
      </c>
      <c r="C403" s="2"/>
      <c r="D403" s="2"/>
      <c r="E403" s="2"/>
      <c r="F403" s="2"/>
      <c r="G403" s="173"/>
      <c r="H403" s="174"/>
      <c r="I403" s="218" t="e">
        <f>Tabela2234[[#This Row],[PESO TOTAL]]/Tabela2234[[#This Row],[QUANTIDADE]]</f>
        <v>#DIV/0!</v>
      </c>
      <c r="J403" s="2"/>
      <c r="K403" s="193"/>
      <c r="L403" s="8"/>
      <c r="M403" s="8"/>
      <c r="N403" s="8"/>
      <c r="O403" s="194"/>
      <c r="P403" s="195"/>
    </row>
    <row r="404" spans="1:16">
      <c r="A404" s="3"/>
      <c r="B404" s="3" t="str">
        <f>TEXT(Tabela2234[[#This Row],[DATA]],"mmmm")</f>
        <v>janeiro</v>
      </c>
      <c r="C404" s="2"/>
      <c r="D404" s="2"/>
      <c r="E404" s="2"/>
      <c r="F404" s="2"/>
      <c r="G404" s="173"/>
      <c r="H404" s="174"/>
      <c r="I404" s="218" t="e">
        <f>Tabela2234[[#This Row],[PESO TOTAL]]/Tabela2234[[#This Row],[QUANTIDADE]]</f>
        <v>#DIV/0!</v>
      </c>
      <c r="J404" s="2"/>
      <c r="K404" s="193"/>
      <c r="L404" s="8"/>
      <c r="M404" s="8"/>
      <c r="N404" s="8"/>
      <c r="O404" s="194"/>
      <c r="P404" s="195"/>
    </row>
    <row r="405" spans="1:16">
      <c r="A405" s="3"/>
      <c r="B405" s="3" t="str">
        <f>TEXT(Tabela2234[[#This Row],[DATA]],"mmmm")</f>
        <v>janeiro</v>
      </c>
      <c r="C405" s="2"/>
      <c r="D405" s="2"/>
      <c r="E405" s="2"/>
      <c r="F405" s="2"/>
      <c r="G405" s="173"/>
      <c r="H405" s="174"/>
      <c r="I405" s="218" t="e">
        <f>Tabela2234[[#This Row],[PESO TOTAL]]/Tabela2234[[#This Row],[QUANTIDADE]]</f>
        <v>#DIV/0!</v>
      </c>
      <c r="J405" s="2"/>
      <c r="K405" s="193"/>
      <c r="L405" s="8"/>
      <c r="M405" s="8"/>
      <c r="N405" s="8"/>
      <c r="O405" s="194"/>
      <c r="P405" s="195"/>
    </row>
    <row r="406" spans="1:16">
      <c r="A406" s="3"/>
      <c r="B406" s="3" t="str">
        <f>TEXT(Tabela2234[[#This Row],[DATA]],"mmmm")</f>
        <v>janeiro</v>
      </c>
      <c r="C406" s="2"/>
      <c r="D406" s="2"/>
      <c r="E406" s="2"/>
      <c r="F406" s="2"/>
      <c r="G406" s="173"/>
      <c r="H406" s="174"/>
      <c r="I406" s="218" t="e">
        <f>Tabela2234[[#This Row],[PESO TOTAL]]/Tabela2234[[#This Row],[QUANTIDADE]]</f>
        <v>#DIV/0!</v>
      </c>
      <c r="J406" s="2"/>
      <c r="K406" s="193"/>
      <c r="L406" s="8"/>
      <c r="M406" s="8"/>
      <c r="N406" s="8"/>
      <c r="O406" s="194"/>
      <c r="P406" s="195"/>
    </row>
    <row r="407" spans="1:16">
      <c r="A407" s="3"/>
      <c r="B407" s="3" t="str">
        <f>TEXT(Tabela2234[[#This Row],[DATA]],"mmmm")</f>
        <v>janeiro</v>
      </c>
      <c r="C407" s="2"/>
      <c r="D407" s="2"/>
      <c r="E407" s="2"/>
      <c r="F407" s="2"/>
      <c r="G407" s="173"/>
      <c r="H407" s="174"/>
      <c r="I407" s="218" t="e">
        <f>Tabela2234[[#This Row],[PESO TOTAL]]/Tabela2234[[#This Row],[QUANTIDADE]]</f>
        <v>#DIV/0!</v>
      </c>
      <c r="J407" s="2"/>
      <c r="K407" s="193"/>
      <c r="L407" s="8"/>
      <c r="M407" s="8"/>
      <c r="N407" s="8"/>
      <c r="O407" s="194"/>
      <c r="P407" s="195"/>
    </row>
    <row r="408" spans="1:16">
      <c r="A408" s="3"/>
      <c r="B408" s="3" t="str">
        <f>TEXT(Tabela2234[[#This Row],[DATA]],"mmmm")</f>
        <v>janeiro</v>
      </c>
      <c r="C408" s="2"/>
      <c r="D408" s="2"/>
      <c r="E408" s="2"/>
      <c r="F408" s="2"/>
      <c r="G408" s="173"/>
      <c r="H408" s="174"/>
      <c r="I408" s="218" t="e">
        <f>Tabela2234[[#This Row],[PESO TOTAL]]/Tabela2234[[#This Row],[QUANTIDADE]]</f>
        <v>#DIV/0!</v>
      </c>
      <c r="J408" s="2"/>
      <c r="K408" s="193"/>
      <c r="L408" s="8"/>
      <c r="M408" s="8"/>
      <c r="N408" s="8"/>
      <c r="O408" s="194"/>
      <c r="P408" s="195"/>
    </row>
    <row r="409" spans="1:16">
      <c r="A409" s="3"/>
      <c r="B409" s="3" t="str">
        <f>TEXT(Tabela2234[[#This Row],[DATA]],"mmmm")</f>
        <v>janeiro</v>
      </c>
      <c r="C409" s="2"/>
      <c r="D409" s="2"/>
      <c r="E409" s="2"/>
      <c r="F409" s="2"/>
      <c r="G409" s="173"/>
      <c r="H409" s="174"/>
      <c r="I409" s="218" t="e">
        <f>Tabela2234[[#This Row],[PESO TOTAL]]/Tabela2234[[#This Row],[QUANTIDADE]]</f>
        <v>#DIV/0!</v>
      </c>
      <c r="J409" s="2"/>
      <c r="K409" s="193"/>
      <c r="L409" s="8"/>
      <c r="M409" s="8"/>
      <c r="N409" s="8"/>
      <c r="O409" s="194"/>
      <c r="P409" s="195"/>
    </row>
    <row r="410" spans="1:16">
      <c r="A410" s="3"/>
      <c r="B410" s="3" t="str">
        <f>TEXT(Tabela2234[[#This Row],[DATA]],"mmmm")</f>
        <v>janeiro</v>
      </c>
      <c r="C410" s="2"/>
      <c r="D410" s="2"/>
      <c r="E410" s="2"/>
      <c r="F410" s="2"/>
      <c r="G410" s="173"/>
      <c r="H410" s="174"/>
      <c r="I410" s="218" t="e">
        <f>Tabela2234[[#This Row],[PESO TOTAL]]/Tabela2234[[#This Row],[QUANTIDADE]]</f>
        <v>#DIV/0!</v>
      </c>
      <c r="J410" s="2"/>
      <c r="K410" s="193"/>
      <c r="L410" s="8"/>
      <c r="M410" s="8"/>
      <c r="N410" s="8"/>
      <c r="O410" s="194"/>
      <c r="P410" s="195"/>
    </row>
    <row r="411" spans="1:16">
      <c r="A411" s="3"/>
      <c r="B411" s="3" t="str">
        <f>TEXT(Tabela2234[[#This Row],[DATA]],"mmmm")</f>
        <v>janeiro</v>
      </c>
      <c r="C411" s="2"/>
      <c r="D411" s="2"/>
      <c r="E411" s="2"/>
      <c r="F411" s="2"/>
      <c r="G411" s="173"/>
      <c r="H411" s="174"/>
      <c r="I411" s="218" t="e">
        <f>Tabela2234[[#This Row],[PESO TOTAL]]/Tabela2234[[#This Row],[QUANTIDADE]]</f>
        <v>#DIV/0!</v>
      </c>
      <c r="J411" s="2"/>
      <c r="K411" s="193"/>
      <c r="L411" s="8"/>
      <c r="M411" s="8"/>
      <c r="N411" s="8"/>
      <c r="O411" s="194"/>
      <c r="P411" s="195"/>
    </row>
    <row r="412" spans="1:16">
      <c r="A412" s="3"/>
      <c r="B412" s="3" t="str">
        <f>TEXT(Tabela2234[[#This Row],[DATA]],"mmmm")</f>
        <v>janeiro</v>
      </c>
      <c r="C412" s="2"/>
      <c r="D412" s="2"/>
      <c r="E412" s="2"/>
      <c r="F412" s="2"/>
      <c r="G412" s="173"/>
      <c r="H412" s="174"/>
      <c r="I412" s="218" t="e">
        <f>Tabela2234[[#This Row],[PESO TOTAL]]/Tabela2234[[#This Row],[QUANTIDADE]]</f>
        <v>#DIV/0!</v>
      </c>
      <c r="J412" s="2"/>
      <c r="K412" s="193"/>
      <c r="L412" s="8"/>
      <c r="M412" s="8"/>
      <c r="N412" s="8"/>
      <c r="O412" s="194"/>
      <c r="P412" s="195"/>
    </row>
    <row r="413" spans="1:16">
      <c r="A413" s="3"/>
      <c r="B413" s="3" t="str">
        <f>TEXT(Tabela2234[[#This Row],[DATA]],"mmmm")</f>
        <v>janeiro</v>
      </c>
      <c r="C413" s="2"/>
      <c r="D413" s="2"/>
      <c r="E413" s="2"/>
      <c r="F413" s="2"/>
      <c r="G413" s="173"/>
      <c r="H413" s="174"/>
      <c r="I413" s="218" t="e">
        <f>Tabela2234[[#This Row],[PESO TOTAL]]/Tabela2234[[#This Row],[QUANTIDADE]]</f>
        <v>#DIV/0!</v>
      </c>
      <c r="J413" s="2"/>
      <c r="K413" s="193"/>
      <c r="L413" s="8"/>
      <c r="M413" s="8"/>
      <c r="N413" s="8"/>
      <c r="O413" s="194"/>
      <c r="P413" s="195"/>
    </row>
    <row r="414" spans="1:16">
      <c r="A414" s="3"/>
      <c r="B414" s="3" t="str">
        <f>TEXT(Tabela2234[[#This Row],[DATA]],"mmmm")</f>
        <v>janeiro</v>
      </c>
      <c r="C414" s="2"/>
      <c r="D414" s="2"/>
      <c r="E414" s="2"/>
      <c r="F414" s="2"/>
      <c r="G414" s="173"/>
      <c r="H414" s="174"/>
      <c r="I414" s="218" t="e">
        <f>Tabela2234[[#This Row],[PESO TOTAL]]/Tabela2234[[#This Row],[QUANTIDADE]]</f>
        <v>#DIV/0!</v>
      </c>
      <c r="J414" s="2"/>
      <c r="K414" s="193"/>
      <c r="L414" s="8"/>
      <c r="M414" s="8"/>
      <c r="N414" s="8"/>
      <c r="O414" s="194"/>
      <c r="P414" s="195"/>
    </row>
    <row r="415" spans="1:16">
      <c r="A415" s="3"/>
      <c r="B415" s="3" t="str">
        <f>TEXT(Tabela2234[[#This Row],[DATA]],"mmmm")</f>
        <v>janeiro</v>
      </c>
      <c r="C415" s="2"/>
      <c r="D415" s="2"/>
      <c r="E415" s="2"/>
      <c r="F415" s="2"/>
      <c r="G415" s="173"/>
      <c r="H415" s="174"/>
      <c r="I415" s="218" t="e">
        <f>Tabela2234[[#This Row],[PESO TOTAL]]/Tabela2234[[#This Row],[QUANTIDADE]]</f>
        <v>#DIV/0!</v>
      </c>
      <c r="J415" s="2"/>
      <c r="K415" s="193"/>
      <c r="L415" s="8"/>
      <c r="M415" s="8"/>
      <c r="N415" s="8"/>
      <c r="O415" s="194"/>
      <c r="P415" s="195"/>
    </row>
    <row r="416" spans="1:16">
      <c r="A416" s="3"/>
      <c r="B416" s="3" t="str">
        <f>TEXT(Tabela2234[[#This Row],[DATA]],"mmmm")</f>
        <v>janeiro</v>
      </c>
      <c r="C416" s="2"/>
      <c r="D416" s="2"/>
      <c r="E416" s="2"/>
      <c r="F416" s="2"/>
      <c r="G416" s="173"/>
      <c r="H416" s="174"/>
      <c r="I416" s="218" t="e">
        <f>Tabela2234[[#This Row],[PESO TOTAL]]/Tabela2234[[#This Row],[QUANTIDADE]]</f>
        <v>#DIV/0!</v>
      </c>
      <c r="J416" s="2"/>
      <c r="K416" s="193"/>
      <c r="L416" s="8"/>
      <c r="M416" s="8"/>
      <c r="N416" s="8"/>
      <c r="O416" s="194"/>
      <c r="P416" s="195"/>
    </row>
    <row r="417" spans="1:16">
      <c r="A417" s="3"/>
      <c r="B417" s="3" t="str">
        <f>TEXT(Tabela2234[[#This Row],[DATA]],"mmmm")</f>
        <v>janeiro</v>
      </c>
      <c r="C417" s="2"/>
      <c r="D417" s="2"/>
      <c r="E417" s="2"/>
      <c r="F417" s="2"/>
      <c r="G417" s="173"/>
      <c r="H417" s="174"/>
      <c r="I417" s="218" t="e">
        <f>Tabela2234[[#This Row],[PESO TOTAL]]/Tabela2234[[#This Row],[QUANTIDADE]]</f>
        <v>#DIV/0!</v>
      </c>
      <c r="J417" s="2"/>
      <c r="K417" s="193"/>
      <c r="L417" s="8"/>
      <c r="M417" s="8"/>
      <c r="N417" s="8"/>
      <c r="O417" s="194"/>
      <c r="P417" s="195"/>
    </row>
    <row r="418" spans="1:16">
      <c r="A418" s="3"/>
      <c r="B418" s="3" t="str">
        <f>TEXT(Tabela2234[[#This Row],[DATA]],"mmmm")</f>
        <v>janeiro</v>
      </c>
      <c r="C418" s="2"/>
      <c r="D418" s="2"/>
      <c r="E418" s="2"/>
      <c r="F418" s="2"/>
      <c r="G418" s="173"/>
      <c r="H418" s="174"/>
      <c r="I418" s="218" t="e">
        <f>Tabela2234[[#This Row],[PESO TOTAL]]/Tabela2234[[#This Row],[QUANTIDADE]]</f>
        <v>#DIV/0!</v>
      </c>
      <c r="J418" s="2"/>
      <c r="K418" s="193"/>
      <c r="L418" s="8"/>
      <c r="M418" s="8"/>
      <c r="N418" s="8"/>
      <c r="O418" s="194"/>
      <c r="P418" s="195"/>
    </row>
    <row r="419" spans="1:16">
      <c r="A419" s="3"/>
      <c r="B419" s="3" t="str">
        <f>TEXT(Tabela2234[[#This Row],[DATA]],"mmmm")</f>
        <v>janeiro</v>
      </c>
      <c r="C419" s="2"/>
      <c r="D419" s="2"/>
      <c r="E419" s="2"/>
      <c r="F419" s="2"/>
      <c r="G419" s="173"/>
      <c r="H419" s="174"/>
      <c r="I419" s="218" t="e">
        <f>Tabela2234[[#This Row],[PESO TOTAL]]/Tabela2234[[#This Row],[QUANTIDADE]]</f>
        <v>#DIV/0!</v>
      </c>
      <c r="J419" s="2"/>
      <c r="K419" s="193"/>
      <c r="L419" s="8"/>
      <c r="M419" s="8"/>
      <c r="N419" s="8"/>
      <c r="O419" s="194"/>
      <c r="P419" s="195"/>
    </row>
    <row r="420" spans="1:16">
      <c r="A420" s="3"/>
      <c r="B420" s="3" t="str">
        <f>TEXT(Tabela2234[[#This Row],[DATA]],"mmmm")</f>
        <v>janeiro</v>
      </c>
      <c r="C420" s="2"/>
      <c r="D420" s="2"/>
      <c r="E420" s="2"/>
      <c r="F420" s="2"/>
      <c r="G420" s="173"/>
      <c r="H420" s="174"/>
      <c r="I420" s="218" t="e">
        <f>Tabela2234[[#This Row],[PESO TOTAL]]/Tabela2234[[#This Row],[QUANTIDADE]]</f>
        <v>#DIV/0!</v>
      </c>
      <c r="J420" s="2"/>
      <c r="K420" s="193"/>
      <c r="L420" s="8"/>
      <c r="M420" s="8"/>
      <c r="N420" s="8"/>
      <c r="O420" s="194"/>
      <c r="P420" s="195"/>
    </row>
    <row r="421" spans="1:16">
      <c r="A421" s="3"/>
      <c r="B421" s="3" t="str">
        <f>TEXT(Tabela2234[[#This Row],[DATA]],"mmmm")</f>
        <v>janeiro</v>
      </c>
      <c r="C421" s="2"/>
      <c r="D421" s="2"/>
      <c r="E421" s="2"/>
      <c r="F421" s="2"/>
      <c r="G421" s="173"/>
      <c r="H421" s="174"/>
      <c r="I421" s="218" t="e">
        <f>Tabela2234[[#This Row],[PESO TOTAL]]/Tabela2234[[#This Row],[QUANTIDADE]]</f>
        <v>#DIV/0!</v>
      </c>
      <c r="J421" s="2"/>
      <c r="K421" s="193"/>
      <c r="L421" s="8"/>
      <c r="M421" s="8"/>
      <c r="N421" s="8"/>
      <c r="O421" s="194"/>
      <c r="P421" s="195"/>
    </row>
    <row r="422" spans="1:16">
      <c r="A422" s="3"/>
      <c r="B422" s="3" t="str">
        <f>TEXT(Tabela2234[[#This Row],[DATA]],"mmmm")</f>
        <v>janeiro</v>
      </c>
      <c r="C422" s="2"/>
      <c r="D422" s="2"/>
      <c r="E422" s="2"/>
      <c r="F422" s="2"/>
      <c r="G422" s="173"/>
      <c r="H422" s="174"/>
      <c r="I422" s="218" t="e">
        <f>Tabela2234[[#This Row],[PESO TOTAL]]/Tabela2234[[#This Row],[QUANTIDADE]]</f>
        <v>#DIV/0!</v>
      </c>
      <c r="J422" s="2"/>
      <c r="K422" s="193"/>
      <c r="L422" s="8"/>
      <c r="M422" s="8"/>
      <c r="N422" s="8"/>
      <c r="O422" s="194"/>
      <c r="P422" s="195"/>
    </row>
    <row r="423" spans="1:16">
      <c r="A423" s="3"/>
      <c r="B423" s="3" t="str">
        <f>TEXT(Tabela2234[[#This Row],[DATA]],"mmmm")</f>
        <v>janeiro</v>
      </c>
      <c r="C423" s="2"/>
      <c r="D423" s="2"/>
      <c r="E423" s="2"/>
      <c r="F423" s="2"/>
      <c r="G423" s="173"/>
      <c r="H423" s="174"/>
      <c r="I423" s="218" t="e">
        <f>Tabela2234[[#This Row],[PESO TOTAL]]/Tabela2234[[#This Row],[QUANTIDADE]]</f>
        <v>#DIV/0!</v>
      </c>
      <c r="J423" s="2"/>
      <c r="K423" s="193"/>
      <c r="L423" s="8"/>
      <c r="M423" s="8"/>
      <c r="N423" s="8"/>
      <c r="O423" s="194"/>
      <c r="P423" s="195"/>
    </row>
    <row r="424" spans="1:16">
      <c r="A424" s="3"/>
      <c r="B424" s="3" t="str">
        <f>TEXT(Tabela2234[[#This Row],[DATA]],"mmmm")</f>
        <v>janeiro</v>
      </c>
      <c r="C424" s="2"/>
      <c r="D424" s="2"/>
      <c r="E424" s="2"/>
      <c r="F424" s="2"/>
      <c r="G424" s="173"/>
      <c r="H424" s="174"/>
      <c r="I424" s="218" t="e">
        <f>Tabela2234[[#This Row],[PESO TOTAL]]/Tabela2234[[#This Row],[QUANTIDADE]]</f>
        <v>#DIV/0!</v>
      </c>
      <c r="J424" s="2"/>
      <c r="K424" s="193"/>
      <c r="L424" s="8"/>
      <c r="M424" s="8"/>
      <c r="N424" s="8"/>
      <c r="O424" s="194"/>
      <c r="P424" s="195"/>
    </row>
    <row r="425" spans="1:16">
      <c r="A425" s="3"/>
      <c r="B425" s="3" t="str">
        <f>TEXT(Tabela2234[[#This Row],[DATA]],"mmmm")</f>
        <v>janeiro</v>
      </c>
      <c r="C425" s="2"/>
      <c r="D425" s="2"/>
      <c r="E425" s="2"/>
      <c r="F425" s="2"/>
      <c r="G425" s="173"/>
      <c r="H425" s="174"/>
      <c r="I425" s="218" t="e">
        <f>Tabela2234[[#This Row],[PESO TOTAL]]/Tabela2234[[#This Row],[QUANTIDADE]]</f>
        <v>#DIV/0!</v>
      </c>
      <c r="J425" s="2"/>
      <c r="K425" s="193"/>
      <c r="L425" s="8"/>
      <c r="M425" s="8"/>
      <c r="N425" s="8"/>
      <c r="O425" s="194"/>
      <c r="P425" s="195"/>
    </row>
    <row r="426" spans="1:16">
      <c r="A426" s="3"/>
      <c r="B426" s="3" t="str">
        <f>TEXT(Tabela2234[[#This Row],[DATA]],"mmmm")</f>
        <v>janeiro</v>
      </c>
      <c r="C426" s="2"/>
      <c r="D426" s="2"/>
      <c r="E426" s="2"/>
      <c r="F426" s="2"/>
      <c r="G426" s="173"/>
      <c r="H426" s="174"/>
      <c r="I426" s="218" t="e">
        <f>Tabela2234[[#This Row],[PESO TOTAL]]/Tabela2234[[#This Row],[QUANTIDADE]]</f>
        <v>#DIV/0!</v>
      </c>
      <c r="J426" s="2"/>
      <c r="K426" s="193"/>
      <c r="L426" s="8"/>
      <c r="M426" s="8"/>
      <c r="N426" s="8"/>
      <c r="O426" s="194"/>
      <c r="P426" s="195"/>
    </row>
    <row r="427" spans="1:16">
      <c r="A427" s="3"/>
      <c r="B427" s="3" t="str">
        <f>TEXT(Tabela2234[[#This Row],[DATA]],"mmmm")</f>
        <v>janeiro</v>
      </c>
      <c r="C427" s="2"/>
      <c r="D427" s="2"/>
      <c r="E427" s="2"/>
      <c r="F427" s="2"/>
      <c r="G427" s="173"/>
      <c r="H427" s="174"/>
      <c r="I427" s="218" t="e">
        <f>Tabela2234[[#This Row],[PESO TOTAL]]/Tabela2234[[#This Row],[QUANTIDADE]]</f>
        <v>#DIV/0!</v>
      </c>
      <c r="J427" s="2"/>
      <c r="K427" s="193"/>
      <c r="L427" s="8"/>
      <c r="M427" s="8"/>
      <c r="N427" s="8"/>
      <c r="O427" s="194"/>
      <c r="P427" s="195"/>
    </row>
    <row r="428" spans="1:16">
      <c r="A428" s="3"/>
      <c r="B428" s="3" t="str">
        <f>TEXT(Tabela2234[[#This Row],[DATA]],"mmmm")</f>
        <v>janeiro</v>
      </c>
      <c r="C428" s="2"/>
      <c r="D428" s="2"/>
      <c r="E428" s="2"/>
      <c r="F428" s="2"/>
      <c r="G428" s="173"/>
      <c r="H428" s="174"/>
      <c r="I428" s="218" t="e">
        <f>Tabela2234[[#This Row],[PESO TOTAL]]/Tabela2234[[#This Row],[QUANTIDADE]]</f>
        <v>#DIV/0!</v>
      </c>
      <c r="J428" s="2"/>
      <c r="K428" s="193"/>
      <c r="L428" s="8"/>
      <c r="M428" s="8"/>
      <c r="N428" s="8"/>
      <c r="O428" s="194"/>
      <c r="P428" s="195"/>
    </row>
    <row r="429" spans="1:16">
      <c r="A429" s="3"/>
      <c r="B429" s="3" t="str">
        <f>TEXT(Tabela2234[[#This Row],[DATA]],"mmmm")</f>
        <v>janeiro</v>
      </c>
      <c r="C429" s="2"/>
      <c r="D429" s="2"/>
      <c r="E429" s="2"/>
      <c r="F429" s="2"/>
      <c r="G429" s="173"/>
      <c r="H429" s="174"/>
      <c r="I429" s="218" t="e">
        <f>Tabela2234[[#This Row],[PESO TOTAL]]/Tabela2234[[#This Row],[QUANTIDADE]]</f>
        <v>#DIV/0!</v>
      </c>
      <c r="J429" s="2"/>
      <c r="K429" s="193"/>
      <c r="L429" s="8"/>
      <c r="M429" s="8"/>
      <c r="N429" s="8"/>
      <c r="O429" s="194"/>
      <c r="P429" s="195"/>
    </row>
    <row r="430" spans="1:16">
      <c r="A430" s="3"/>
      <c r="B430" s="3" t="str">
        <f>TEXT(Tabela2234[[#This Row],[DATA]],"mmmm")</f>
        <v>janeiro</v>
      </c>
      <c r="C430" s="2"/>
      <c r="D430" s="2"/>
      <c r="E430" s="2"/>
      <c r="F430" s="2"/>
      <c r="G430" s="173"/>
      <c r="H430" s="174"/>
      <c r="I430" s="218" t="e">
        <f>Tabela2234[[#This Row],[PESO TOTAL]]/Tabela2234[[#This Row],[QUANTIDADE]]</f>
        <v>#DIV/0!</v>
      </c>
      <c r="J430" s="2"/>
      <c r="K430" s="193"/>
      <c r="L430" s="8"/>
      <c r="M430" s="8"/>
      <c r="N430" s="8"/>
      <c r="O430" s="194"/>
      <c r="P430" s="195"/>
    </row>
    <row r="431" spans="1:16">
      <c r="A431" s="3"/>
      <c r="B431" s="3" t="str">
        <f>TEXT(Tabela2234[[#This Row],[DATA]],"mmmm")</f>
        <v>janeiro</v>
      </c>
      <c r="C431" s="2"/>
      <c r="D431" s="2"/>
      <c r="E431" s="2"/>
      <c r="F431" s="2"/>
      <c r="G431" s="173"/>
      <c r="H431" s="174"/>
      <c r="I431" s="218" t="e">
        <f>Tabela2234[[#This Row],[PESO TOTAL]]/Tabela2234[[#This Row],[QUANTIDADE]]</f>
        <v>#DIV/0!</v>
      </c>
      <c r="J431" s="2"/>
      <c r="K431" s="193"/>
      <c r="L431" s="8"/>
      <c r="M431" s="8"/>
      <c r="N431" s="8"/>
      <c r="O431" s="194"/>
      <c r="P431" s="195"/>
    </row>
    <row r="432" spans="1:16">
      <c r="A432" s="3"/>
      <c r="B432" s="3" t="str">
        <f>TEXT(Tabela2234[[#This Row],[DATA]],"mmmm")</f>
        <v>janeiro</v>
      </c>
      <c r="C432" s="2"/>
      <c r="D432" s="2"/>
      <c r="E432" s="2"/>
      <c r="F432" s="2"/>
      <c r="G432" s="173"/>
      <c r="H432" s="174"/>
      <c r="I432" s="218" t="e">
        <f>Tabela2234[[#This Row],[PESO TOTAL]]/Tabela2234[[#This Row],[QUANTIDADE]]</f>
        <v>#DIV/0!</v>
      </c>
      <c r="J432" s="2"/>
      <c r="K432" s="193"/>
      <c r="L432" s="8"/>
      <c r="M432" s="8"/>
      <c r="N432" s="8"/>
      <c r="O432" s="194"/>
      <c r="P432" s="195"/>
    </row>
    <row r="433" spans="1:16">
      <c r="A433" s="3"/>
      <c r="B433" s="3" t="str">
        <f>TEXT(Tabela2234[[#This Row],[DATA]],"mmmm")</f>
        <v>janeiro</v>
      </c>
      <c r="C433" s="2"/>
      <c r="D433" s="2"/>
      <c r="E433" s="2"/>
      <c r="F433" s="2"/>
      <c r="G433" s="173"/>
      <c r="H433" s="174"/>
      <c r="I433" s="218" t="e">
        <f>Tabela2234[[#This Row],[PESO TOTAL]]/Tabela2234[[#This Row],[QUANTIDADE]]</f>
        <v>#DIV/0!</v>
      </c>
      <c r="J433" s="2"/>
      <c r="K433" s="193"/>
      <c r="L433" s="8"/>
      <c r="M433" s="8"/>
      <c r="N433" s="8"/>
      <c r="O433" s="194"/>
      <c r="P433" s="195"/>
    </row>
    <row r="434" spans="1:16">
      <c r="A434" s="3"/>
      <c r="B434" s="3" t="str">
        <f>TEXT(Tabela2234[[#This Row],[DATA]],"mmmm")</f>
        <v>janeiro</v>
      </c>
      <c r="C434" s="2"/>
      <c r="D434" s="2"/>
      <c r="E434" s="2"/>
      <c r="F434" s="2"/>
      <c r="G434" s="173"/>
      <c r="H434" s="174"/>
      <c r="I434" s="218" t="e">
        <f>Tabela2234[[#This Row],[PESO TOTAL]]/Tabela2234[[#This Row],[QUANTIDADE]]</f>
        <v>#DIV/0!</v>
      </c>
      <c r="J434" s="2"/>
      <c r="K434" s="193"/>
      <c r="L434" s="8"/>
      <c r="M434" s="8"/>
      <c r="N434" s="8"/>
      <c r="O434" s="194"/>
      <c r="P434" s="195"/>
    </row>
    <row r="435" spans="1:16">
      <c r="A435" s="3"/>
      <c r="B435" s="3" t="str">
        <f>TEXT(Tabela2234[[#This Row],[DATA]],"mmmm")</f>
        <v>janeiro</v>
      </c>
      <c r="C435" s="2"/>
      <c r="D435" s="2"/>
      <c r="E435" s="2"/>
      <c r="F435" s="2"/>
      <c r="G435" s="173"/>
      <c r="H435" s="174"/>
      <c r="I435" s="218" t="e">
        <f>Tabela2234[[#This Row],[PESO TOTAL]]/Tabela2234[[#This Row],[QUANTIDADE]]</f>
        <v>#DIV/0!</v>
      </c>
      <c r="J435" s="2"/>
      <c r="K435" s="193"/>
      <c r="L435" s="8"/>
      <c r="M435" s="8"/>
      <c r="N435" s="8"/>
      <c r="O435" s="194"/>
      <c r="P435" s="195"/>
    </row>
    <row r="436" spans="1:16">
      <c r="A436" s="3"/>
      <c r="B436" s="3" t="str">
        <f>TEXT(Tabela2234[[#This Row],[DATA]],"mmmm")</f>
        <v>janeiro</v>
      </c>
      <c r="C436" s="2"/>
      <c r="D436" s="2"/>
      <c r="E436" s="2"/>
      <c r="F436" s="2"/>
      <c r="G436" s="173"/>
      <c r="H436" s="174"/>
      <c r="I436" s="218" t="e">
        <f>Tabela2234[[#This Row],[PESO TOTAL]]/Tabela2234[[#This Row],[QUANTIDADE]]</f>
        <v>#DIV/0!</v>
      </c>
      <c r="J436" s="2"/>
      <c r="K436" s="193"/>
      <c r="L436" s="8"/>
      <c r="M436" s="8"/>
      <c r="N436" s="8"/>
      <c r="O436" s="194"/>
      <c r="P436" s="195"/>
    </row>
    <row r="437" spans="1:16">
      <c r="A437" s="3"/>
      <c r="B437" s="3" t="str">
        <f>TEXT(Tabela2234[[#This Row],[DATA]],"mmmm")</f>
        <v>janeiro</v>
      </c>
      <c r="C437" s="2"/>
      <c r="D437" s="2"/>
      <c r="E437" s="2"/>
      <c r="F437" s="2"/>
      <c r="G437" s="173"/>
      <c r="H437" s="174"/>
      <c r="I437" s="218" t="e">
        <f>Tabela2234[[#This Row],[PESO TOTAL]]/Tabela2234[[#This Row],[QUANTIDADE]]</f>
        <v>#DIV/0!</v>
      </c>
      <c r="J437" s="2"/>
      <c r="K437" s="193"/>
      <c r="L437" s="8"/>
      <c r="M437" s="8"/>
      <c r="N437" s="8"/>
      <c r="O437" s="194"/>
      <c r="P437" s="195"/>
    </row>
    <row r="438" spans="1:16">
      <c r="A438" s="3"/>
      <c r="B438" s="3" t="str">
        <f>TEXT(Tabela2234[[#This Row],[DATA]],"mmmm")</f>
        <v>janeiro</v>
      </c>
      <c r="C438" s="2"/>
      <c r="D438" s="2"/>
      <c r="E438" s="2"/>
      <c r="F438" s="2"/>
      <c r="G438" s="173"/>
      <c r="H438" s="174"/>
      <c r="I438" s="218" t="e">
        <f>Tabela2234[[#This Row],[PESO TOTAL]]/Tabela2234[[#This Row],[QUANTIDADE]]</f>
        <v>#DIV/0!</v>
      </c>
      <c r="J438" s="2"/>
      <c r="K438" s="193"/>
      <c r="L438" s="8"/>
      <c r="M438" s="8"/>
      <c r="N438" s="8"/>
      <c r="O438" s="194"/>
      <c r="P438" s="195"/>
    </row>
    <row r="439" spans="1:16">
      <c r="A439" s="3"/>
      <c r="B439" s="3" t="str">
        <f>TEXT(Tabela2234[[#This Row],[DATA]],"mmmm")</f>
        <v>janeiro</v>
      </c>
      <c r="C439" s="2"/>
      <c r="D439" s="2"/>
      <c r="E439" s="2"/>
      <c r="F439" s="2"/>
      <c r="G439" s="173"/>
      <c r="H439" s="174"/>
      <c r="I439" s="218" t="e">
        <f>Tabela2234[[#This Row],[PESO TOTAL]]/Tabela2234[[#This Row],[QUANTIDADE]]</f>
        <v>#DIV/0!</v>
      </c>
      <c r="J439" s="2"/>
      <c r="K439" s="193"/>
      <c r="L439" s="8"/>
      <c r="M439" s="8"/>
      <c r="N439" s="8"/>
      <c r="O439" s="194"/>
      <c r="P439" s="195"/>
    </row>
    <row r="440" spans="1:16">
      <c r="A440" s="3"/>
      <c r="B440" s="3" t="str">
        <f>TEXT(Tabela2234[[#This Row],[DATA]],"mmmm")</f>
        <v>janeiro</v>
      </c>
      <c r="C440" s="2"/>
      <c r="D440" s="2"/>
      <c r="E440" s="2"/>
      <c r="F440" s="2"/>
      <c r="G440" s="173"/>
      <c r="H440" s="174"/>
      <c r="I440" s="218" t="e">
        <f>Tabela2234[[#This Row],[PESO TOTAL]]/Tabela2234[[#This Row],[QUANTIDADE]]</f>
        <v>#DIV/0!</v>
      </c>
      <c r="J440" s="2"/>
      <c r="K440" s="193"/>
      <c r="L440" s="8"/>
      <c r="M440" s="8"/>
      <c r="N440" s="8"/>
      <c r="O440" s="194"/>
      <c r="P440" s="195"/>
    </row>
    <row r="441" spans="1:16">
      <c r="A441" s="3"/>
      <c r="B441" s="3" t="str">
        <f>TEXT(Tabela2234[[#This Row],[DATA]],"mmmm")</f>
        <v>janeiro</v>
      </c>
      <c r="C441" s="2"/>
      <c r="D441" s="2"/>
      <c r="E441" s="2"/>
      <c r="F441" s="2"/>
      <c r="G441" s="173"/>
      <c r="H441" s="174"/>
      <c r="I441" s="218" t="e">
        <f>Tabela2234[[#This Row],[PESO TOTAL]]/Tabela2234[[#This Row],[QUANTIDADE]]</f>
        <v>#DIV/0!</v>
      </c>
      <c r="J441" s="2"/>
      <c r="K441" s="193"/>
      <c r="L441" s="8"/>
      <c r="M441" s="8"/>
      <c r="N441" s="8"/>
      <c r="O441" s="194"/>
      <c r="P441" s="195"/>
    </row>
    <row r="442" spans="1:16">
      <c r="A442" s="3"/>
      <c r="B442" s="3" t="str">
        <f>TEXT(Tabela2234[[#This Row],[DATA]],"mmmm")</f>
        <v>janeiro</v>
      </c>
      <c r="C442" s="2"/>
      <c r="D442" s="2"/>
      <c r="E442" s="2"/>
      <c r="F442" s="2"/>
      <c r="G442" s="173"/>
      <c r="H442" s="174"/>
      <c r="I442" s="218" t="e">
        <f>Tabela2234[[#This Row],[PESO TOTAL]]/Tabela2234[[#This Row],[QUANTIDADE]]</f>
        <v>#DIV/0!</v>
      </c>
      <c r="J442" s="2"/>
      <c r="K442" s="193"/>
      <c r="L442" s="8"/>
      <c r="M442" s="8"/>
      <c r="N442" s="8"/>
      <c r="O442" s="194"/>
      <c r="P442" s="195"/>
    </row>
    <row r="443" spans="1:16">
      <c r="A443" s="3"/>
      <c r="B443" s="3" t="str">
        <f>TEXT(Tabela2234[[#This Row],[DATA]],"mmmm")</f>
        <v>janeiro</v>
      </c>
      <c r="C443" s="2"/>
      <c r="D443" s="2"/>
      <c r="E443" s="2"/>
      <c r="F443" s="2"/>
      <c r="G443" s="173"/>
      <c r="H443" s="174"/>
      <c r="I443" s="218" t="e">
        <f>Tabela2234[[#This Row],[PESO TOTAL]]/Tabela2234[[#This Row],[QUANTIDADE]]</f>
        <v>#DIV/0!</v>
      </c>
      <c r="J443" s="2"/>
      <c r="K443" s="193"/>
      <c r="L443" s="8"/>
      <c r="M443" s="8"/>
      <c r="N443" s="8"/>
      <c r="O443" s="194"/>
      <c r="P443" s="195"/>
    </row>
    <row r="444" spans="1:16">
      <c r="A444" s="3"/>
      <c r="B444" s="3" t="str">
        <f>TEXT(Tabela2234[[#This Row],[DATA]],"mmmm")</f>
        <v>janeiro</v>
      </c>
      <c r="C444" s="2"/>
      <c r="D444" s="2"/>
      <c r="E444" s="2"/>
      <c r="F444" s="2"/>
      <c r="G444" s="173"/>
      <c r="H444" s="174"/>
      <c r="I444" s="218" t="e">
        <f>Tabela2234[[#This Row],[PESO TOTAL]]/Tabela2234[[#This Row],[QUANTIDADE]]</f>
        <v>#DIV/0!</v>
      </c>
      <c r="J444" s="2"/>
      <c r="K444" s="193"/>
      <c r="L444" s="8"/>
      <c r="M444" s="8"/>
      <c r="N444" s="8"/>
      <c r="O444" s="194"/>
      <c r="P444" s="195"/>
    </row>
    <row r="445" spans="1:16">
      <c r="A445" s="3"/>
      <c r="B445" s="3" t="str">
        <f>TEXT(Tabela2234[[#This Row],[DATA]],"mmmm")</f>
        <v>janeiro</v>
      </c>
      <c r="C445" s="2"/>
      <c r="D445" s="2"/>
      <c r="E445" s="2"/>
      <c r="F445" s="2"/>
      <c r="G445" s="173"/>
      <c r="H445" s="174"/>
      <c r="I445" s="218" t="e">
        <f>Tabela2234[[#This Row],[PESO TOTAL]]/Tabela2234[[#This Row],[QUANTIDADE]]</f>
        <v>#DIV/0!</v>
      </c>
      <c r="J445" s="2"/>
      <c r="K445" s="193"/>
      <c r="L445" s="8"/>
      <c r="M445" s="8"/>
      <c r="N445" s="8"/>
      <c r="O445" s="194"/>
      <c r="P445" s="195"/>
    </row>
    <row r="446" spans="1:16">
      <c r="A446" s="3"/>
      <c r="B446" s="3" t="str">
        <f>TEXT(Tabela2234[[#This Row],[DATA]],"mmmm")</f>
        <v>janeiro</v>
      </c>
      <c r="C446" s="2"/>
      <c r="D446" s="2"/>
      <c r="E446" s="2"/>
      <c r="F446" s="2"/>
      <c r="G446" s="173"/>
      <c r="H446" s="174"/>
      <c r="I446" s="218" t="e">
        <f>Tabela2234[[#This Row],[PESO TOTAL]]/Tabela2234[[#This Row],[QUANTIDADE]]</f>
        <v>#DIV/0!</v>
      </c>
      <c r="J446" s="2"/>
      <c r="K446" s="193"/>
      <c r="L446" s="8"/>
      <c r="M446" s="8"/>
      <c r="N446" s="8"/>
      <c r="O446" s="194"/>
      <c r="P446" s="195"/>
    </row>
    <row r="447" spans="1:16">
      <c r="A447" s="3"/>
      <c r="B447" s="3" t="str">
        <f>TEXT(Tabela2234[[#This Row],[DATA]],"mmmm")</f>
        <v>janeiro</v>
      </c>
      <c r="C447" s="2"/>
      <c r="D447" s="2"/>
      <c r="E447" s="2"/>
      <c r="F447" s="2"/>
      <c r="G447" s="173"/>
      <c r="H447" s="174"/>
      <c r="I447" s="218" t="e">
        <f>Tabela2234[[#This Row],[PESO TOTAL]]/Tabela2234[[#This Row],[QUANTIDADE]]</f>
        <v>#DIV/0!</v>
      </c>
      <c r="J447" s="2"/>
      <c r="K447" s="193"/>
      <c r="L447" s="8"/>
      <c r="M447" s="8"/>
      <c r="N447" s="8"/>
      <c r="O447" s="194"/>
      <c r="P447" s="195"/>
    </row>
    <row r="448" spans="1:16">
      <c r="A448" s="3"/>
      <c r="B448" s="3" t="str">
        <f>TEXT(Tabela2234[[#This Row],[DATA]],"mmmm")</f>
        <v>janeiro</v>
      </c>
      <c r="C448" s="2"/>
      <c r="D448" s="2"/>
      <c r="E448" s="2"/>
      <c r="F448" s="2"/>
      <c r="G448" s="173"/>
      <c r="H448" s="174"/>
      <c r="I448" s="218" t="e">
        <f>Tabela2234[[#This Row],[PESO TOTAL]]/Tabela2234[[#This Row],[QUANTIDADE]]</f>
        <v>#DIV/0!</v>
      </c>
      <c r="J448" s="2"/>
      <c r="K448" s="193"/>
      <c r="L448" s="8"/>
      <c r="M448" s="8"/>
      <c r="N448" s="8"/>
      <c r="O448" s="194"/>
      <c r="P448" s="195"/>
    </row>
    <row r="449" spans="1:16">
      <c r="A449" s="3"/>
      <c r="B449" s="3" t="str">
        <f>TEXT(Tabela2234[[#This Row],[DATA]],"mmmm")</f>
        <v>janeiro</v>
      </c>
      <c r="C449" s="2"/>
      <c r="D449" s="2"/>
      <c r="E449" s="2"/>
      <c r="F449" s="2"/>
      <c r="G449" s="173"/>
      <c r="H449" s="174"/>
      <c r="I449" s="218" t="e">
        <f>Tabela2234[[#This Row],[PESO TOTAL]]/Tabela2234[[#This Row],[QUANTIDADE]]</f>
        <v>#DIV/0!</v>
      </c>
      <c r="J449" s="2"/>
      <c r="K449" s="193"/>
      <c r="L449" s="8"/>
      <c r="M449" s="8"/>
      <c r="N449" s="8"/>
      <c r="O449" s="194"/>
      <c r="P449" s="195"/>
    </row>
    <row r="450" spans="1:16">
      <c r="A450" s="3"/>
      <c r="B450" s="3" t="str">
        <f>TEXT(Tabela2234[[#This Row],[DATA]],"mmmm")</f>
        <v>janeiro</v>
      </c>
      <c r="C450" s="2"/>
      <c r="D450" s="2"/>
      <c r="E450" s="2"/>
      <c r="F450" s="2"/>
      <c r="G450" s="173"/>
      <c r="H450" s="174"/>
      <c r="I450" s="218" t="e">
        <f>Tabela2234[[#This Row],[PESO TOTAL]]/Tabela2234[[#This Row],[QUANTIDADE]]</f>
        <v>#DIV/0!</v>
      </c>
      <c r="J450" s="2"/>
      <c r="K450" s="193"/>
      <c r="L450" s="8"/>
      <c r="M450" s="8"/>
      <c r="N450" s="8"/>
      <c r="O450" s="194"/>
      <c r="P450" s="195"/>
    </row>
    <row r="451" spans="1:16">
      <c r="A451" s="3"/>
      <c r="B451" s="3" t="str">
        <f>TEXT(Tabela2234[[#This Row],[DATA]],"mmmm")</f>
        <v>janeiro</v>
      </c>
      <c r="C451" s="2"/>
      <c r="D451" s="2"/>
      <c r="E451" s="2"/>
      <c r="F451" s="2"/>
      <c r="G451" s="173"/>
      <c r="H451" s="174"/>
      <c r="I451" s="218" t="e">
        <f>Tabela2234[[#This Row],[PESO TOTAL]]/Tabela2234[[#This Row],[QUANTIDADE]]</f>
        <v>#DIV/0!</v>
      </c>
      <c r="J451" s="2"/>
      <c r="K451" s="193"/>
      <c r="L451" s="8"/>
      <c r="M451" s="8"/>
      <c r="N451" s="8"/>
      <c r="O451" s="194"/>
      <c r="P451" s="195"/>
    </row>
    <row r="452" spans="1:16">
      <c r="A452" s="3"/>
      <c r="B452" s="3" t="str">
        <f>TEXT(Tabela2234[[#This Row],[DATA]],"mmmm")</f>
        <v>janeiro</v>
      </c>
      <c r="C452" s="2"/>
      <c r="D452" s="2"/>
      <c r="E452" s="2"/>
      <c r="F452" s="2"/>
      <c r="G452" s="173"/>
      <c r="H452" s="174"/>
      <c r="I452" s="218" t="e">
        <f>Tabela2234[[#This Row],[PESO TOTAL]]/Tabela2234[[#This Row],[QUANTIDADE]]</f>
        <v>#DIV/0!</v>
      </c>
      <c r="J452" s="2"/>
      <c r="K452" s="193"/>
      <c r="L452" s="8"/>
      <c r="M452" s="8"/>
      <c r="N452" s="8"/>
      <c r="O452" s="194"/>
      <c r="P452" s="195"/>
    </row>
    <row r="453" spans="1:16">
      <c r="A453" s="3"/>
      <c r="B453" s="3" t="str">
        <f>TEXT(Tabela2234[[#This Row],[DATA]],"mmmm")</f>
        <v>janeiro</v>
      </c>
      <c r="C453" s="2"/>
      <c r="D453" s="2"/>
      <c r="E453" s="2"/>
      <c r="F453" s="2"/>
      <c r="G453" s="173"/>
      <c r="H453" s="174"/>
      <c r="I453" s="218" t="e">
        <f>Tabela2234[[#This Row],[PESO TOTAL]]/Tabela2234[[#This Row],[QUANTIDADE]]</f>
        <v>#DIV/0!</v>
      </c>
      <c r="J453" s="2"/>
      <c r="K453" s="193"/>
      <c r="L453" s="8"/>
      <c r="M453" s="8"/>
      <c r="N453" s="8"/>
      <c r="O453" s="194"/>
      <c r="P453" s="195"/>
    </row>
    <row r="454" spans="1:16">
      <c r="A454" s="3"/>
      <c r="B454" s="3" t="str">
        <f>TEXT(Tabela2234[[#This Row],[DATA]],"mmmm")</f>
        <v>janeiro</v>
      </c>
      <c r="C454" s="2"/>
      <c r="D454" s="2"/>
      <c r="E454" s="2"/>
      <c r="F454" s="2"/>
      <c r="G454" s="173"/>
      <c r="H454" s="174"/>
      <c r="I454" s="218" t="e">
        <f>Tabela2234[[#This Row],[PESO TOTAL]]/Tabela2234[[#This Row],[QUANTIDADE]]</f>
        <v>#DIV/0!</v>
      </c>
      <c r="J454" s="2"/>
      <c r="K454" s="193"/>
      <c r="L454" s="8"/>
      <c r="M454" s="8"/>
      <c r="N454" s="8"/>
      <c r="O454" s="194"/>
      <c r="P454" s="195"/>
    </row>
    <row r="455" spans="1:16">
      <c r="A455" s="3"/>
      <c r="B455" s="3" t="str">
        <f>TEXT(Tabela2234[[#This Row],[DATA]],"mmmm")</f>
        <v>janeiro</v>
      </c>
      <c r="C455" s="2"/>
      <c r="D455" s="2"/>
      <c r="E455" s="2"/>
      <c r="F455" s="2"/>
      <c r="G455" s="173"/>
      <c r="H455" s="174"/>
      <c r="I455" s="218" t="e">
        <f>Tabela2234[[#This Row],[PESO TOTAL]]/Tabela2234[[#This Row],[QUANTIDADE]]</f>
        <v>#DIV/0!</v>
      </c>
      <c r="J455" s="2"/>
      <c r="K455" s="193"/>
      <c r="L455" s="8"/>
      <c r="M455" s="8"/>
      <c r="N455" s="8"/>
      <c r="O455" s="194"/>
      <c r="P455" s="195"/>
    </row>
    <row r="456" spans="1:16">
      <c r="A456" s="3"/>
      <c r="B456" s="3" t="str">
        <f>TEXT(Tabela2234[[#This Row],[DATA]],"mmmm")</f>
        <v>janeiro</v>
      </c>
      <c r="C456" s="2"/>
      <c r="D456" s="2"/>
      <c r="E456" s="2"/>
      <c r="F456" s="2"/>
      <c r="G456" s="173"/>
      <c r="H456" s="174"/>
      <c r="I456" s="218" t="e">
        <f>Tabela2234[[#This Row],[PESO TOTAL]]/Tabela2234[[#This Row],[QUANTIDADE]]</f>
        <v>#DIV/0!</v>
      </c>
      <c r="J456" s="2"/>
      <c r="K456" s="193"/>
      <c r="L456" s="8"/>
      <c r="M456" s="8"/>
      <c r="N456" s="8"/>
      <c r="O456" s="194"/>
      <c r="P456" s="195"/>
    </row>
    <row r="457" spans="1:16">
      <c r="A457" s="3"/>
      <c r="B457" s="3" t="str">
        <f>TEXT(Tabela2234[[#This Row],[DATA]],"mmmm")</f>
        <v>janeiro</v>
      </c>
      <c r="C457" s="2"/>
      <c r="D457" s="2"/>
      <c r="E457" s="2"/>
      <c r="F457" s="2"/>
      <c r="G457" s="173"/>
      <c r="H457" s="174"/>
      <c r="I457" s="218" t="e">
        <f>Tabela2234[[#This Row],[PESO TOTAL]]/Tabela2234[[#This Row],[QUANTIDADE]]</f>
        <v>#DIV/0!</v>
      </c>
      <c r="J457" s="2"/>
      <c r="K457" s="193"/>
      <c r="L457" s="8"/>
      <c r="M457" s="8"/>
      <c r="N457" s="8"/>
      <c r="O457" s="194"/>
      <c r="P457" s="195"/>
    </row>
    <row r="458" spans="1:16">
      <c r="A458" s="3"/>
      <c r="B458" s="3" t="str">
        <f>TEXT(Tabela2234[[#This Row],[DATA]],"mmmm")</f>
        <v>janeiro</v>
      </c>
      <c r="C458" s="2"/>
      <c r="D458" s="2"/>
      <c r="E458" s="2"/>
      <c r="F458" s="2"/>
      <c r="G458" s="173"/>
      <c r="H458" s="174"/>
      <c r="I458" s="218" t="e">
        <f>Tabela2234[[#This Row],[PESO TOTAL]]/Tabela2234[[#This Row],[QUANTIDADE]]</f>
        <v>#DIV/0!</v>
      </c>
      <c r="J458" s="2"/>
      <c r="K458" s="193"/>
      <c r="L458" s="8"/>
      <c r="M458" s="8"/>
      <c r="N458" s="8"/>
      <c r="O458" s="194"/>
      <c r="P458" s="195"/>
    </row>
    <row r="459" spans="1:16">
      <c r="A459" s="3"/>
      <c r="B459" s="3" t="str">
        <f>TEXT(Tabela2234[[#This Row],[DATA]],"mmmm")</f>
        <v>janeiro</v>
      </c>
      <c r="C459" s="2"/>
      <c r="D459" s="2"/>
      <c r="E459" s="2"/>
      <c r="F459" s="2"/>
      <c r="G459" s="173"/>
      <c r="H459" s="174"/>
      <c r="I459" s="218" t="e">
        <f>Tabela2234[[#This Row],[PESO TOTAL]]/Tabela2234[[#This Row],[QUANTIDADE]]</f>
        <v>#DIV/0!</v>
      </c>
      <c r="J459" s="2"/>
      <c r="K459" s="193"/>
      <c r="L459" s="8"/>
      <c r="M459" s="8"/>
      <c r="N459" s="8"/>
      <c r="O459" s="194"/>
      <c r="P459" s="195"/>
    </row>
    <row r="460" spans="1:16">
      <c r="A460" s="3"/>
      <c r="B460" s="3" t="str">
        <f>TEXT(Tabela2234[[#This Row],[DATA]],"mmmm")</f>
        <v>janeiro</v>
      </c>
      <c r="C460" s="2"/>
      <c r="D460" s="2"/>
      <c r="E460" s="2"/>
      <c r="F460" s="2"/>
      <c r="G460" s="173"/>
      <c r="H460" s="174"/>
      <c r="I460" s="218" t="e">
        <f>Tabela2234[[#This Row],[PESO TOTAL]]/Tabela2234[[#This Row],[QUANTIDADE]]</f>
        <v>#DIV/0!</v>
      </c>
      <c r="J460" s="2"/>
      <c r="K460" s="193"/>
      <c r="L460" s="8"/>
      <c r="M460" s="8"/>
      <c r="N460" s="8"/>
      <c r="O460" s="194"/>
      <c r="P460" s="195"/>
    </row>
    <row r="461" spans="1:16">
      <c r="A461" s="3"/>
      <c r="B461" s="3" t="str">
        <f>TEXT(Tabela2234[[#This Row],[DATA]],"mmmm")</f>
        <v>janeiro</v>
      </c>
      <c r="C461" s="2"/>
      <c r="D461" s="2"/>
      <c r="E461" s="2"/>
      <c r="F461" s="2"/>
      <c r="G461" s="173"/>
      <c r="H461" s="174"/>
      <c r="I461" s="218" t="e">
        <f>Tabela2234[[#This Row],[PESO TOTAL]]/Tabela2234[[#This Row],[QUANTIDADE]]</f>
        <v>#DIV/0!</v>
      </c>
      <c r="J461" s="2"/>
      <c r="K461" s="193"/>
      <c r="L461" s="8"/>
      <c r="M461" s="8"/>
      <c r="N461" s="8"/>
      <c r="O461" s="194"/>
      <c r="P461" s="195"/>
    </row>
    <row r="462" spans="1:16">
      <c r="A462" s="3"/>
      <c r="B462" s="3" t="str">
        <f>TEXT(Tabela2234[[#This Row],[DATA]],"mmmm")</f>
        <v>janeiro</v>
      </c>
      <c r="C462" s="2"/>
      <c r="D462" s="2"/>
      <c r="E462" s="2"/>
      <c r="F462" s="2"/>
      <c r="G462" s="173"/>
      <c r="H462" s="174"/>
      <c r="I462" s="218" t="e">
        <f>Tabela2234[[#This Row],[PESO TOTAL]]/Tabela2234[[#This Row],[QUANTIDADE]]</f>
        <v>#DIV/0!</v>
      </c>
      <c r="J462" s="2"/>
      <c r="K462" s="193"/>
      <c r="L462" s="8"/>
      <c r="M462" s="8"/>
      <c r="N462" s="8"/>
      <c r="O462" s="194"/>
      <c r="P462" s="195"/>
    </row>
    <row r="463" spans="1:16">
      <c r="A463" s="3"/>
      <c r="B463" s="3" t="str">
        <f>TEXT(Tabela2234[[#This Row],[DATA]],"mmmm")</f>
        <v>janeiro</v>
      </c>
      <c r="C463" s="2"/>
      <c r="D463" s="2"/>
      <c r="E463" s="2"/>
      <c r="F463" s="2"/>
      <c r="G463" s="173"/>
      <c r="H463" s="174"/>
      <c r="I463" s="218" t="e">
        <f>Tabela2234[[#This Row],[PESO TOTAL]]/Tabela2234[[#This Row],[QUANTIDADE]]</f>
        <v>#DIV/0!</v>
      </c>
      <c r="J463" s="2"/>
      <c r="K463" s="193"/>
      <c r="L463" s="8"/>
      <c r="M463" s="8"/>
      <c r="N463" s="8"/>
      <c r="O463" s="194"/>
      <c r="P463" s="195"/>
    </row>
    <row r="464" spans="1:16">
      <c r="A464" s="3"/>
      <c r="B464" s="3" t="str">
        <f>TEXT(Tabela2234[[#This Row],[DATA]],"mmmm")</f>
        <v>janeiro</v>
      </c>
      <c r="C464" s="2"/>
      <c r="D464" s="2"/>
      <c r="E464" s="2"/>
      <c r="F464" s="2"/>
      <c r="G464" s="173"/>
      <c r="H464" s="174"/>
      <c r="I464" s="218" t="e">
        <f>Tabela2234[[#This Row],[PESO TOTAL]]/Tabela2234[[#This Row],[QUANTIDADE]]</f>
        <v>#DIV/0!</v>
      </c>
      <c r="J464" s="2"/>
      <c r="K464" s="193"/>
      <c r="L464" s="8"/>
      <c r="M464" s="8"/>
      <c r="N464" s="8"/>
      <c r="O464" s="194"/>
      <c r="P464" s="195"/>
    </row>
    <row r="465" spans="1:16">
      <c r="A465" s="3"/>
      <c r="B465" s="3" t="str">
        <f>TEXT(Tabela2234[[#This Row],[DATA]],"mmmm")</f>
        <v>janeiro</v>
      </c>
      <c r="C465" s="2"/>
      <c r="D465" s="2"/>
      <c r="E465" s="2"/>
      <c r="F465" s="2"/>
      <c r="G465" s="173"/>
      <c r="H465" s="174"/>
      <c r="I465" s="218" t="e">
        <f>Tabela2234[[#This Row],[PESO TOTAL]]/Tabela2234[[#This Row],[QUANTIDADE]]</f>
        <v>#DIV/0!</v>
      </c>
      <c r="J465" s="2"/>
      <c r="K465" s="193"/>
      <c r="L465" s="8"/>
      <c r="M465" s="8"/>
      <c r="N465" s="8"/>
      <c r="O465" s="194"/>
      <c r="P465" s="195"/>
    </row>
    <row r="466" spans="1:16">
      <c r="A466" s="3"/>
      <c r="B466" s="3" t="str">
        <f>TEXT(Tabela2234[[#This Row],[DATA]],"mmmm")</f>
        <v>janeiro</v>
      </c>
      <c r="C466" s="2"/>
      <c r="D466" s="2"/>
      <c r="E466" s="2"/>
      <c r="F466" s="2"/>
      <c r="G466" s="173"/>
      <c r="H466" s="174"/>
      <c r="I466" s="218" t="e">
        <f>Tabela2234[[#This Row],[PESO TOTAL]]/Tabela2234[[#This Row],[QUANTIDADE]]</f>
        <v>#DIV/0!</v>
      </c>
      <c r="J466" s="2"/>
      <c r="K466" s="193"/>
      <c r="L466" s="8"/>
      <c r="M466" s="8"/>
      <c r="N466" s="8"/>
      <c r="O466" s="194"/>
      <c r="P466" s="195"/>
    </row>
    <row r="467" spans="1:16">
      <c r="A467" s="3"/>
      <c r="B467" s="3" t="str">
        <f>TEXT(Tabela2234[[#This Row],[DATA]],"mmmm")</f>
        <v>janeiro</v>
      </c>
      <c r="C467" s="2"/>
      <c r="D467" s="2"/>
      <c r="E467" s="2"/>
      <c r="F467" s="2"/>
      <c r="G467" s="173"/>
      <c r="H467" s="174"/>
      <c r="I467" s="218" t="e">
        <f>Tabela2234[[#This Row],[PESO TOTAL]]/Tabela2234[[#This Row],[QUANTIDADE]]</f>
        <v>#DIV/0!</v>
      </c>
      <c r="J467" s="2"/>
      <c r="K467" s="193"/>
      <c r="L467" s="8"/>
      <c r="M467" s="8"/>
      <c r="N467" s="8"/>
      <c r="O467" s="194"/>
      <c r="P467" s="195"/>
    </row>
    <row r="468" spans="1:16">
      <c r="A468" s="3"/>
      <c r="B468" s="3" t="str">
        <f>TEXT(Tabela2234[[#This Row],[DATA]],"mmmm")</f>
        <v>janeiro</v>
      </c>
      <c r="C468" s="2"/>
      <c r="D468" s="2"/>
      <c r="E468" s="2"/>
      <c r="F468" s="2"/>
      <c r="G468" s="173"/>
      <c r="H468" s="174"/>
      <c r="I468" s="218" t="e">
        <f>Tabela2234[[#This Row],[PESO TOTAL]]/Tabela2234[[#This Row],[QUANTIDADE]]</f>
        <v>#DIV/0!</v>
      </c>
      <c r="J468" s="2"/>
      <c r="K468" s="193"/>
      <c r="L468" s="8"/>
      <c r="M468" s="8"/>
      <c r="N468" s="8"/>
      <c r="O468" s="194"/>
      <c r="P468" s="195"/>
    </row>
    <row r="469" spans="1:16">
      <c r="A469" s="3"/>
      <c r="B469" s="3" t="str">
        <f>TEXT(Tabela2234[[#This Row],[DATA]],"mmmm")</f>
        <v>janeiro</v>
      </c>
      <c r="C469" s="2"/>
      <c r="D469" s="2"/>
      <c r="E469" s="2"/>
      <c r="F469" s="2"/>
      <c r="G469" s="173"/>
      <c r="H469" s="174"/>
      <c r="I469" s="218" t="e">
        <f>Tabela2234[[#This Row],[PESO TOTAL]]/Tabela2234[[#This Row],[QUANTIDADE]]</f>
        <v>#DIV/0!</v>
      </c>
      <c r="J469" s="2"/>
      <c r="K469" s="193"/>
      <c r="L469" s="8"/>
      <c r="M469" s="8"/>
      <c r="N469" s="8"/>
      <c r="O469" s="194"/>
      <c r="P469" s="195"/>
    </row>
    <row r="470" spans="1:16">
      <c r="A470" s="3"/>
      <c r="B470" s="3" t="str">
        <f>TEXT(Tabela2234[[#This Row],[DATA]],"mmmm")</f>
        <v>janeiro</v>
      </c>
      <c r="C470" s="2"/>
      <c r="D470" s="2"/>
      <c r="E470" s="2"/>
      <c r="F470" s="2"/>
      <c r="G470" s="173"/>
      <c r="H470" s="174"/>
      <c r="I470" s="218" t="e">
        <f>Tabela2234[[#This Row],[PESO TOTAL]]/Tabela2234[[#This Row],[QUANTIDADE]]</f>
        <v>#DIV/0!</v>
      </c>
      <c r="J470" s="2"/>
      <c r="K470" s="193"/>
      <c r="L470" s="8"/>
      <c r="M470" s="8"/>
      <c r="N470" s="8"/>
      <c r="O470" s="194"/>
      <c r="P470" s="195"/>
    </row>
    <row r="471" spans="1:16">
      <c r="A471" s="3"/>
      <c r="B471" s="3" t="str">
        <f>TEXT(Tabela2234[[#This Row],[DATA]],"mmmm")</f>
        <v>janeiro</v>
      </c>
      <c r="C471" s="2"/>
      <c r="D471" s="2"/>
      <c r="E471" s="2"/>
      <c r="F471" s="2"/>
      <c r="G471" s="173"/>
      <c r="H471" s="174"/>
      <c r="I471" s="218" t="e">
        <f>Tabela2234[[#This Row],[PESO TOTAL]]/Tabela2234[[#This Row],[QUANTIDADE]]</f>
        <v>#DIV/0!</v>
      </c>
      <c r="J471" s="2"/>
      <c r="K471" s="193"/>
      <c r="L471" s="8"/>
      <c r="M471" s="8"/>
      <c r="N471" s="8"/>
      <c r="O471" s="194"/>
      <c r="P471" s="195"/>
    </row>
    <row r="472" spans="1:16">
      <c r="A472" s="3"/>
      <c r="B472" s="3" t="str">
        <f>TEXT(Tabela2234[[#This Row],[DATA]],"mmmm")</f>
        <v>janeiro</v>
      </c>
      <c r="C472" s="2"/>
      <c r="D472" s="2"/>
      <c r="E472" s="2"/>
      <c r="F472" s="2"/>
      <c r="G472" s="173"/>
      <c r="H472" s="174"/>
      <c r="I472" s="218" t="e">
        <f>Tabela2234[[#This Row],[PESO TOTAL]]/Tabela2234[[#This Row],[QUANTIDADE]]</f>
        <v>#DIV/0!</v>
      </c>
      <c r="J472" s="2"/>
      <c r="K472" s="193"/>
      <c r="L472" s="8"/>
      <c r="M472" s="8"/>
      <c r="N472" s="8"/>
      <c r="O472" s="194"/>
      <c r="P472" s="195"/>
    </row>
    <row r="473" spans="1:16">
      <c r="A473" s="3"/>
      <c r="B473" s="3" t="str">
        <f>TEXT(Tabela2234[[#This Row],[DATA]],"mmmm")</f>
        <v>janeiro</v>
      </c>
      <c r="C473" s="2"/>
      <c r="D473" s="2"/>
      <c r="E473" s="2"/>
      <c r="F473" s="2"/>
      <c r="G473" s="173"/>
      <c r="H473" s="174"/>
      <c r="I473" s="218" t="e">
        <f>Tabela2234[[#This Row],[PESO TOTAL]]/Tabela2234[[#This Row],[QUANTIDADE]]</f>
        <v>#DIV/0!</v>
      </c>
      <c r="J473" s="2"/>
      <c r="K473" s="193"/>
      <c r="L473" s="8"/>
      <c r="M473" s="8"/>
      <c r="N473" s="8"/>
      <c r="O473" s="194"/>
      <c r="P473" s="195"/>
    </row>
    <row r="474" spans="1:16">
      <c r="A474" s="3"/>
      <c r="B474" s="3" t="str">
        <f>TEXT(Tabela2234[[#This Row],[DATA]],"mmmm")</f>
        <v>janeiro</v>
      </c>
      <c r="C474" s="2"/>
      <c r="D474" s="2"/>
      <c r="E474" s="2"/>
      <c r="F474" s="2"/>
      <c r="G474" s="173"/>
      <c r="H474" s="174"/>
      <c r="I474" s="218" t="e">
        <f>Tabela2234[[#This Row],[PESO TOTAL]]/Tabela2234[[#This Row],[QUANTIDADE]]</f>
        <v>#DIV/0!</v>
      </c>
      <c r="J474" s="2"/>
      <c r="K474" s="193"/>
      <c r="L474" s="8"/>
      <c r="M474" s="8"/>
      <c r="N474" s="8"/>
      <c r="O474" s="194"/>
      <c r="P474" s="195"/>
    </row>
    <row r="475" spans="1:16">
      <c r="A475" s="3"/>
      <c r="B475" s="3" t="str">
        <f>TEXT(Tabela2234[[#This Row],[DATA]],"mmmm")</f>
        <v>janeiro</v>
      </c>
      <c r="C475" s="2"/>
      <c r="D475" s="2"/>
      <c r="E475" s="2"/>
      <c r="F475" s="2"/>
      <c r="G475" s="173"/>
      <c r="H475" s="174"/>
      <c r="I475" s="218" t="e">
        <f>Tabela2234[[#This Row],[PESO TOTAL]]/Tabela2234[[#This Row],[QUANTIDADE]]</f>
        <v>#DIV/0!</v>
      </c>
      <c r="J475" s="2"/>
      <c r="K475" s="193"/>
      <c r="L475" s="8"/>
      <c r="M475" s="8"/>
      <c r="N475" s="8"/>
      <c r="O475" s="194"/>
      <c r="P475" s="195"/>
    </row>
    <row r="476" spans="1:16">
      <c r="A476" s="3"/>
      <c r="B476" s="3" t="str">
        <f>TEXT(Tabela2234[[#This Row],[DATA]],"mmmm")</f>
        <v>janeiro</v>
      </c>
      <c r="C476" s="2"/>
      <c r="D476" s="2"/>
      <c r="E476" s="2"/>
      <c r="F476" s="2"/>
      <c r="G476" s="173"/>
      <c r="H476" s="174"/>
      <c r="I476" s="218" t="e">
        <f>Tabela2234[[#This Row],[PESO TOTAL]]/Tabela2234[[#This Row],[QUANTIDADE]]</f>
        <v>#DIV/0!</v>
      </c>
      <c r="J476" s="2"/>
      <c r="K476" s="193"/>
      <c r="L476" s="8"/>
      <c r="M476" s="8"/>
      <c r="N476" s="8"/>
      <c r="O476" s="194"/>
      <c r="P476" s="195"/>
    </row>
    <row r="477" spans="1:16">
      <c r="A477" s="3"/>
      <c r="B477" s="3" t="str">
        <f>TEXT(Tabela2234[[#This Row],[DATA]],"mmmm")</f>
        <v>janeiro</v>
      </c>
      <c r="C477" s="2"/>
      <c r="D477" s="2"/>
      <c r="E477" s="2"/>
      <c r="F477" s="2"/>
      <c r="G477" s="173"/>
      <c r="H477" s="174"/>
      <c r="I477" s="218" t="e">
        <f>Tabela2234[[#This Row],[PESO TOTAL]]/Tabela2234[[#This Row],[QUANTIDADE]]</f>
        <v>#DIV/0!</v>
      </c>
      <c r="J477" s="2"/>
      <c r="K477" s="193"/>
      <c r="L477" s="8"/>
      <c r="M477" s="8"/>
      <c r="N477" s="8"/>
      <c r="O477" s="194"/>
      <c r="P477" s="195"/>
    </row>
    <row r="478" spans="1:16">
      <c r="A478" s="3"/>
      <c r="B478" s="3" t="str">
        <f>TEXT(Tabela2234[[#This Row],[DATA]],"mmmm")</f>
        <v>janeiro</v>
      </c>
      <c r="C478" s="2"/>
      <c r="D478" s="2"/>
      <c r="E478" s="2"/>
      <c r="F478" s="2"/>
      <c r="G478" s="173"/>
      <c r="H478" s="174"/>
      <c r="I478" s="218" t="e">
        <f>Tabela2234[[#This Row],[PESO TOTAL]]/Tabela2234[[#This Row],[QUANTIDADE]]</f>
        <v>#DIV/0!</v>
      </c>
      <c r="J478" s="2"/>
      <c r="K478" s="193"/>
      <c r="L478" s="8"/>
      <c r="M478" s="8"/>
      <c r="N478" s="8"/>
      <c r="O478" s="194"/>
      <c r="P478" s="195"/>
    </row>
    <row r="479" spans="1:16">
      <c r="A479" s="3"/>
      <c r="B479" s="3" t="str">
        <f>TEXT(Tabela2234[[#This Row],[DATA]],"mmmm")</f>
        <v>janeiro</v>
      </c>
      <c r="C479" s="2"/>
      <c r="D479" s="2"/>
      <c r="E479" s="2"/>
      <c r="F479" s="2"/>
      <c r="G479" s="173"/>
      <c r="H479" s="174"/>
      <c r="I479" s="218" t="e">
        <f>Tabela2234[[#This Row],[PESO TOTAL]]/Tabela2234[[#This Row],[QUANTIDADE]]</f>
        <v>#DIV/0!</v>
      </c>
      <c r="J479" s="2"/>
      <c r="K479" s="193"/>
      <c r="L479" s="8"/>
      <c r="M479" s="8"/>
      <c r="N479" s="8"/>
      <c r="O479" s="194"/>
      <c r="P479" s="195"/>
    </row>
    <row r="480" spans="1:16">
      <c r="A480" s="3"/>
      <c r="B480" s="3" t="str">
        <f>TEXT(Tabela2234[[#This Row],[DATA]],"mmmm")</f>
        <v>janeiro</v>
      </c>
      <c r="C480" s="2"/>
      <c r="D480" s="2"/>
      <c r="E480" s="2"/>
      <c r="F480" s="2"/>
      <c r="G480" s="173"/>
      <c r="H480" s="174"/>
      <c r="I480" s="218" t="e">
        <f>Tabela2234[[#This Row],[PESO TOTAL]]/Tabela2234[[#This Row],[QUANTIDADE]]</f>
        <v>#DIV/0!</v>
      </c>
      <c r="J480" s="2"/>
      <c r="K480" s="193"/>
      <c r="L480" s="8"/>
      <c r="M480" s="8"/>
      <c r="N480" s="8"/>
      <c r="O480" s="194"/>
      <c r="P480" s="195"/>
    </row>
    <row r="481" spans="1:16">
      <c r="A481" s="3"/>
      <c r="B481" s="3" t="str">
        <f>TEXT(Tabela2234[[#This Row],[DATA]],"mmmm")</f>
        <v>janeiro</v>
      </c>
      <c r="C481" s="2"/>
      <c r="D481" s="2"/>
      <c r="E481" s="2"/>
      <c r="F481" s="2"/>
      <c r="G481" s="173"/>
      <c r="H481" s="174"/>
      <c r="I481" s="218" t="e">
        <f>Tabela2234[[#This Row],[PESO TOTAL]]/Tabela2234[[#This Row],[QUANTIDADE]]</f>
        <v>#DIV/0!</v>
      </c>
      <c r="J481" s="2"/>
      <c r="K481" s="193"/>
      <c r="L481" s="8"/>
      <c r="M481" s="8"/>
      <c r="N481" s="8"/>
      <c r="O481" s="194"/>
      <c r="P481" s="195"/>
    </row>
    <row r="482" spans="1:16">
      <c r="A482" s="3"/>
      <c r="B482" s="3" t="str">
        <f>TEXT(Tabela2234[[#This Row],[DATA]],"mmmm")</f>
        <v>janeiro</v>
      </c>
      <c r="C482" s="2"/>
      <c r="D482" s="2"/>
      <c r="E482" s="2"/>
      <c r="F482" s="2"/>
      <c r="G482" s="173"/>
      <c r="H482" s="174"/>
      <c r="I482" s="218" t="e">
        <f>Tabela2234[[#This Row],[PESO TOTAL]]/Tabela2234[[#This Row],[QUANTIDADE]]</f>
        <v>#DIV/0!</v>
      </c>
      <c r="J482" s="2"/>
      <c r="K482" s="193"/>
      <c r="L482" s="8"/>
      <c r="M482" s="8"/>
      <c r="N482" s="8"/>
      <c r="O482" s="194"/>
      <c r="P482" s="195"/>
    </row>
    <row r="483" spans="1:16">
      <c r="A483" s="3"/>
      <c r="B483" s="3" t="str">
        <f>TEXT(Tabela2234[[#This Row],[DATA]],"mmmm")</f>
        <v>janeiro</v>
      </c>
      <c r="C483" s="2"/>
      <c r="D483" s="2"/>
      <c r="E483" s="2"/>
      <c r="F483" s="2"/>
      <c r="G483" s="173"/>
      <c r="H483" s="174"/>
      <c r="I483" s="218" t="e">
        <f>Tabela2234[[#This Row],[PESO TOTAL]]/Tabela2234[[#This Row],[QUANTIDADE]]</f>
        <v>#DIV/0!</v>
      </c>
      <c r="J483" s="2"/>
      <c r="K483" s="193"/>
      <c r="L483" s="8"/>
      <c r="M483" s="8"/>
      <c r="N483" s="8"/>
      <c r="O483" s="194"/>
      <c r="P483" s="195"/>
    </row>
    <row r="484" spans="1:16">
      <c r="A484" s="3"/>
      <c r="B484" s="3" t="str">
        <f>TEXT(Tabela2234[[#This Row],[DATA]],"mmmm")</f>
        <v>janeiro</v>
      </c>
      <c r="C484" s="2"/>
      <c r="D484" s="2"/>
      <c r="E484" s="2"/>
      <c r="F484" s="2"/>
      <c r="G484" s="173"/>
      <c r="H484" s="174"/>
      <c r="I484" s="218" t="e">
        <f>Tabela2234[[#This Row],[PESO TOTAL]]/Tabela2234[[#This Row],[QUANTIDADE]]</f>
        <v>#DIV/0!</v>
      </c>
      <c r="J484" s="2"/>
      <c r="K484" s="193"/>
      <c r="L484" s="8"/>
      <c r="M484" s="8"/>
      <c r="N484" s="8"/>
      <c r="O484" s="194"/>
      <c r="P484" s="195"/>
    </row>
    <row r="485" spans="1:16">
      <c r="A485" s="3"/>
      <c r="B485" s="3" t="str">
        <f>TEXT(Tabela2234[[#This Row],[DATA]],"mmmm")</f>
        <v>janeiro</v>
      </c>
      <c r="C485" s="2"/>
      <c r="D485" s="2"/>
      <c r="E485" s="2"/>
      <c r="F485" s="2"/>
      <c r="G485" s="173"/>
      <c r="H485" s="174"/>
      <c r="I485" s="218" t="e">
        <f>Tabela2234[[#This Row],[PESO TOTAL]]/Tabela2234[[#This Row],[QUANTIDADE]]</f>
        <v>#DIV/0!</v>
      </c>
      <c r="J485" s="2"/>
      <c r="K485" s="193"/>
      <c r="L485" s="8"/>
      <c r="M485" s="8"/>
      <c r="N485" s="8"/>
      <c r="O485" s="194"/>
      <c r="P485" s="195"/>
    </row>
    <row r="486" spans="1:16">
      <c r="A486" s="3"/>
      <c r="B486" s="3" t="str">
        <f>TEXT(Tabela2234[[#This Row],[DATA]],"mmmm")</f>
        <v>janeiro</v>
      </c>
      <c r="C486" s="2"/>
      <c r="D486" s="2"/>
      <c r="E486" s="2"/>
      <c r="F486" s="2"/>
      <c r="G486" s="173"/>
      <c r="H486" s="174"/>
      <c r="I486" s="218" t="e">
        <f>Tabela2234[[#This Row],[PESO TOTAL]]/Tabela2234[[#This Row],[QUANTIDADE]]</f>
        <v>#DIV/0!</v>
      </c>
      <c r="J486" s="2"/>
      <c r="K486" s="193"/>
      <c r="L486" s="8"/>
      <c r="M486" s="8"/>
      <c r="N486" s="8"/>
      <c r="O486" s="194"/>
      <c r="P486" s="195"/>
    </row>
    <row r="487" spans="1:16">
      <c r="A487" s="3"/>
      <c r="B487" s="3" t="str">
        <f>TEXT(Tabela2234[[#This Row],[DATA]],"mmmm")</f>
        <v>janeiro</v>
      </c>
      <c r="C487" s="2"/>
      <c r="D487" s="2"/>
      <c r="E487" s="2"/>
      <c r="F487" s="2"/>
      <c r="G487" s="173"/>
      <c r="H487" s="174"/>
      <c r="I487" s="218" t="e">
        <f>Tabela2234[[#This Row],[PESO TOTAL]]/Tabela2234[[#This Row],[QUANTIDADE]]</f>
        <v>#DIV/0!</v>
      </c>
      <c r="J487" s="2"/>
      <c r="K487" s="193"/>
      <c r="L487" s="8"/>
      <c r="M487" s="8"/>
      <c r="N487" s="8"/>
      <c r="O487" s="194"/>
      <c r="P487" s="195"/>
    </row>
    <row r="488" spans="1:16">
      <c r="A488" s="3"/>
      <c r="B488" s="3" t="str">
        <f>TEXT(Tabela2234[[#This Row],[DATA]],"mmmm")</f>
        <v>janeiro</v>
      </c>
      <c r="C488" s="2"/>
      <c r="D488" s="2"/>
      <c r="E488" s="2"/>
      <c r="F488" s="2"/>
      <c r="G488" s="173"/>
      <c r="H488" s="174"/>
      <c r="I488" s="218" t="e">
        <f>Tabela2234[[#This Row],[PESO TOTAL]]/Tabela2234[[#This Row],[QUANTIDADE]]</f>
        <v>#DIV/0!</v>
      </c>
      <c r="J488" s="2"/>
      <c r="K488" s="193"/>
      <c r="L488" s="8"/>
      <c r="M488" s="8"/>
      <c r="N488" s="8"/>
      <c r="O488" s="194"/>
      <c r="P488" s="195"/>
    </row>
    <row r="489" spans="1:16">
      <c r="A489" s="3"/>
      <c r="B489" s="3" t="str">
        <f>TEXT(Tabela2234[[#This Row],[DATA]],"mmmm")</f>
        <v>janeiro</v>
      </c>
      <c r="C489" s="2"/>
      <c r="D489" s="2"/>
      <c r="E489" s="2"/>
      <c r="F489" s="2"/>
      <c r="G489" s="173"/>
      <c r="H489" s="174"/>
      <c r="I489" s="218" t="e">
        <f>Tabela2234[[#This Row],[PESO TOTAL]]/Tabela2234[[#This Row],[QUANTIDADE]]</f>
        <v>#DIV/0!</v>
      </c>
      <c r="J489" s="2"/>
      <c r="K489" s="193"/>
      <c r="L489" s="8"/>
      <c r="M489" s="8"/>
      <c r="N489" s="8"/>
      <c r="O489" s="194"/>
      <c r="P489" s="195"/>
    </row>
    <row r="490" spans="1:16">
      <c r="A490" s="3"/>
      <c r="B490" s="3" t="str">
        <f>TEXT(Tabela2234[[#This Row],[DATA]],"mmmm")</f>
        <v>janeiro</v>
      </c>
      <c r="C490" s="2"/>
      <c r="D490" s="2"/>
      <c r="E490" s="2"/>
      <c r="F490" s="2"/>
      <c r="G490" s="173"/>
      <c r="H490" s="174"/>
      <c r="I490" s="218" t="e">
        <f>Tabela2234[[#This Row],[PESO TOTAL]]/Tabela2234[[#This Row],[QUANTIDADE]]</f>
        <v>#DIV/0!</v>
      </c>
      <c r="J490" s="2"/>
      <c r="K490" s="193"/>
      <c r="L490" s="8"/>
      <c r="M490" s="8"/>
      <c r="N490" s="8"/>
      <c r="O490" s="194"/>
      <c r="P490" s="195"/>
    </row>
    <row r="491" spans="1:16">
      <c r="A491" s="3"/>
      <c r="B491" s="3" t="str">
        <f>TEXT(Tabela2234[[#This Row],[DATA]],"mmmm")</f>
        <v>janeiro</v>
      </c>
      <c r="C491" s="2"/>
      <c r="D491" s="2"/>
      <c r="E491" s="2"/>
      <c r="F491" s="2"/>
      <c r="G491" s="173"/>
      <c r="H491" s="174"/>
      <c r="I491" s="218" t="e">
        <f>Tabela2234[[#This Row],[PESO TOTAL]]/Tabela2234[[#This Row],[QUANTIDADE]]</f>
        <v>#DIV/0!</v>
      </c>
      <c r="J491" s="2"/>
      <c r="K491" s="193"/>
      <c r="L491" s="8"/>
      <c r="M491" s="8"/>
      <c r="N491" s="8"/>
      <c r="O491" s="194"/>
      <c r="P491" s="195"/>
    </row>
    <row r="492" spans="1:16">
      <c r="A492" s="3"/>
      <c r="B492" s="3" t="str">
        <f>TEXT(Tabela2234[[#This Row],[DATA]],"mmmm")</f>
        <v>janeiro</v>
      </c>
      <c r="C492" s="2"/>
      <c r="D492" s="2"/>
      <c r="E492" s="2"/>
      <c r="F492" s="2"/>
      <c r="G492" s="173"/>
      <c r="H492" s="174"/>
      <c r="I492" s="218" t="e">
        <f>Tabela2234[[#This Row],[PESO TOTAL]]/Tabela2234[[#This Row],[QUANTIDADE]]</f>
        <v>#DIV/0!</v>
      </c>
      <c r="J492" s="2"/>
      <c r="K492" s="193"/>
      <c r="L492" s="8"/>
      <c r="M492" s="8"/>
      <c r="N492" s="8"/>
      <c r="O492" s="194"/>
      <c r="P492" s="195"/>
    </row>
    <row r="493" spans="1:16">
      <c r="A493" s="3"/>
      <c r="B493" s="3" t="str">
        <f>TEXT(Tabela2234[[#This Row],[DATA]],"mmmm")</f>
        <v>janeiro</v>
      </c>
      <c r="C493" s="2"/>
      <c r="D493" s="2"/>
      <c r="E493" s="2"/>
      <c r="F493" s="2"/>
      <c r="G493" s="173"/>
      <c r="H493" s="174"/>
      <c r="I493" s="218" t="e">
        <f>Tabela2234[[#This Row],[PESO TOTAL]]/Tabela2234[[#This Row],[QUANTIDADE]]</f>
        <v>#DIV/0!</v>
      </c>
      <c r="J493" s="2"/>
      <c r="K493" s="193"/>
      <c r="L493" s="8"/>
      <c r="M493" s="8"/>
      <c r="N493" s="8"/>
      <c r="O493" s="194"/>
      <c r="P493" s="195"/>
    </row>
    <row r="494" spans="1:16">
      <c r="A494" s="3"/>
      <c r="B494" s="3" t="str">
        <f>TEXT(Tabela2234[[#This Row],[DATA]],"mmmm")</f>
        <v>janeiro</v>
      </c>
      <c r="C494" s="2"/>
      <c r="D494" s="2"/>
      <c r="E494" s="2"/>
      <c r="F494" s="2"/>
      <c r="G494" s="173"/>
      <c r="H494" s="174"/>
      <c r="I494" s="218" t="e">
        <f>Tabela2234[[#This Row],[PESO TOTAL]]/Tabela2234[[#This Row],[QUANTIDADE]]</f>
        <v>#DIV/0!</v>
      </c>
      <c r="J494" s="2"/>
      <c r="K494" s="193"/>
      <c r="L494" s="8"/>
      <c r="M494" s="8"/>
      <c r="N494" s="8"/>
      <c r="O494" s="194"/>
      <c r="P494" s="195"/>
    </row>
    <row r="495" spans="1:16">
      <c r="A495" s="3"/>
      <c r="B495" s="3" t="str">
        <f>TEXT(Tabela2234[[#This Row],[DATA]],"mmmm")</f>
        <v>janeiro</v>
      </c>
      <c r="C495" s="2"/>
      <c r="D495" s="2"/>
      <c r="E495" s="2"/>
      <c r="F495" s="2"/>
      <c r="G495" s="173"/>
      <c r="H495" s="174"/>
      <c r="I495" s="218" t="e">
        <f>Tabela2234[[#This Row],[PESO TOTAL]]/Tabela2234[[#This Row],[QUANTIDADE]]</f>
        <v>#DIV/0!</v>
      </c>
      <c r="J495" s="2"/>
      <c r="K495" s="193"/>
      <c r="L495" s="8"/>
      <c r="M495" s="8"/>
      <c r="N495" s="8"/>
      <c r="O495" s="194"/>
      <c r="P495" s="195"/>
    </row>
    <row r="496" spans="1:16">
      <c r="A496" s="3"/>
      <c r="B496" s="3" t="str">
        <f>TEXT(Tabela2234[[#This Row],[DATA]],"mmmm")</f>
        <v>janeiro</v>
      </c>
      <c r="C496" s="2"/>
      <c r="D496" s="2"/>
      <c r="E496" s="2"/>
      <c r="F496" s="2"/>
      <c r="G496" s="173"/>
      <c r="H496" s="174"/>
      <c r="I496" s="218" t="e">
        <f>Tabela2234[[#This Row],[PESO TOTAL]]/Tabela2234[[#This Row],[QUANTIDADE]]</f>
        <v>#DIV/0!</v>
      </c>
      <c r="J496" s="2"/>
      <c r="K496" s="193"/>
      <c r="L496" s="8"/>
      <c r="M496" s="8"/>
      <c r="N496" s="8"/>
      <c r="O496" s="194"/>
      <c r="P496" s="195"/>
    </row>
    <row r="497" spans="1:16">
      <c r="A497" s="3"/>
      <c r="B497" s="3" t="str">
        <f>TEXT(Tabela2234[[#This Row],[DATA]],"mmmm")</f>
        <v>janeiro</v>
      </c>
      <c r="C497" s="2"/>
      <c r="D497" s="2"/>
      <c r="E497" s="2"/>
      <c r="F497" s="2"/>
      <c r="G497" s="173"/>
      <c r="H497" s="174"/>
      <c r="I497" s="218" t="e">
        <f>Tabela2234[[#This Row],[PESO TOTAL]]/Tabela2234[[#This Row],[QUANTIDADE]]</f>
        <v>#DIV/0!</v>
      </c>
      <c r="J497" s="2"/>
      <c r="K497" s="193"/>
      <c r="L497" s="8"/>
      <c r="M497" s="8"/>
      <c r="N497" s="8"/>
      <c r="O497" s="194"/>
      <c r="P497" s="195"/>
    </row>
    <row r="498" spans="1:16">
      <c r="A498" s="3"/>
      <c r="B498" s="3" t="str">
        <f>TEXT(Tabela2234[[#This Row],[DATA]],"mmmm")</f>
        <v>janeiro</v>
      </c>
      <c r="C498" s="2"/>
      <c r="D498" s="2"/>
      <c r="E498" s="2"/>
      <c r="F498" s="2"/>
      <c r="G498" s="173"/>
      <c r="H498" s="174"/>
      <c r="I498" s="218" t="e">
        <f>Tabela2234[[#This Row],[PESO TOTAL]]/Tabela2234[[#This Row],[QUANTIDADE]]</f>
        <v>#DIV/0!</v>
      </c>
      <c r="J498" s="2"/>
      <c r="K498" s="193"/>
      <c r="L498" s="8"/>
      <c r="M498" s="8"/>
      <c r="N498" s="8"/>
      <c r="O498" s="194"/>
      <c r="P498" s="195"/>
    </row>
    <row r="499" spans="1:16">
      <c r="A499" s="3"/>
      <c r="B499" s="3" t="str">
        <f>TEXT(Tabela2234[[#This Row],[DATA]],"mmmm")</f>
        <v>janeiro</v>
      </c>
      <c r="C499" s="2"/>
      <c r="D499" s="2"/>
      <c r="E499" s="2"/>
      <c r="F499" s="2"/>
      <c r="G499" s="173"/>
      <c r="H499" s="174"/>
      <c r="I499" s="218" t="e">
        <f>Tabela2234[[#This Row],[PESO TOTAL]]/Tabela2234[[#This Row],[QUANTIDADE]]</f>
        <v>#DIV/0!</v>
      </c>
      <c r="J499" s="2"/>
      <c r="K499" s="193"/>
      <c r="L499" s="8"/>
      <c r="M499" s="8"/>
      <c r="N499" s="8"/>
      <c r="O499" s="194"/>
      <c r="P499" s="195"/>
    </row>
    <row r="500" spans="1:16">
      <c r="A500" s="3"/>
      <c r="B500" s="3" t="str">
        <f>TEXT(Tabela2234[[#This Row],[DATA]],"mmmm")</f>
        <v>janeiro</v>
      </c>
      <c r="C500" s="2"/>
      <c r="D500" s="2"/>
      <c r="E500" s="2"/>
      <c r="F500" s="2"/>
      <c r="G500" s="173"/>
      <c r="H500" s="174"/>
      <c r="I500" s="218" t="e">
        <f>Tabela2234[[#This Row],[PESO TOTAL]]/Tabela2234[[#This Row],[QUANTIDADE]]</f>
        <v>#DIV/0!</v>
      </c>
      <c r="J500" s="2"/>
      <c r="K500" s="193"/>
      <c r="L500" s="8"/>
      <c r="M500" s="8"/>
      <c r="N500" s="8"/>
      <c r="O500" s="194"/>
      <c r="P500" s="195"/>
    </row>
    <row r="501" spans="1:16">
      <c r="A501" s="3"/>
      <c r="B501" s="3" t="str">
        <f>TEXT(Tabela2234[[#This Row],[DATA]],"mmmm")</f>
        <v>janeiro</v>
      </c>
      <c r="C501" s="2"/>
      <c r="D501" s="2"/>
      <c r="E501" s="2"/>
      <c r="F501" s="2"/>
      <c r="G501" s="173"/>
      <c r="H501" s="174"/>
      <c r="I501" s="218" t="e">
        <f>Tabela2234[[#This Row],[PESO TOTAL]]/Tabela2234[[#This Row],[QUANTIDADE]]</f>
        <v>#DIV/0!</v>
      </c>
      <c r="J501" s="2"/>
      <c r="K501" s="193"/>
      <c r="L501" s="8"/>
      <c r="M501" s="8"/>
      <c r="N501" s="8"/>
      <c r="O501" s="194"/>
      <c r="P501" s="195"/>
    </row>
    <row r="502" spans="1:16">
      <c r="A502" s="3"/>
      <c r="B502" s="3" t="str">
        <f>TEXT(Tabela2234[[#This Row],[DATA]],"mmmm")</f>
        <v>janeiro</v>
      </c>
      <c r="C502" s="2"/>
      <c r="D502" s="2"/>
      <c r="E502" s="2"/>
      <c r="F502" s="2"/>
      <c r="G502" s="173"/>
      <c r="H502" s="174"/>
      <c r="I502" s="218" t="e">
        <f>Tabela2234[[#This Row],[PESO TOTAL]]/Tabela2234[[#This Row],[QUANTIDADE]]</f>
        <v>#DIV/0!</v>
      </c>
      <c r="J502" s="2"/>
      <c r="K502" s="193"/>
      <c r="L502" s="8"/>
      <c r="M502" s="8"/>
      <c r="N502" s="8"/>
      <c r="O502" s="194"/>
      <c r="P502" s="195"/>
    </row>
    <row r="503" spans="1:16">
      <c r="A503" s="3"/>
      <c r="B503" s="3" t="str">
        <f>TEXT(Tabela2234[[#This Row],[DATA]],"mmmm")</f>
        <v>janeiro</v>
      </c>
      <c r="C503" s="2"/>
      <c r="D503" s="2"/>
      <c r="E503" s="2"/>
      <c r="F503" s="2"/>
      <c r="G503" s="173"/>
      <c r="H503" s="174"/>
      <c r="I503" s="218" t="e">
        <f>Tabela2234[[#This Row],[PESO TOTAL]]/Tabela2234[[#This Row],[QUANTIDADE]]</f>
        <v>#DIV/0!</v>
      </c>
      <c r="J503" s="2"/>
      <c r="K503" s="193"/>
      <c r="L503" s="8"/>
      <c r="M503" s="8"/>
      <c r="N503" s="8"/>
      <c r="O503" s="194"/>
      <c r="P503" s="195"/>
    </row>
    <row r="504" spans="1:16">
      <c r="A504" s="3"/>
      <c r="B504" s="3" t="str">
        <f>TEXT(Tabela2234[[#This Row],[DATA]],"mmmm")</f>
        <v>janeiro</v>
      </c>
      <c r="C504" s="2"/>
      <c r="D504" s="2"/>
      <c r="E504" s="2"/>
      <c r="F504" s="2"/>
      <c r="G504" s="173"/>
      <c r="H504" s="174"/>
      <c r="I504" s="218" t="e">
        <f>Tabela2234[[#This Row],[PESO TOTAL]]/Tabela2234[[#This Row],[QUANTIDADE]]</f>
        <v>#DIV/0!</v>
      </c>
      <c r="J504" s="2"/>
      <c r="K504" s="193"/>
      <c r="L504" s="8"/>
      <c r="M504" s="8"/>
      <c r="N504" s="8"/>
      <c r="O504" s="194"/>
      <c r="P504" s="195"/>
    </row>
    <row r="505" spans="1:16">
      <c r="A505" s="3"/>
      <c r="B505" s="3" t="str">
        <f>TEXT(Tabela2234[[#This Row],[DATA]],"mmmm")</f>
        <v>janeiro</v>
      </c>
      <c r="C505" s="2"/>
      <c r="D505" s="2"/>
      <c r="E505" s="2"/>
      <c r="F505" s="2"/>
      <c r="G505" s="173"/>
      <c r="H505" s="174"/>
      <c r="I505" s="218" t="e">
        <f>Tabela2234[[#This Row],[PESO TOTAL]]/Tabela2234[[#This Row],[QUANTIDADE]]</f>
        <v>#DIV/0!</v>
      </c>
      <c r="J505" s="2"/>
      <c r="K505" s="193"/>
      <c r="L505" s="8"/>
      <c r="M505" s="8"/>
      <c r="N505" s="8"/>
      <c r="O505" s="194"/>
      <c r="P505" s="195"/>
    </row>
    <row r="506" spans="1:16">
      <c r="A506" s="3"/>
      <c r="B506" s="3" t="str">
        <f>TEXT(Tabela2234[[#This Row],[DATA]],"mmmm")</f>
        <v>janeiro</v>
      </c>
      <c r="C506" s="2"/>
      <c r="D506" s="2"/>
      <c r="E506" s="2"/>
      <c r="F506" s="2"/>
      <c r="G506" s="173"/>
      <c r="H506" s="174"/>
      <c r="I506" s="218" t="e">
        <f>Tabela2234[[#This Row],[PESO TOTAL]]/Tabela2234[[#This Row],[QUANTIDADE]]</f>
        <v>#DIV/0!</v>
      </c>
      <c r="J506" s="2"/>
      <c r="K506" s="193"/>
      <c r="L506" s="8"/>
      <c r="M506" s="8"/>
      <c r="N506" s="8"/>
      <c r="O506" s="194"/>
      <c r="P506" s="195"/>
    </row>
    <row r="507" spans="1:16">
      <c r="A507" s="3"/>
      <c r="B507" s="3" t="str">
        <f>TEXT(Tabela2234[[#This Row],[DATA]],"mmmm")</f>
        <v>janeiro</v>
      </c>
      <c r="C507" s="2"/>
      <c r="D507" s="2"/>
      <c r="E507" s="2"/>
      <c r="F507" s="2"/>
      <c r="G507" s="173"/>
      <c r="H507" s="174"/>
      <c r="I507" s="218" t="e">
        <f>Tabela2234[[#This Row],[PESO TOTAL]]/Tabela2234[[#This Row],[QUANTIDADE]]</f>
        <v>#DIV/0!</v>
      </c>
      <c r="J507" s="2"/>
      <c r="K507" s="193"/>
      <c r="L507" s="8"/>
      <c r="M507" s="8"/>
      <c r="N507" s="8"/>
      <c r="O507" s="194"/>
      <c r="P507" s="195"/>
    </row>
    <row r="508" spans="1:16">
      <c r="A508" s="3"/>
      <c r="B508" s="3" t="str">
        <f>TEXT(Tabela2234[[#This Row],[DATA]],"mmmm")</f>
        <v>janeiro</v>
      </c>
      <c r="C508" s="2"/>
      <c r="D508" s="2"/>
      <c r="E508" s="2"/>
      <c r="F508" s="2"/>
      <c r="G508" s="173"/>
      <c r="H508" s="174"/>
      <c r="I508" s="218" t="e">
        <f>Tabela2234[[#This Row],[PESO TOTAL]]/Tabela2234[[#This Row],[QUANTIDADE]]</f>
        <v>#DIV/0!</v>
      </c>
      <c r="J508" s="2"/>
      <c r="K508" s="193"/>
      <c r="L508" s="8"/>
      <c r="M508" s="8"/>
      <c r="N508" s="8"/>
      <c r="O508" s="194"/>
      <c r="P508" s="195"/>
    </row>
    <row r="509" spans="1:16">
      <c r="A509" s="3"/>
      <c r="B509" s="3" t="str">
        <f>TEXT(Tabela2234[[#This Row],[DATA]],"mmmm")</f>
        <v>janeiro</v>
      </c>
      <c r="C509" s="2"/>
      <c r="D509" s="2"/>
      <c r="E509" s="2"/>
      <c r="F509" s="2"/>
      <c r="G509" s="173"/>
      <c r="H509" s="174"/>
      <c r="I509" s="218" t="e">
        <f>Tabela2234[[#This Row],[PESO TOTAL]]/Tabela2234[[#This Row],[QUANTIDADE]]</f>
        <v>#DIV/0!</v>
      </c>
      <c r="J509" s="2"/>
      <c r="K509" s="193"/>
      <c r="L509" s="8"/>
      <c r="M509" s="8"/>
      <c r="N509" s="8"/>
      <c r="O509" s="194"/>
      <c r="P509" s="195"/>
    </row>
    <row r="510" spans="1:16">
      <c r="A510" s="3"/>
      <c r="B510" s="3" t="str">
        <f>TEXT(Tabela2234[[#This Row],[DATA]],"mmmm")</f>
        <v>janeiro</v>
      </c>
      <c r="C510" s="2"/>
      <c r="D510" s="2"/>
      <c r="E510" s="2"/>
      <c r="F510" s="2"/>
      <c r="G510" s="173"/>
      <c r="H510" s="174"/>
      <c r="I510" s="218" t="e">
        <f>Tabela2234[[#This Row],[PESO TOTAL]]/Tabela2234[[#This Row],[QUANTIDADE]]</f>
        <v>#DIV/0!</v>
      </c>
      <c r="J510" s="2"/>
      <c r="K510" s="193"/>
      <c r="L510" s="8"/>
      <c r="M510" s="8"/>
      <c r="N510" s="8"/>
      <c r="O510" s="194"/>
      <c r="P510" s="195"/>
    </row>
    <row r="511" spans="1:16">
      <c r="A511" s="3"/>
      <c r="B511" s="3" t="str">
        <f>TEXT(Tabela2234[[#This Row],[DATA]],"mmmm")</f>
        <v>janeiro</v>
      </c>
      <c r="C511" s="2"/>
      <c r="D511" s="2"/>
      <c r="E511" s="2"/>
      <c r="F511" s="2"/>
      <c r="G511" s="173"/>
      <c r="H511" s="174"/>
      <c r="I511" s="218" t="e">
        <f>Tabela2234[[#This Row],[PESO TOTAL]]/Tabela2234[[#This Row],[QUANTIDADE]]</f>
        <v>#DIV/0!</v>
      </c>
      <c r="J511" s="2"/>
      <c r="K511" s="193"/>
      <c r="L511" s="8"/>
      <c r="M511" s="8"/>
      <c r="N511" s="8"/>
      <c r="O511" s="194"/>
      <c r="P511" s="195"/>
    </row>
    <row r="512" spans="1:16">
      <c r="A512" s="3"/>
      <c r="B512" s="3" t="str">
        <f>TEXT(Tabela2234[[#This Row],[DATA]],"mmmm")</f>
        <v>janeiro</v>
      </c>
      <c r="C512" s="2"/>
      <c r="D512" s="2"/>
      <c r="E512" s="2"/>
      <c r="F512" s="2"/>
      <c r="G512" s="173"/>
      <c r="H512" s="174"/>
      <c r="I512" s="218" t="e">
        <f>Tabela2234[[#This Row],[PESO TOTAL]]/Tabela2234[[#This Row],[QUANTIDADE]]</f>
        <v>#DIV/0!</v>
      </c>
      <c r="J512" s="2"/>
      <c r="K512" s="193"/>
      <c r="L512" s="8"/>
      <c r="M512" s="8"/>
      <c r="N512" s="8"/>
      <c r="O512" s="194"/>
      <c r="P512" s="195"/>
    </row>
    <row r="513" spans="1:16">
      <c r="A513" s="3"/>
      <c r="B513" s="3" t="str">
        <f>TEXT(Tabela2234[[#This Row],[DATA]],"mmmm")</f>
        <v>janeiro</v>
      </c>
      <c r="C513" s="2"/>
      <c r="D513" s="2"/>
      <c r="E513" s="2"/>
      <c r="F513" s="2"/>
      <c r="G513" s="173"/>
      <c r="H513" s="174"/>
      <c r="I513" s="218" t="e">
        <f>Tabela2234[[#This Row],[PESO TOTAL]]/Tabela2234[[#This Row],[QUANTIDADE]]</f>
        <v>#DIV/0!</v>
      </c>
      <c r="J513" s="2"/>
      <c r="K513" s="193"/>
      <c r="L513" s="8"/>
      <c r="M513" s="8"/>
      <c r="N513" s="8"/>
      <c r="O513" s="194"/>
      <c r="P513" s="195"/>
    </row>
    <row r="514" spans="1:16">
      <c r="A514" s="3"/>
      <c r="B514" s="3" t="str">
        <f>TEXT(Tabela2234[[#This Row],[DATA]],"mmmm")</f>
        <v>janeiro</v>
      </c>
      <c r="C514" s="2"/>
      <c r="D514" s="2"/>
      <c r="E514" s="2"/>
      <c r="F514" s="2"/>
      <c r="G514" s="173"/>
      <c r="H514" s="174"/>
      <c r="I514" s="218" t="e">
        <f>Tabela2234[[#This Row],[PESO TOTAL]]/Tabela2234[[#This Row],[QUANTIDADE]]</f>
        <v>#DIV/0!</v>
      </c>
      <c r="J514" s="2"/>
      <c r="K514" s="193"/>
      <c r="L514" s="8"/>
      <c r="M514" s="8"/>
      <c r="N514" s="8"/>
      <c r="O514" s="194"/>
      <c r="P514" s="195"/>
    </row>
    <row r="515" spans="1:16">
      <c r="A515" s="3"/>
      <c r="B515" s="3" t="str">
        <f>TEXT(Tabela2234[[#This Row],[DATA]],"mmmm")</f>
        <v>janeiro</v>
      </c>
      <c r="C515" s="2"/>
      <c r="D515" s="2"/>
      <c r="E515" s="2"/>
      <c r="F515" s="2"/>
      <c r="G515" s="173"/>
      <c r="H515" s="174"/>
      <c r="I515" s="218" t="e">
        <f>Tabela2234[[#This Row],[PESO TOTAL]]/Tabela2234[[#This Row],[QUANTIDADE]]</f>
        <v>#DIV/0!</v>
      </c>
      <c r="J515" s="2"/>
      <c r="K515" s="193"/>
      <c r="L515" s="8"/>
      <c r="M515" s="8"/>
      <c r="N515" s="8"/>
      <c r="O515" s="194"/>
      <c r="P515" s="195"/>
    </row>
    <row r="516" spans="1:16">
      <c r="A516" s="3"/>
      <c r="B516" s="3" t="str">
        <f>TEXT(Tabela2234[[#This Row],[DATA]],"mmmm")</f>
        <v>janeiro</v>
      </c>
      <c r="C516" s="2"/>
      <c r="D516" s="2"/>
      <c r="E516" s="2"/>
      <c r="F516" s="2"/>
      <c r="G516" s="173"/>
      <c r="H516" s="174"/>
      <c r="I516" s="218" t="e">
        <f>Tabela2234[[#This Row],[PESO TOTAL]]/Tabela2234[[#This Row],[QUANTIDADE]]</f>
        <v>#DIV/0!</v>
      </c>
      <c r="J516" s="2"/>
      <c r="K516" s="193"/>
      <c r="L516" s="8"/>
      <c r="M516" s="8"/>
      <c r="N516" s="8"/>
      <c r="O516" s="194"/>
      <c r="P516" s="195"/>
    </row>
    <row r="517" spans="1:16">
      <c r="A517" s="3"/>
      <c r="B517" s="3" t="str">
        <f>TEXT(Tabela2234[[#This Row],[DATA]],"mmmm")</f>
        <v>janeiro</v>
      </c>
      <c r="C517" s="2"/>
      <c r="D517" s="2"/>
      <c r="E517" s="2"/>
      <c r="F517" s="2"/>
      <c r="G517" s="173"/>
      <c r="H517" s="174"/>
      <c r="I517" s="218" t="e">
        <f>Tabela2234[[#This Row],[PESO TOTAL]]/Tabela2234[[#This Row],[QUANTIDADE]]</f>
        <v>#DIV/0!</v>
      </c>
      <c r="J517" s="2"/>
      <c r="K517" s="193"/>
      <c r="L517" s="8"/>
      <c r="M517" s="8"/>
      <c r="N517" s="8"/>
      <c r="O517" s="194"/>
      <c r="P517" s="195"/>
    </row>
    <row r="518" spans="1:16">
      <c r="A518" s="3"/>
      <c r="B518" s="3" t="str">
        <f>TEXT(Tabela2234[[#This Row],[DATA]],"mmmm")</f>
        <v>janeiro</v>
      </c>
      <c r="C518" s="2"/>
      <c r="D518" s="2"/>
      <c r="E518" s="2"/>
      <c r="F518" s="2"/>
      <c r="G518" s="173"/>
      <c r="H518" s="174"/>
      <c r="I518" s="218" t="e">
        <f>Tabela2234[[#This Row],[PESO TOTAL]]/Tabela2234[[#This Row],[QUANTIDADE]]</f>
        <v>#DIV/0!</v>
      </c>
      <c r="J518" s="2"/>
      <c r="K518" s="193"/>
      <c r="L518" s="8"/>
      <c r="M518" s="8"/>
      <c r="N518" s="8"/>
      <c r="O518" s="194"/>
      <c r="P518" s="195"/>
    </row>
    <row r="519" spans="1:16">
      <c r="A519" s="3"/>
      <c r="B519" s="3" t="str">
        <f>TEXT(Tabela2234[[#This Row],[DATA]],"mmmm")</f>
        <v>janeiro</v>
      </c>
      <c r="C519" s="2"/>
      <c r="D519" s="2"/>
      <c r="E519" s="2"/>
      <c r="F519" s="2"/>
      <c r="G519" s="173"/>
      <c r="H519" s="174"/>
      <c r="I519" s="218" t="e">
        <f>Tabela2234[[#This Row],[PESO TOTAL]]/Tabela2234[[#This Row],[QUANTIDADE]]</f>
        <v>#DIV/0!</v>
      </c>
      <c r="J519" s="2"/>
      <c r="K519" s="193"/>
      <c r="L519" s="8"/>
      <c r="M519" s="8"/>
      <c r="N519" s="8"/>
      <c r="O519" s="194"/>
      <c r="P519" s="195"/>
    </row>
    <row r="520" spans="1:16">
      <c r="A520" s="3"/>
      <c r="B520" s="3" t="str">
        <f>TEXT(Tabela2234[[#This Row],[DATA]],"mmmm")</f>
        <v>janeiro</v>
      </c>
      <c r="C520" s="2"/>
      <c r="D520" s="2"/>
      <c r="E520" s="2"/>
      <c r="F520" s="2"/>
      <c r="G520" s="173"/>
      <c r="H520" s="174"/>
      <c r="I520" s="218" t="e">
        <f>Tabela2234[[#This Row],[PESO TOTAL]]/Tabela2234[[#This Row],[QUANTIDADE]]</f>
        <v>#DIV/0!</v>
      </c>
      <c r="J520" s="2"/>
      <c r="K520" s="193"/>
      <c r="L520" s="8"/>
      <c r="M520" s="8"/>
      <c r="N520" s="8"/>
      <c r="O520" s="194"/>
      <c r="P520" s="195"/>
    </row>
    <row r="521" spans="1:16">
      <c r="A521" s="3"/>
      <c r="B521" s="3" t="str">
        <f>TEXT(Tabela2234[[#This Row],[DATA]],"mmmm")</f>
        <v>janeiro</v>
      </c>
      <c r="C521" s="2"/>
      <c r="D521" s="2"/>
      <c r="E521" s="2"/>
      <c r="F521" s="2"/>
      <c r="G521" s="173"/>
      <c r="H521" s="174"/>
      <c r="I521" s="218" t="e">
        <f>Tabela2234[[#This Row],[PESO TOTAL]]/Tabela2234[[#This Row],[QUANTIDADE]]</f>
        <v>#DIV/0!</v>
      </c>
      <c r="J521" s="2"/>
      <c r="K521" s="193"/>
      <c r="L521" s="8"/>
      <c r="M521" s="8"/>
      <c r="N521" s="8"/>
      <c r="O521" s="194"/>
      <c r="P521" s="195"/>
    </row>
    <row r="522" spans="1:16">
      <c r="A522" s="3"/>
      <c r="B522" s="3" t="str">
        <f>TEXT(Tabela2234[[#This Row],[DATA]],"mmmm")</f>
        <v>janeiro</v>
      </c>
      <c r="C522" s="2"/>
      <c r="D522" s="2"/>
      <c r="E522" s="2"/>
      <c r="F522" s="2"/>
      <c r="G522" s="173"/>
      <c r="H522" s="174"/>
      <c r="I522" s="218" t="e">
        <f>Tabela2234[[#This Row],[PESO TOTAL]]/Tabela2234[[#This Row],[QUANTIDADE]]</f>
        <v>#DIV/0!</v>
      </c>
      <c r="J522" s="2"/>
      <c r="K522" s="193"/>
      <c r="L522" s="8"/>
      <c r="M522" s="8"/>
      <c r="N522" s="8"/>
      <c r="O522" s="194"/>
      <c r="P522" s="195"/>
    </row>
    <row r="523" spans="1:16">
      <c r="A523" s="3"/>
      <c r="B523" s="3" t="str">
        <f>TEXT(Tabela2234[[#This Row],[DATA]],"mmmm")</f>
        <v>janeiro</v>
      </c>
      <c r="C523" s="2"/>
      <c r="D523" s="2"/>
      <c r="E523" s="2"/>
      <c r="F523" s="2"/>
      <c r="G523" s="173"/>
      <c r="H523" s="174"/>
      <c r="I523" s="218" t="e">
        <f>Tabela2234[[#This Row],[PESO TOTAL]]/Tabela2234[[#This Row],[QUANTIDADE]]</f>
        <v>#DIV/0!</v>
      </c>
      <c r="J523" s="2"/>
      <c r="K523" s="193"/>
      <c r="L523" s="8"/>
      <c r="M523" s="8"/>
      <c r="N523" s="8"/>
      <c r="O523" s="194"/>
      <c r="P523" s="195"/>
    </row>
    <row r="524" spans="1:16">
      <c r="A524" s="3"/>
      <c r="B524" s="3" t="str">
        <f>TEXT(Tabela2234[[#This Row],[DATA]],"mmmm")</f>
        <v>janeiro</v>
      </c>
      <c r="C524" s="2"/>
      <c r="D524" s="2"/>
      <c r="E524" s="2"/>
      <c r="F524" s="2"/>
      <c r="G524" s="173"/>
      <c r="H524" s="174"/>
      <c r="I524" s="218" t="e">
        <f>Tabela2234[[#This Row],[PESO TOTAL]]/Tabela2234[[#This Row],[QUANTIDADE]]</f>
        <v>#DIV/0!</v>
      </c>
      <c r="J524" s="2"/>
      <c r="K524" s="193"/>
      <c r="L524" s="8"/>
      <c r="M524" s="8"/>
      <c r="N524" s="8"/>
      <c r="O524" s="194"/>
      <c r="P524" s="195"/>
    </row>
    <row r="525" spans="1:16">
      <c r="A525" s="3"/>
      <c r="B525" s="3" t="str">
        <f>TEXT(Tabela2234[[#This Row],[DATA]],"mmmm")</f>
        <v>janeiro</v>
      </c>
      <c r="C525" s="2"/>
      <c r="D525" s="2"/>
      <c r="E525" s="2"/>
      <c r="F525" s="2"/>
      <c r="G525" s="173"/>
      <c r="H525" s="174"/>
      <c r="I525" s="218" t="e">
        <f>Tabela2234[[#This Row],[PESO TOTAL]]/Tabela2234[[#This Row],[QUANTIDADE]]</f>
        <v>#DIV/0!</v>
      </c>
      <c r="J525" s="2"/>
      <c r="K525" s="193"/>
      <c r="L525" s="8"/>
      <c r="M525" s="8"/>
      <c r="N525" s="8"/>
      <c r="O525" s="194"/>
      <c r="P525" s="195"/>
    </row>
    <row r="526" spans="1:16">
      <c r="A526" s="3"/>
      <c r="B526" s="3" t="str">
        <f>TEXT(Tabela2234[[#This Row],[DATA]],"mmmm")</f>
        <v>janeiro</v>
      </c>
      <c r="C526" s="2"/>
      <c r="D526" s="2"/>
      <c r="E526" s="2"/>
      <c r="F526" s="2"/>
      <c r="G526" s="173"/>
      <c r="H526" s="174"/>
      <c r="I526" s="218" t="e">
        <f>Tabela2234[[#This Row],[PESO TOTAL]]/Tabela2234[[#This Row],[QUANTIDADE]]</f>
        <v>#DIV/0!</v>
      </c>
      <c r="J526" s="2"/>
      <c r="K526" s="193"/>
      <c r="L526" s="8"/>
      <c r="M526" s="8"/>
      <c r="N526" s="8"/>
      <c r="O526" s="194"/>
      <c r="P526" s="195"/>
    </row>
    <row r="527" spans="1:16">
      <c r="A527" s="3"/>
      <c r="B527" s="3" t="str">
        <f>TEXT(Tabela2234[[#This Row],[DATA]],"mmmm")</f>
        <v>janeiro</v>
      </c>
      <c r="C527" s="2"/>
      <c r="D527" s="2"/>
      <c r="E527" s="2"/>
      <c r="F527" s="2"/>
      <c r="G527" s="173"/>
      <c r="H527" s="174"/>
      <c r="I527" s="218" t="e">
        <f>Tabela2234[[#This Row],[PESO TOTAL]]/Tabela2234[[#This Row],[QUANTIDADE]]</f>
        <v>#DIV/0!</v>
      </c>
      <c r="J527" s="2"/>
      <c r="K527" s="193"/>
      <c r="L527" s="8"/>
      <c r="M527" s="8"/>
      <c r="N527" s="8"/>
      <c r="O527" s="194"/>
      <c r="P527" s="195"/>
    </row>
    <row r="528" spans="1:16">
      <c r="A528" s="3"/>
      <c r="B528" s="3" t="str">
        <f>TEXT(Tabela2234[[#This Row],[DATA]],"mmmm")</f>
        <v>janeiro</v>
      </c>
      <c r="C528" s="2"/>
      <c r="D528" s="2"/>
      <c r="E528" s="2"/>
      <c r="F528" s="2"/>
      <c r="G528" s="173"/>
      <c r="H528" s="174"/>
      <c r="I528" s="218" t="e">
        <f>Tabela2234[[#This Row],[PESO TOTAL]]/Tabela2234[[#This Row],[QUANTIDADE]]</f>
        <v>#DIV/0!</v>
      </c>
      <c r="J528" s="2"/>
      <c r="K528" s="193"/>
      <c r="L528" s="8"/>
      <c r="M528" s="8"/>
      <c r="N528" s="8"/>
      <c r="O528" s="194"/>
      <c r="P528" s="195"/>
    </row>
    <row r="529" spans="1:16">
      <c r="A529" s="3"/>
      <c r="B529" s="3" t="str">
        <f>TEXT(Tabela2234[[#This Row],[DATA]],"mmmm")</f>
        <v>janeiro</v>
      </c>
      <c r="C529" s="2"/>
      <c r="D529" s="2"/>
      <c r="E529" s="2"/>
      <c r="F529" s="2"/>
      <c r="G529" s="173"/>
      <c r="H529" s="174"/>
      <c r="I529" s="218" t="e">
        <f>Tabela2234[[#This Row],[PESO TOTAL]]/Tabela2234[[#This Row],[QUANTIDADE]]</f>
        <v>#DIV/0!</v>
      </c>
      <c r="J529" s="2"/>
      <c r="K529" s="193"/>
      <c r="L529" s="8"/>
      <c r="M529" s="8"/>
      <c r="N529" s="8"/>
      <c r="O529" s="194"/>
      <c r="P529" s="195"/>
    </row>
    <row r="530" spans="1:16">
      <c r="A530" s="3"/>
      <c r="B530" s="3" t="str">
        <f>TEXT(Tabela2234[[#This Row],[DATA]],"mmmm")</f>
        <v>janeiro</v>
      </c>
      <c r="C530" s="2"/>
      <c r="D530" s="2"/>
      <c r="E530" s="2"/>
      <c r="F530" s="2"/>
      <c r="G530" s="173"/>
      <c r="H530" s="174"/>
      <c r="I530" s="218" t="e">
        <f>Tabela2234[[#This Row],[PESO TOTAL]]/Tabela2234[[#This Row],[QUANTIDADE]]</f>
        <v>#DIV/0!</v>
      </c>
      <c r="J530" s="2"/>
      <c r="K530" s="193"/>
      <c r="L530" s="8"/>
      <c r="M530" s="8"/>
      <c r="N530" s="8"/>
      <c r="O530" s="194"/>
      <c r="P530" s="195"/>
    </row>
    <row r="531" spans="1:16">
      <c r="A531" s="3"/>
      <c r="B531" s="3" t="str">
        <f>TEXT(Tabela2234[[#This Row],[DATA]],"mmmm")</f>
        <v>janeiro</v>
      </c>
      <c r="C531" s="2"/>
      <c r="D531" s="2"/>
      <c r="E531" s="2"/>
      <c r="F531" s="2"/>
      <c r="G531" s="173"/>
      <c r="H531" s="174"/>
      <c r="I531" s="218" t="e">
        <f>Tabela2234[[#This Row],[PESO TOTAL]]/Tabela2234[[#This Row],[QUANTIDADE]]</f>
        <v>#DIV/0!</v>
      </c>
      <c r="J531" s="2"/>
      <c r="K531" s="193"/>
      <c r="L531" s="8"/>
      <c r="M531" s="8"/>
      <c r="N531" s="8"/>
      <c r="O531" s="194"/>
      <c r="P531" s="195"/>
    </row>
    <row r="532" spans="1:16">
      <c r="A532" s="3"/>
      <c r="B532" s="3" t="str">
        <f>TEXT(Tabela2234[[#This Row],[DATA]],"mmmm")</f>
        <v>janeiro</v>
      </c>
      <c r="C532" s="2"/>
      <c r="D532" s="2"/>
      <c r="E532" s="2"/>
      <c r="F532" s="2"/>
      <c r="G532" s="173"/>
      <c r="H532" s="174"/>
      <c r="I532" s="218" t="e">
        <f>Tabela2234[[#This Row],[PESO TOTAL]]/Tabela2234[[#This Row],[QUANTIDADE]]</f>
        <v>#DIV/0!</v>
      </c>
      <c r="J532" s="2"/>
      <c r="K532" s="193"/>
      <c r="L532" s="8"/>
      <c r="M532" s="8"/>
      <c r="N532" s="8"/>
      <c r="O532" s="194"/>
      <c r="P532" s="195"/>
    </row>
    <row r="533" spans="1:16">
      <c r="A533" s="3"/>
      <c r="B533" s="3" t="str">
        <f>TEXT(Tabela2234[[#This Row],[DATA]],"mmmm")</f>
        <v>janeiro</v>
      </c>
      <c r="C533" s="2"/>
      <c r="D533" s="2"/>
      <c r="E533" s="2"/>
      <c r="F533" s="2"/>
      <c r="G533" s="173"/>
      <c r="H533" s="174"/>
      <c r="I533" s="218" t="e">
        <f>Tabela2234[[#This Row],[PESO TOTAL]]/Tabela2234[[#This Row],[QUANTIDADE]]</f>
        <v>#DIV/0!</v>
      </c>
      <c r="J533" s="2"/>
      <c r="K533" s="193"/>
      <c r="L533" s="8"/>
      <c r="M533" s="8"/>
      <c r="N533" s="8"/>
      <c r="O533" s="194"/>
      <c r="P533" s="195"/>
    </row>
    <row r="534" spans="1:16">
      <c r="A534" s="3"/>
      <c r="B534" s="3" t="str">
        <f>TEXT(Tabela2234[[#This Row],[DATA]],"mmmm")</f>
        <v>janeiro</v>
      </c>
      <c r="C534" s="2"/>
      <c r="D534" s="2"/>
      <c r="E534" s="2"/>
      <c r="F534" s="2"/>
      <c r="G534" s="173"/>
      <c r="H534" s="174"/>
      <c r="I534" s="218" t="e">
        <f>Tabela2234[[#This Row],[PESO TOTAL]]/Tabela2234[[#This Row],[QUANTIDADE]]</f>
        <v>#DIV/0!</v>
      </c>
      <c r="J534" s="2"/>
      <c r="K534" s="193"/>
      <c r="L534" s="8"/>
      <c r="M534" s="8"/>
      <c r="N534" s="8"/>
      <c r="O534" s="194"/>
      <c r="P534" s="195"/>
    </row>
    <row r="535" spans="1:16">
      <c r="A535" s="3"/>
      <c r="B535" s="3" t="str">
        <f>TEXT(Tabela2234[[#This Row],[DATA]],"mmmm")</f>
        <v>janeiro</v>
      </c>
      <c r="C535" s="2"/>
      <c r="D535" s="2"/>
      <c r="E535" s="2"/>
      <c r="F535" s="2"/>
      <c r="G535" s="173"/>
      <c r="H535" s="174"/>
      <c r="I535" s="218" t="e">
        <f>Tabela2234[[#This Row],[PESO TOTAL]]/Tabela2234[[#This Row],[QUANTIDADE]]</f>
        <v>#DIV/0!</v>
      </c>
      <c r="J535" s="2"/>
      <c r="K535" s="193"/>
      <c r="L535" s="8"/>
      <c r="M535" s="8"/>
      <c r="N535" s="8"/>
      <c r="O535" s="194"/>
      <c r="P535" s="195"/>
    </row>
    <row r="536" spans="1:16">
      <c r="A536" s="3"/>
      <c r="B536" s="3" t="str">
        <f>TEXT(Tabela2234[[#This Row],[DATA]],"mmmm")</f>
        <v>janeiro</v>
      </c>
      <c r="C536" s="2"/>
      <c r="D536" s="2"/>
      <c r="E536" s="2"/>
      <c r="F536" s="2"/>
      <c r="G536" s="173"/>
      <c r="H536" s="174"/>
      <c r="I536" s="218" t="e">
        <f>Tabela2234[[#This Row],[PESO TOTAL]]/Tabela2234[[#This Row],[QUANTIDADE]]</f>
        <v>#DIV/0!</v>
      </c>
      <c r="J536" s="2"/>
      <c r="K536" s="193"/>
      <c r="L536" s="8"/>
      <c r="M536" s="8"/>
      <c r="N536" s="8"/>
      <c r="O536" s="194"/>
      <c r="P536" s="195"/>
    </row>
    <row r="537" spans="1:16">
      <c r="A537" s="3"/>
      <c r="B537" s="3" t="str">
        <f>TEXT(Tabela2234[[#This Row],[DATA]],"mmmm")</f>
        <v>janeiro</v>
      </c>
      <c r="C537" s="2"/>
      <c r="D537" s="2"/>
      <c r="E537" s="2"/>
      <c r="F537" s="2"/>
      <c r="G537" s="173"/>
      <c r="H537" s="174"/>
      <c r="I537" s="218" t="e">
        <f>Tabela2234[[#This Row],[PESO TOTAL]]/Tabela2234[[#This Row],[QUANTIDADE]]</f>
        <v>#DIV/0!</v>
      </c>
      <c r="J537" s="2"/>
      <c r="K537" s="193"/>
      <c r="L537" s="8"/>
      <c r="M537" s="8"/>
      <c r="N537" s="8"/>
      <c r="O537" s="194"/>
      <c r="P537" s="195"/>
    </row>
    <row r="538" spans="1:16">
      <c r="A538" s="3"/>
      <c r="B538" s="3" t="str">
        <f>TEXT(Tabela2234[[#This Row],[DATA]],"mmmm")</f>
        <v>janeiro</v>
      </c>
      <c r="C538" s="2"/>
      <c r="D538" s="2"/>
      <c r="E538" s="2"/>
      <c r="F538" s="2"/>
      <c r="G538" s="173"/>
      <c r="H538" s="174"/>
      <c r="I538" s="218" t="e">
        <f>Tabela2234[[#This Row],[PESO TOTAL]]/Tabela2234[[#This Row],[QUANTIDADE]]</f>
        <v>#DIV/0!</v>
      </c>
      <c r="J538" s="2"/>
      <c r="K538" s="193"/>
      <c r="L538" s="8"/>
      <c r="M538" s="8"/>
      <c r="N538" s="8"/>
      <c r="O538" s="194"/>
      <c r="P538" s="195"/>
    </row>
    <row r="539" spans="1:16">
      <c r="A539" s="3"/>
      <c r="B539" s="3" t="str">
        <f>TEXT(Tabela2234[[#This Row],[DATA]],"mmmm")</f>
        <v>janeiro</v>
      </c>
      <c r="C539" s="2"/>
      <c r="D539" s="2"/>
      <c r="E539" s="2"/>
      <c r="F539" s="2"/>
      <c r="G539" s="173"/>
      <c r="H539" s="174"/>
      <c r="I539" s="218" t="e">
        <f>Tabela2234[[#This Row],[PESO TOTAL]]/Tabela2234[[#This Row],[QUANTIDADE]]</f>
        <v>#DIV/0!</v>
      </c>
      <c r="J539" s="2"/>
      <c r="K539" s="193"/>
      <c r="L539" s="8"/>
      <c r="M539" s="8"/>
      <c r="N539" s="8"/>
      <c r="O539" s="194"/>
      <c r="P539" s="195"/>
    </row>
    <row r="540" spans="1:16">
      <c r="A540" s="3"/>
      <c r="B540" s="3" t="str">
        <f>TEXT(Tabela2234[[#This Row],[DATA]],"mmmm")</f>
        <v>janeiro</v>
      </c>
      <c r="C540" s="2"/>
      <c r="D540" s="2"/>
      <c r="E540" s="2"/>
      <c r="F540" s="2"/>
      <c r="G540" s="173"/>
      <c r="H540" s="174"/>
      <c r="I540" s="218" t="e">
        <f>Tabela2234[[#This Row],[PESO TOTAL]]/Tabela2234[[#This Row],[QUANTIDADE]]</f>
        <v>#DIV/0!</v>
      </c>
      <c r="J540" s="2"/>
      <c r="K540" s="193"/>
      <c r="L540" s="8"/>
      <c r="M540" s="8"/>
      <c r="N540" s="8"/>
      <c r="O540" s="194"/>
      <c r="P540" s="195"/>
    </row>
    <row r="541" spans="1:16">
      <c r="A541" s="3"/>
      <c r="B541" s="3" t="str">
        <f>TEXT(Tabela2234[[#This Row],[DATA]],"mmmm")</f>
        <v>janeiro</v>
      </c>
      <c r="C541" s="2"/>
      <c r="D541" s="2"/>
      <c r="E541" s="2"/>
      <c r="F541" s="2"/>
      <c r="G541" s="173"/>
      <c r="H541" s="174"/>
      <c r="I541" s="218" t="e">
        <f>Tabela2234[[#This Row],[PESO TOTAL]]/Tabela2234[[#This Row],[QUANTIDADE]]</f>
        <v>#DIV/0!</v>
      </c>
      <c r="J541" s="2"/>
      <c r="K541" s="193"/>
      <c r="L541" s="8"/>
      <c r="M541" s="8"/>
      <c r="N541" s="8"/>
      <c r="O541" s="194"/>
      <c r="P541" s="195"/>
    </row>
    <row r="542" spans="1:16">
      <c r="A542" s="3"/>
      <c r="B542" s="3" t="str">
        <f>TEXT(Tabela2234[[#This Row],[DATA]],"mmmm")</f>
        <v>janeiro</v>
      </c>
      <c r="C542" s="2"/>
      <c r="D542" s="2"/>
      <c r="E542" s="2"/>
      <c r="F542" s="2"/>
      <c r="G542" s="173"/>
      <c r="H542" s="174"/>
      <c r="I542" s="218" t="e">
        <f>Tabela2234[[#This Row],[PESO TOTAL]]/Tabela2234[[#This Row],[QUANTIDADE]]</f>
        <v>#DIV/0!</v>
      </c>
      <c r="J542" s="2"/>
      <c r="K542" s="193"/>
      <c r="L542" s="8"/>
      <c r="M542" s="8"/>
      <c r="N542" s="8"/>
      <c r="O542" s="194"/>
      <c r="P542" s="195"/>
    </row>
    <row r="543" spans="1:16">
      <c r="A543" s="3"/>
      <c r="B543" s="3" t="str">
        <f>TEXT(Tabela2234[[#This Row],[DATA]],"mmmm")</f>
        <v>janeiro</v>
      </c>
      <c r="C543" s="2"/>
      <c r="D543" s="2"/>
      <c r="E543" s="2"/>
      <c r="F543" s="2"/>
      <c r="G543" s="173"/>
      <c r="H543" s="174"/>
      <c r="I543" s="218" t="e">
        <f>Tabela2234[[#This Row],[PESO TOTAL]]/Tabela2234[[#This Row],[QUANTIDADE]]</f>
        <v>#DIV/0!</v>
      </c>
      <c r="J543" s="2"/>
      <c r="K543" s="193"/>
      <c r="L543" s="8"/>
      <c r="M543" s="8"/>
      <c r="N543" s="8"/>
      <c r="O543" s="194"/>
      <c r="P543" s="195"/>
    </row>
    <row r="544" spans="1:16">
      <c r="A544" s="3"/>
      <c r="B544" s="3" t="str">
        <f>TEXT(Tabela2234[[#This Row],[DATA]],"mmmm")</f>
        <v>janeiro</v>
      </c>
      <c r="C544" s="2"/>
      <c r="D544" s="2"/>
      <c r="E544" s="2"/>
      <c r="F544" s="2"/>
      <c r="G544" s="173"/>
      <c r="H544" s="174"/>
      <c r="I544" s="218" t="e">
        <f>Tabela2234[[#This Row],[PESO TOTAL]]/Tabela2234[[#This Row],[QUANTIDADE]]</f>
        <v>#DIV/0!</v>
      </c>
      <c r="J544" s="2"/>
      <c r="K544" s="193"/>
      <c r="L544" s="8"/>
      <c r="M544" s="8"/>
      <c r="N544" s="8"/>
      <c r="O544" s="194"/>
      <c r="P544" s="195"/>
    </row>
    <row r="545" spans="2:16">
      <c r="B545" s="1" t="str">
        <f>TEXT(Tabela2234[[#This Row],[DATA]],"mmmm")</f>
        <v>janeiro</v>
      </c>
      <c r="G545" s="197"/>
      <c r="H545" s="174"/>
      <c r="I545" s="218" t="e">
        <f>Tabela2234[[#This Row],[PESO TOTAL]]/Tabela2234[[#This Row],[QUANTIDADE]]</f>
        <v>#DIV/0!</v>
      </c>
      <c r="J545" s="2"/>
      <c r="K545" s="193"/>
      <c r="L545" s="8"/>
      <c r="M545" s="8"/>
      <c r="N545" s="8"/>
      <c r="O545" s="194"/>
      <c r="P545" s="195"/>
    </row>
    <row r="546" spans="2:16">
      <c r="B546" s="1" t="str">
        <f>TEXT(Tabela2234[[#This Row],[DATA]],"mmmm")</f>
        <v>janeiro</v>
      </c>
      <c r="G546" s="197"/>
      <c r="H546" s="174"/>
      <c r="I546" s="218" t="e">
        <f>Tabela2234[[#This Row],[PESO TOTAL]]/Tabela2234[[#This Row],[QUANTIDADE]]</f>
        <v>#DIV/0!</v>
      </c>
      <c r="J546" s="2"/>
      <c r="K546" s="193"/>
      <c r="L546" s="8"/>
      <c r="M546" s="8"/>
      <c r="N546" s="8"/>
      <c r="O546" s="194"/>
      <c r="P546" s="195"/>
    </row>
    <row r="547" spans="2:16">
      <c r="B547" s="1" t="str">
        <f>TEXT(Tabela2234[[#This Row],[DATA]],"mmmm")</f>
        <v>janeiro</v>
      </c>
      <c r="G547" s="197"/>
      <c r="H547" s="174"/>
      <c r="I547" s="218" t="e">
        <f>Tabela2234[[#This Row],[PESO TOTAL]]/Tabela2234[[#This Row],[QUANTIDADE]]</f>
        <v>#DIV/0!</v>
      </c>
      <c r="J547" s="2"/>
      <c r="K547" s="193"/>
      <c r="L547" s="8"/>
      <c r="M547" s="8"/>
      <c r="N547" s="8"/>
      <c r="O547" s="194"/>
      <c r="P547" s="195"/>
    </row>
    <row r="548" spans="2:16">
      <c r="B548" s="1" t="str">
        <f>TEXT(Tabela2234[[#This Row],[DATA]],"mmmm")</f>
        <v>janeiro</v>
      </c>
      <c r="G548" s="197"/>
      <c r="H548" s="174"/>
      <c r="I548" s="218" t="e">
        <f>Tabela2234[[#This Row],[PESO TOTAL]]/Tabela2234[[#This Row],[QUANTIDADE]]</f>
        <v>#DIV/0!</v>
      </c>
      <c r="K548" s="198"/>
      <c r="O548" s="199"/>
      <c r="P548" s="195"/>
    </row>
    <row r="549" spans="2:16">
      <c r="B549" s="1" t="str">
        <f>TEXT(Tabela2234[[#This Row],[DATA]],"mmmm")</f>
        <v>janeiro</v>
      </c>
      <c r="G549" s="197"/>
      <c r="H549" s="174"/>
      <c r="I549" s="218" t="e">
        <f>Tabela2234[[#This Row],[PESO TOTAL]]/Tabela2234[[#This Row],[QUANTIDADE]]</f>
        <v>#DIV/0!</v>
      </c>
      <c r="K549" s="198"/>
      <c r="O549" s="199"/>
      <c r="P549" s="195"/>
    </row>
    <row r="550" spans="2:16">
      <c r="B550" s="1" t="str">
        <f>TEXT(Tabela2234[[#This Row],[DATA]],"mmmm")</f>
        <v>janeiro</v>
      </c>
      <c r="G550" s="197"/>
      <c r="H550" s="174"/>
      <c r="I550" s="218" t="e">
        <f>Tabela2234[[#This Row],[PESO TOTAL]]/Tabela2234[[#This Row],[QUANTIDADE]]</f>
        <v>#DIV/0!</v>
      </c>
      <c r="K550" s="198"/>
      <c r="O550" s="199"/>
      <c r="P550" s="195"/>
    </row>
    <row r="551" spans="2:16">
      <c r="B551" s="1" t="str">
        <f>TEXT(Tabela2234[[#This Row],[DATA]],"mmmm")</f>
        <v>janeiro</v>
      </c>
      <c r="G551" s="197"/>
      <c r="H551" s="174"/>
      <c r="I551" s="218" t="e">
        <f>Tabela2234[[#This Row],[PESO TOTAL]]/Tabela2234[[#This Row],[QUANTIDADE]]</f>
        <v>#DIV/0!</v>
      </c>
      <c r="K551" s="198"/>
      <c r="O551" s="199"/>
      <c r="P551" s="90"/>
    </row>
    <row r="552" spans="2:16">
      <c r="B552" s="1" t="str">
        <f>TEXT(Tabela2234[[#This Row],[DATA]],"mmmm")</f>
        <v>janeiro</v>
      </c>
      <c r="G552" s="197"/>
      <c r="H552" s="174"/>
      <c r="I552" s="218" t="e">
        <f>Tabela2234[[#This Row],[PESO TOTAL]]/Tabela2234[[#This Row],[QUANTIDADE]]</f>
        <v>#DIV/0!</v>
      </c>
      <c r="K552" s="198"/>
      <c r="O552" s="199"/>
      <c r="P552" s="90"/>
    </row>
    <row r="553" spans="2:16">
      <c r="B553" s="1" t="str">
        <f>TEXT(Tabela2234[[#This Row],[DATA]],"mmmm")</f>
        <v>janeiro</v>
      </c>
      <c r="G553" s="197"/>
      <c r="H553" s="174"/>
      <c r="I553" s="218" t="e">
        <f>Tabela2234[[#This Row],[PESO TOTAL]]/Tabela2234[[#This Row],[QUANTIDADE]]</f>
        <v>#DIV/0!</v>
      </c>
      <c r="K553" s="198"/>
      <c r="O553" s="199"/>
      <c r="P553" s="90"/>
    </row>
    <row r="554" spans="2:16">
      <c r="B554" s="1" t="str">
        <f>TEXT(Tabela2234[[#This Row],[DATA]],"mmmm")</f>
        <v>janeiro</v>
      </c>
      <c r="G554" s="197"/>
      <c r="H554" s="174"/>
      <c r="I554" s="218" t="e">
        <f>Tabela2234[[#This Row],[PESO TOTAL]]/Tabela2234[[#This Row],[QUANTIDADE]]</f>
        <v>#DIV/0!</v>
      </c>
      <c r="K554" s="198"/>
      <c r="O554" s="199"/>
      <c r="P554" s="90"/>
    </row>
    <row r="555" spans="2:16">
      <c r="B555" s="1" t="str">
        <f>TEXT(Tabela2234[[#This Row],[DATA]],"mmmm")</f>
        <v>janeiro</v>
      </c>
      <c r="G555" s="197"/>
      <c r="H555" s="174"/>
      <c r="I555" s="218" t="e">
        <f>Tabela2234[[#This Row],[PESO TOTAL]]/Tabela2234[[#This Row],[QUANTIDADE]]</f>
        <v>#DIV/0!</v>
      </c>
      <c r="K555" s="198"/>
      <c r="O555" s="199"/>
      <c r="P555" s="90"/>
    </row>
    <row r="556" spans="2:16">
      <c r="B556" s="1" t="str">
        <f>TEXT(Tabela2234[[#This Row],[DATA]],"mmmm")</f>
        <v>janeiro</v>
      </c>
      <c r="G556" s="197"/>
      <c r="H556" s="174"/>
      <c r="I556" s="218" t="e">
        <f>Tabela2234[[#This Row],[PESO TOTAL]]/Tabela2234[[#This Row],[QUANTIDADE]]</f>
        <v>#DIV/0!</v>
      </c>
      <c r="K556" s="198"/>
      <c r="O556" s="199"/>
      <c r="P556" s="90"/>
    </row>
    <row r="557" spans="2:16">
      <c r="B557" s="1" t="str">
        <f>TEXT(Tabela2234[[#This Row],[DATA]],"mmmm")</f>
        <v>janeiro</v>
      </c>
      <c r="G557" s="197"/>
      <c r="H557" s="174"/>
      <c r="I557" s="218" t="e">
        <f>Tabela2234[[#This Row],[PESO TOTAL]]/Tabela2234[[#This Row],[QUANTIDADE]]</f>
        <v>#DIV/0!</v>
      </c>
      <c r="K557" s="198"/>
      <c r="O557" s="199"/>
      <c r="P557" s="90"/>
    </row>
    <row r="558" spans="2:16">
      <c r="B558" s="1" t="str">
        <f>TEXT(Tabela2234[[#This Row],[DATA]],"mmmm")</f>
        <v>janeiro</v>
      </c>
      <c r="G558" s="197"/>
      <c r="H558" s="174"/>
      <c r="I558" s="218" t="e">
        <f>Tabela2234[[#This Row],[PESO TOTAL]]/Tabela2234[[#This Row],[QUANTIDADE]]</f>
        <v>#DIV/0!</v>
      </c>
      <c r="K558" s="198"/>
      <c r="O558" s="199"/>
      <c r="P558" s="90"/>
    </row>
    <row r="559" spans="2:16">
      <c r="B559" s="1" t="str">
        <f>TEXT(Tabela2234[[#This Row],[DATA]],"mmmm")</f>
        <v>janeiro</v>
      </c>
      <c r="G559" s="197"/>
      <c r="H559" s="174"/>
      <c r="I559" s="218" t="e">
        <f>Tabela2234[[#This Row],[PESO TOTAL]]/Tabela2234[[#This Row],[QUANTIDADE]]</f>
        <v>#DIV/0!</v>
      </c>
      <c r="K559" s="198"/>
      <c r="O559" s="199"/>
      <c r="P559" s="90"/>
    </row>
    <row r="560" spans="2:16">
      <c r="B560" s="1" t="str">
        <f>TEXT(Tabela2234[[#This Row],[DATA]],"mmmm")</f>
        <v>janeiro</v>
      </c>
      <c r="G560" s="197"/>
      <c r="H560" s="174"/>
      <c r="I560" s="218" t="e">
        <f>Tabela2234[[#This Row],[PESO TOTAL]]/Tabela2234[[#This Row],[QUANTIDADE]]</f>
        <v>#DIV/0!</v>
      </c>
      <c r="K560" s="198"/>
      <c r="O560" s="199"/>
      <c r="P560" s="90"/>
    </row>
    <row r="561" spans="2:16">
      <c r="B561" s="1" t="str">
        <f>TEXT(Tabela2234[[#This Row],[DATA]],"mmmm")</f>
        <v>janeiro</v>
      </c>
      <c r="G561" s="197"/>
      <c r="H561" s="174"/>
      <c r="I561" s="218" t="e">
        <f>Tabela2234[[#This Row],[PESO TOTAL]]/Tabela2234[[#This Row],[QUANTIDADE]]</f>
        <v>#DIV/0!</v>
      </c>
      <c r="K561" s="198"/>
      <c r="O561" s="199"/>
      <c r="P561" s="90"/>
    </row>
    <row r="562" spans="2:16">
      <c r="B562" s="1" t="str">
        <f>TEXT(Tabela2234[[#This Row],[DATA]],"mmmm")</f>
        <v>janeiro</v>
      </c>
      <c r="G562" s="197"/>
      <c r="H562" s="174"/>
      <c r="I562" s="218" t="e">
        <f>Tabela2234[[#This Row],[PESO TOTAL]]/Tabela2234[[#This Row],[QUANTIDADE]]</f>
        <v>#DIV/0!</v>
      </c>
      <c r="K562" s="198"/>
      <c r="O562" s="199"/>
      <c r="P562" s="90"/>
    </row>
    <row r="563" spans="2:16">
      <c r="B563" s="1" t="str">
        <f>TEXT(Tabela2234[[#This Row],[DATA]],"mmmm")</f>
        <v>janeiro</v>
      </c>
      <c r="G563" s="197"/>
      <c r="H563" s="174"/>
      <c r="I563" s="218" t="e">
        <f>Tabela2234[[#This Row],[PESO TOTAL]]/Tabela2234[[#This Row],[QUANTIDADE]]</f>
        <v>#DIV/0!</v>
      </c>
      <c r="K563" s="198"/>
      <c r="O563" s="199"/>
      <c r="P563" s="90"/>
    </row>
    <row r="564" spans="2:16">
      <c r="B564" s="1" t="str">
        <f>TEXT(Tabela2234[[#This Row],[DATA]],"mmmm")</f>
        <v>janeiro</v>
      </c>
      <c r="G564" s="197"/>
      <c r="H564" s="174"/>
      <c r="I564" s="218" t="e">
        <f>Tabela2234[[#This Row],[PESO TOTAL]]/Tabela2234[[#This Row],[QUANTIDADE]]</f>
        <v>#DIV/0!</v>
      </c>
      <c r="K564" s="198"/>
      <c r="O564" s="199"/>
      <c r="P564" s="90"/>
    </row>
    <row r="565" spans="2:16">
      <c r="B565" s="1" t="str">
        <f>TEXT(Tabela2234[[#This Row],[DATA]],"mmmm")</f>
        <v>janeiro</v>
      </c>
      <c r="G565" s="197"/>
      <c r="H565" s="174"/>
      <c r="I565" s="218" t="e">
        <f>Tabela2234[[#This Row],[PESO TOTAL]]/Tabela2234[[#This Row],[QUANTIDADE]]</f>
        <v>#DIV/0!</v>
      </c>
      <c r="K565" s="198"/>
      <c r="O565" s="199"/>
      <c r="P565" s="90"/>
    </row>
    <row r="566" spans="2:16">
      <c r="B566" s="1" t="str">
        <f>TEXT(Tabela2234[[#This Row],[DATA]],"mmmm")</f>
        <v>janeiro</v>
      </c>
      <c r="G566" s="197"/>
      <c r="H566" s="174"/>
      <c r="I566" s="218" t="e">
        <f>Tabela2234[[#This Row],[PESO TOTAL]]/Tabela2234[[#This Row],[QUANTIDADE]]</f>
        <v>#DIV/0!</v>
      </c>
      <c r="K566" s="198"/>
      <c r="O566" s="199"/>
      <c r="P566" s="90"/>
    </row>
    <row r="567" spans="2:16">
      <c r="B567" s="1" t="str">
        <f>TEXT(Tabela2234[[#This Row],[DATA]],"mmmm")</f>
        <v>janeiro</v>
      </c>
      <c r="G567" s="197"/>
      <c r="H567" s="174"/>
      <c r="I567" s="218" t="e">
        <f>Tabela2234[[#This Row],[PESO TOTAL]]/Tabela2234[[#This Row],[QUANTIDADE]]</f>
        <v>#DIV/0!</v>
      </c>
      <c r="K567" s="198"/>
      <c r="O567" s="199"/>
      <c r="P567" s="90"/>
    </row>
    <row r="568" spans="2:16">
      <c r="K568" s="198"/>
      <c r="O568" s="199"/>
      <c r="P568" s="90"/>
    </row>
    <row r="569" spans="2:16">
      <c r="K569" s="198"/>
      <c r="O569" s="199"/>
      <c r="P569" s="90"/>
    </row>
    <row r="570" spans="2:16">
      <c r="K570" s="198"/>
      <c r="O570" s="199"/>
      <c r="P570" s="90"/>
    </row>
  </sheetData>
  <mergeCells count="5">
    <mergeCell ref="A1:O1"/>
    <mergeCell ref="A4:C4"/>
    <mergeCell ref="A18:G18"/>
    <mergeCell ref="D2:I3"/>
    <mergeCell ref="J2:N3"/>
  </mergeCells>
  <dataValidations count="3">
    <dataValidation type="list" allowBlank="1" showInputMessage="1" showErrorMessage="1" sqref="D568:D1048576" xr:uid="{00000000-0002-0000-0000-000002000000}">
      <formula1>$S$1:$S$7</formula1>
    </dataValidation>
    <dataValidation type="list" allowBlank="1" showInputMessage="1" showErrorMessage="1" sqref="C20:C1048576" xr:uid="{00000000-0002-0000-0000-000000000000}">
      <formula1>$A$5:$A$14</formula1>
    </dataValidation>
    <dataValidation type="list" allowBlank="1" showInputMessage="1" showErrorMessage="1" sqref="D20:D567" xr:uid="{00000000-0002-0000-0000-000001000000}">
      <formula1>$S$1:$S$9</formula1>
    </dataValidation>
  </dataValidations>
  <printOptions horizontalCentered="1" verticalCentered="1"/>
  <pageMargins left="0.511811023622047" right="0.511811023622047" top="0.78740157480314998" bottom="0.78740157480314998" header="0.31496062992126" footer="0.31496062992126"/>
  <pageSetup paperSize="9" scale="47" orientation="landscape" r:id="rId1"/>
  <rowBreaks count="2" manualBreakCount="2">
    <brk id="9" max="14" man="1"/>
    <brk id="203" max="11" man="1"/>
  </rowBreaks>
  <colBreaks count="1" manualBreakCount="1">
    <brk id="11" max="14" man="1"/>
  </colBreak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>
    <tabColor rgb="FFFFFF00"/>
    <pageSetUpPr fitToPage="1"/>
  </sheetPr>
  <dimension ref="A1:S572"/>
  <sheetViews>
    <sheetView showGridLines="0" zoomScale="70" zoomScaleNormal="70" zoomScaleSheetLayoutView="50" workbookViewId="0">
      <selection activeCell="G22" sqref="G22"/>
    </sheetView>
  </sheetViews>
  <sheetFormatPr defaultColWidth="9" defaultRowHeight="14.4"/>
  <cols>
    <col min="1" max="1" width="15" customWidth="1"/>
    <col min="2" max="2" width="16.6640625" customWidth="1"/>
    <col min="3" max="3" width="23" customWidth="1"/>
    <col min="4" max="4" width="28.5546875" customWidth="1"/>
    <col min="5" max="5" width="18.109375" customWidth="1"/>
    <col min="6" max="6" width="14.88671875" customWidth="1"/>
    <col min="7" max="7" width="14.33203125" customWidth="1"/>
    <col min="8" max="8" width="18.6640625" style="114" customWidth="1"/>
    <col min="9" max="9" width="17.88671875" customWidth="1"/>
    <col min="10" max="10" width="13.5546875" customWidth="1"/>
    <col min="11" max="11" width="18.5546875" style="115" customWidth="1"/>
    <col min="12" max="12" width="16.88671875" style="115" customWidth="1"/>
    <col min="13" max="13" width="17.6640625" style="115" customWidth="1"/>
    <col min="14" max="14" width="16.6640625" style="115" customWidth="1"/>
    <col min="15" max="15" width="15" style="115" customWidth="1"/>
    <col min="16" max="16" width="38.5546875" customWidth="1"/>
    <col min="17" max="17" width="17.44140625" customWidth="1"/>
    <col min="18" max="18" width="11" customWidth="1"/>
    <col min="19" max="19" width="19.88671875" customWidth="1"/>
  </cols>
  <sheetData>
    <row r="1" spans="1:19" ht="25.8">
      <c r="A1" s="236" t="s">
        <v>44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7"/>
      <c r="Q1" s="7"/>
      <c r="S1" s="141" t="s">
        <v>1</v>
      </c>
    </row>
    <row r="2" spans="1:19" ht="25.8">
      <c r="A2" s="142"/>
      <c r="B2" s="142"/>
      <c r="C2" s="142"/>
      <c r="D2" s="243" t="s">
        <v>2</v>
      </c>
      <c r="E2" s="244"/>
      <c r="F2" s="244"/>
      <c r="G2" s="244"/>
      <c r="H2" s="244"/>
      <c r="I2" s="245"/>
      <c r="J2" s="243" t="s">
        <v>3</v>
      </c>
      <c r="K2" s="244"/>
      <c r="L2" s="244"/>
      <c r="M2" s="244"/>
      <c r="N2" s="245"/>
      <c r="O2" s="176" t="s">
        <v>4</v>
      </c>
      <c r="S2" s="141" t="s">
        <v>5</v>
      </c>
    </row>
    <row r="3" spans="1:19" ht="25.8">
      <c r="A3" s="143"/>
      <c r="B3" s="143"/>
      <c r="C3" s="144"/>
      <c r="D3" s="246"/>
      <c r="E3" s="247"/>
      <c r="F3" s="247"/>
      <c r="G3" s="247"/>
      <c r="H3" s="247"/>
      <c r="I3" s="248"/>
      <c r="J3" s="249"/>
      <c r="K3" s="250"/>
      <c r="L3" s="250"/>
      <c r="M3" s="250"/>
      <c r="N3" s="251"/>
      <c r="O3" s="177"/>
      <c r="S3" s="141" t="s">
        <v>6</v>
      </c>
    </row>
    <row r="4" spans="1:19" ht="25.8">
      <c r="A4" s="237" t="s">
        <v>7</v>
      </c>
      <c r="B4" s="238"/>
      <c r="C4" s="239"/>
      <c r="D4" s="145" t="s">
        <v>8</v>
      </c>
      <c r="E4" s="145" t="s">
        <v>1</v>
      </c>
      <c r="F4" s="145" t="s">
        <v>9</v>
      </c>
      <c r="G4" s="145" t="s">
        <v>5</v>
      </c>
      <c r="H4" s="145" t="s">
        <v>6</v>
      </c>
      <c r="I4" s="145" t="s">
        <v>10</v>
      </c>
      <c r="J4" s="145" t="s">
        <v>11</v>
      </c>
      <c r="K4" s="145" t="s">
        <v>12</v>
      </c>
      <c r="L4" s="145" t="s">
        <v>13</v>
      </c>
      <c r="M4" s="145" t="s">
        <v>14</v>
      </c>
      <c r="N4" s="145" t="s">
        <v>10</v>
      </c>
      <c r="O4" s="178" t="s">
        <v>15</v>
      </c>
      <c r="S4" s="141" t="s">
        <v>11</v>
      </c>
    </row>
    <row r="5" spans="1:19" ht="25.8">
      <c r="A5" s="146" t="s">
        <v>16</v>
      </c>
      <c r="B5" s="147"/>
      <c r="C5" s="148"/>
      <c r="D5" s="149"/>
      <c r="E5" s="149">
        <f t="shared" ref="E5:E15" si="0">SUMIFS($E$20:$E$1048576,$D$20:$D$1048576,$E$4,$C$20:$C$1048576,A5)</f>
        <v>0</v>
      </c>
      <c r="F5" s="149">
        <f t="shared" ref="F5:F14" si="1">SUMIFS($E$20:$E$1048576,$D$20:$D$1048576,$F$4,$C$20:$C$1048576,B5)</f>
        <v>0</v>
      </c>
      <c r="G5" s="150">
        <f t="shared" ref="G5:G15" si="2">SUMIFS($E$20:$E$1048576,$D$20:$D$1048576,$G$4,$C$20:$C$1048576,A5)</f>
        <v>0</v>
      </c>
      <c r="H5" s="150">
        <f t="shared" ref="H5:H15" si="3">SUMIFS($E$20:$E$1048576,$D$20:$D$1048576,$H$4,$C$20:$C$1048576,A5)</f>
        <v>0</v>
      </c>
      <c r="I5" s="156">
        <f>SUM(D5:H5)</f>
        <v>0</v>
      </c>
      <c r="J5" s="179">
        <f t="shared" ref="J5:J15" si="4">SUMIFS($E$20:$E$1048576,$D$20:$D$1048576,$J$4,$C$20:$C$1048576,A5)</f>
        <v>0</v>
      </c>
      <c r="K5" s="179">
        <f t="shared" ref="K5:K15" si="5">SUMIFS($E$20:$E$1048576,$D$20:$D$1048576,$K$4,$C$20:$C$1048576,A5)</f>
        <v>0</v>
      </c>
      <c r="L5" s="179">
        <f t="shared" ref="L5:L15" si="6">SUMIFS($E$20:$E$1048576,$D$20:$D$1048576,$L$4,$C$20:$C$1048576,A5)</f>
        <v>0</v>
      </c>
      <c r="M5" s="180">
        <f t="shared" ref="M5:M15" si="7">SUMIFS($E$20:$E$1048576,$D$20:$D$1048576,$M$4,$C$20:$C$1048576,A5)</f>
        <v>0</v>
      </c>
      <c r="N5" s="156">
        <f>SUM(J5:M5)</f>
        <v>0</v>
      </c>
      <c r="O5" s="181">
        <f>SUM(I5-N5)</f>
        <v>0</v>
      </c>
      <c r="S5" s="141" t="s">
        <v>12</v>
      </c>
    </row>
    <row r="6" spans="1:19" ht="25.8">
      <c r="A6" s="151" t="s">
        <v>17</v>
      </c>
      <c r="B6" s="152"/>
      <c r="C6" s="153"/>
      <c r="D6" s="149"/>
      <c r="E6" s="149">
        <f t="shared" si="0"/>
        <v>0</v>
      </c>
      <c r="F6" s="149">
        <f t="shared" si="1"/>
        <v>0</v>
      </c>
      <c r="G6" s="150">
        <f t="shared" si="2"/>
        <v>0</v>
      </c>
      <c r="H6" s="150">
        <f t="shared" si="3"/>
        <v>0</v>
      </c>
      <c r="I6" s="156">
        <f t="shared" ref="I6:I15" si="8">SUM(D6:H6)</f>
        <v>0</v>
      </c>
      <c r="J6" s="179">
        <f t="shared" si="4"/>
        <v>0</v>
      </c>
      <c r="K6" s="179">
        <f t="shared" si="5"/>
        <v>0</v>
      </c>
      <c r="L6" s="179">
        <f t="shared" si="6"/>
        <v>0</v>
      </c>
      <c r="M6" s="180">
        <f t="shared" si="7"/>
        <v>0</v>
      </c>
      <c r="N6" s="156">
        <f t="shared" ref="N6:N15" si="9">SUM(J6:M6)</f>
        <v>0</v>
      </c>
      <c r="O6" s="181">
        <f t="shared" ref="O6:O15" si="10">SUM(I6-N6)</f>
        <v>0</v>
      </c>
      <c r="S6" s="141" t="s">
        <v>14</v>
      </c>
    </row>
    <row r="7" spans="1:19" ht="25.8">
      <c r="A7" s="152" t="s">
        <v>18</v>
      </c>
      <c r="B7" s="154"/>
      <c r="C7" s="153"/>
      <c r="D7" s="149"/>
      <c r="E7" s="149">
        <f t="shared" si="0"/>
        <v>0</v>
      </c>
      <c r="F7" s="149">
        <f t="shared" si="1"/>
        <v>0</v>
      </c>
      <c r="G7" s="150">
        <f t="shared" si="2"/>
        <v>0</v>
      </c>
      <c r="H7" s="150">
        <f t="shared" si="3"/>
        <v>0</v>
      </c>
      <c r="I7" s="156">
        <f t="shared" si="8"/>
        <v>0</v>
      </c>
      <c r="J7" s="179">
        <f t="shared" si="4"/>
        <v>0</v>
      </c>
      <c r="K7" s="179">
        <f t="shared" si="5"/>
        <v>0</v>
      </c>
      <c r="L7" s="179">
        <f t="shared" si="6"/>
        <v>0</v>
      </c>
      <c r="M7" s="180">
        <f t="shared" si="7"/>
        <v>0</v>
      </c>
      <c r="N7" s="156">
        <f t="shared" si="9"/>
        <v>0</v>
      </c>
      <c r="O7" s="181">
        <f t="shared" si="10"/>
        <v>0</v>
      </c>
      <c r="S7" s="141" t="s">
        <v>8</v>
      </c>
    </row>
    <row r="8" spans="1:19" ht="25.8">
      <c r="A8" s="155" t="s">
        <v>19</v>
      </c>
      <c r="B8" s="154"/>
      <c r="C8" s="153"/>
      <c r="D8" s="156"/>
      <c r="E8" s="149">
        <f t="shared" si="0"/>
        <v>0</v>
      </c>
      <c r="F8" s="149">
        <f t="shared" si="1"/>
        <v>0</v>
      </c>
      <c r="G8" s="150">
        <f t="shared" si="2"/>
        <v>0</v>
      </c>
      <c r="H8" s="150">
        <f t="shared" si="3"/>
        <v>0</v>
      </c>
      <c r="I8" s="156">
        <f t="shared" si="8"/>
        <v>0</v>
      </c>
      <c r="J8" s="179">
        <f t="shared" si="4"/>
        <v>0</v>
      </c>
      <c r="K8" s="179">
        <f t="shared" si="5"/>
        <v>0</v>
      </c>
      <c r="L8" s="179">
        <f t="shared" si="6"/>
        <v>0</v>
      </c>
      <c r="M8" s="180">
        <f t="shared" si="7"/>
        <v>0</v>
      </c>
      <c r="N8" s="156">
        <f t="shared" si="9"/>
        <v>0</v>
      </c>
      <c r="O8" s="181">
        <f t="shared" si="10"/>
        <v>0</v>
      </c>
      <c r="S8" s="141" t="s">
        <v>9</v>
      </c>
    </row>
    <row r="9" spans="1:19" ht="25.8">
      <c r="A9" s="155" t="s">
        <v>20</v>
      </c>
      <c r="B9" s="154"/>
      <c r="C9" s="153"/>
      <c r="D9" s="149"/>
      <c r="E9" s="149">
        <f t="shared" si="0"/>
        <v>0</v>
      </c>
      <c r="F9" s="149">
        <f t="shared" si="1"/>
        <v>0</v>
      </c>
      <c r="G9" s="150">
        <f t="shared" si="2"/>
        <v>0</v>
      </c>
      <c r="H9" s="150">
        <f t="shared" si="3"/>
        <v>0</v>
      </c>
      <c r="I9" s="156">
        <f t="shared" si="8"/>
        <v>0</v>
      </c>
      <c r="J9" s="179">
        <f t="shared" si="4"/>
        <v>0</v>
      </c>
      <c r="K9" s="179">
        <f t="shared" si="5"/>
        <v>0</v>
      </c>
      <c r="L9" s="179">
        <f t="shared" si="6"/>
        <v>0</v>
      </c>
      <c r="M9" s="180">
        <f t="shared" si="7"/>
        <v>0</v>
      </c>
      <c r="N9" s="156">
        <f t="shared" si="9"/>
        <v>0</v>
      </c>
      <c r="O9" s="181">
        <f t="shared" si="10"/>
        <v>0</v>
      </c>
      <c r="S9" s="141" t="s">
        <v>13</v>
      </c>
    </row>
    <row r="10" spans="1:19" ht="25.8">
      <c r="A10" s="151" t="s">
        <v>21</v>
      </c>
      <c r="B10" s="155"/>
      <c r="C10" s="157"/>
      <c r="D10" s="149"/>
      <c r="E10" s="149">
        <f t="shared" si="0"/>
        <v>0</v>
      </c>
      <c r="F10" s="149">
        <f t="shared" si="1"/>
        <v>0</v>
      </c>
      <c r="G10" s="150">
        <f t="shared" si="2"/>
        <v>0</v>
      </c>
      <c r="H10" s="150">
        <f t="shared" si="3"/>
        <v>0</v>
      </c>
      <c r="I10" s="156">
        <f t="shared" si="8"/>
        <v>0</v>
      </c>
      <c r="J10" s="179">
        <f t="shared" si="4"/>
        <v>0</v>
      </c>
      <c r="K10" s="179">
        <f t="shared" si="5"/>
        <v>0</v>
      </c>
      <c r="L10" s="179">
        <f t="shared" si="6"/>
        <v>0</v>
      </c>
      <c r="M10" s="180">
        <f t="shared" si="7"/>
        <v>0</v>
      </c>
      <c r="N10" s="156">
        <f t="shared" si="9"/>
        <v>0</v>
      </c>
      <c r="O10" s="181">
        <f t="shared" si="10"/>
        <v>0</v>
      </c>
    </row>
    <row r="11" spans="1:19" ht="25.8">
      <c r="A11" s="151" t="s">
        <v>22</v>
      </c>
      <c r="B11" s="155"/>
      <c r="C11" s="157"/>
      <c r="D11" s="149"/>
      <c r="E11" s="149">
        <f t="shared" si="0"/>
        <v>0</v>
      </c>
      <c r="F11" s="149">
        <f t="shared" si="1"/>
        <v>0</v>
      </c>
      <c r="G11" s="150">
        <f t="shared" si="2"/>
        <v>0</v>
      </c>
      <c r="H11" s="150">
        <f t="shared" si="3"/>
        <v>0</v>
      </c>
      <c r="I11" s="156">
        <f t="shared" si="8"/>
        <v>0</v>
      </c>
      <c r="J11" s="179">
        <f t="shared" si="4"/>
        <v>0</v>
      </c>
      <c r="K11" s="179">
        <f t="shared" si="5"/>
        <v>0</v>
      </c>
      <c r="L11" s="179">
        <f t="shared" si="6"/>
        <v>0</v>
      </c>
      <c r="M11" s="180">
        <f t="shared" si="7"/>
        <v>140</v>
      </c>
      <c r="N11" s="156">
        <f t="shared" si="9"/>
        <v>140</v>
      </c>
      <c r="O11" s="181">
        <f t="shared" si="10"/>
        <v>-140</v>
      </c>
    </row>
    <row r="12" spans="1:19" ht="25.8">
      <c r="A12" s="151" t="s">
        <v>24</v>
      </c>
      <c r="B12" s="155"/>
      <c r="C12" s="157"/>
      <c r="D12" s="149"/>
      <c r="E12" s="149">
        <f t="shared" si="0"/>
        <v>0</v>
      </c>
      <c r="F12" s="149">
        <f t="shared" si="1"/>
        <v>0</v>
      </c>
      <c r="G12" s="150">
        <f t="shared" si="2"/>
        <v>0</v>
      </c>
      <c r="H12" s="150">
        <f t="shared" si="3"/>
        <v>0</v>
      </c>
      <c r="I12" s="156">
        <f t="shared" si="8"/>
        <v>0</v>
      </c>
      <c r="J12" s="179">
        <f t="shared" si="4"/>
        <v>0</v>
      </c>
      <c r="K12" s="179">
        <f t="shared" si="5"/>
        <v>0</v>
      </c>
      <c r="L12" s="179">
        <f t="shared" si="6"/>
        <v>0</v>
      </c>
      <c r="M12" s="180">
        <f t="shared" si="7"/>
        <v>0</v>
      </c>
      <c r="N12" s="156">
        <f t="shared" si="9"/>
        <v>0</v>
      </c>
      <c r="O12" s="181">
        <f t="shared" si="10"/>
        <v>0</v>
      </c>
    </row>
    <row r="13" spans="1:19" ht="25.8">
      <c r="A13" s="152" t="s">
        <v>26</v>
      </c>
      <c r="B13" s="154"/>
      <c r="C13" s="153"/>
      <c r="D13" s="149"/>
      <c r="E13" s="149">
        <f t="shared" si="0"/>
        <v>0</v>
      </c>
      <c r="F13" s="149">
        <f t="shared" si="1"/>
        <v>0</v>
      </c>
      <c r="G13" s="150">
        <f t="shared" si="2"/>
        <v>0</v>
      </c>
      <c r="H13" s="150">
        <f t="shared" si="3"/>
        <v>0</v>
      </c>
      <c r="I13" s="156">
        <f t="shared" si="8"/>
        <v>0</v>
      </c>
      <c r="J13" s="179">
        <f t="shared" si="4"/>
        <v>0</v>
      </c>
      <c r="K13" s="179">
        <f t="shared" si="5"/>
        <v>0</v>
      </c>
      <c r="L13" s="179">
        <f t="shared" si="6"/>
        <v>0</v>
      </c>
      <c r="M13" s="180">
        <f t="shared" si="7"/>
        <v>0</v>
      </c>
      <c r="N13" s="156">
        <f t="shared" si="9"/>
        <v>0</v>
      </c>
      <c r="O13" s="181">
        <f t="shared" si="10"/>
        <v>0</v>
      </c>
    </row>
    <row r="14" spans="1:19" ht="25.8">
      <c r="A14" s="158" t="s">
        <v>28</v>
      </c>
      <c r="B14" s="206"/>
      <c r="C14" s="207"/>
      <c r="D14" s="161"/>
      <c r="E14" s="161">
        <f t="shared" si="0"/>
        <v>0</v>
      </c>
      <c r="F14" s="161">
        <f t="shared" si="1"/>
        <v>0</v>
      </c>
      <c r="G14" s="162">
        <f t="shared" si="2"/>
        <v>0</v>
      </c>
      <c r="H14" s="162">
        <f t="shared" si="3"/>
        <v>0</v>
      </c>
      <c r="I14" s="156">
        <f t="shared" si="8"/>
        <v>0</v>
      </c>
      <c r="J14" s="183">
        <f t="shared" si="4"/>
        <v>0</v>
      </c>
      <c r="K14" s="183">
        <f t="shared" si="5"/>
        <v>0</v>
      </c>
      <c r="L14" s="183">
        <f t="shared" si="6"/>
        <v>0</v>
      </c>
      <c r="M14" s="184">
        <f t="shared" si="7"/>
        <v>0</v>
      </c>
      <c r="N14" s="182">
        <f t="shared" si="9"/>
        <v>0</v>
      </c>
      <c r="O14" s="204">
        <f t="shared" si="10"/>
        <v>0</v>
      </c>
    </row>
    <row r="15" spans="1:19" ht="25.8">
      <c r="A15" s="163" t="s">
        <v>29</v>
      </c>
      <c r="B15" s="208"/>
      <c r="C15" s="209"/>
      <c r="D15" s="156"/>
      <c r="E15" s="156">
        <f t="shared" si="0"/>
        <v>0</v>
      </c>
      <c r="F15" s="156"/>
      <c r="G15" s="156">
        <f t="shared" si="2"/>
        <v>0</v>
      </c>
      <c r="H15" s="156">
        <f t="shared" si="3"/>
        <v>0</v>
      </c>
      <c r="I15" s="156">
        <f t="shared" si="8"/>
        <v>0</v>
      </c>
      <c r="J15" s="156">
        <f t="shared" si="4"/>
        <v>0</v>
      </c>
      <c r="K15" s="156">
        <f t="shared" si="5"/>
        <v>0</v>
      </c>
      <c r="L15" s="156">
        <f t="shared" si="6"/>
        <v>0</v>
      </c>
      <c r="M15" s="156">
        <f t="shared" si="7"/>
        <v>0</v>
      </c>
      <c r="N15" s="156">
        <f t="shared" si="9"/>
        <v>0</v>
      </c>
      <c r="O15" s="204">
        <f t="shared" si="10"/>
        <v>0</v>
      </c>
    </row>
    <row r="16" spans="1:19" ht="25.8">
      <c r="A16" s="164" t="s">
        <v>10</v>
      </c>
      <c r="B16" s="210"/>
      <c r="C16" s="211"/>
      <c r="D16" s="167">
        <f t="shared" ref="D16:O16" si="11">SUM(D5:D15)</f>
        <v>0</v>
      </c>
      <c r="E16" s="167">
        <f t="shared" si="11"/>
        <v>0</v>
      </c>
      <c r="F16" s="167">
        <f t="shared" si="11"/>
        <v>0</v>
      </c>
      <c r="G16" s="167">
        <f t="shared" si="11"/>
        <v>0</v>
      </c>
      <c r="H16" s="167">
        <f t="shared" si="11"/>
        <v>0</v>
      </c>
      <c r="I16" s="167">
        <f t="shared" si="11"/>
        <v>0</v>
      </c>
      <c r="J16" s="167">
        <f t="shared" si="11"/>
        <v>0</v>
      </c>
      <c r="K16" s="167">
        <f t="shared" si="11"/>
        <v>0</v>
      </c>
      <c r="L16" s="167">
        <f t="shared" si="11"/>
        <v>0</v>
      </c>
      <c r="M16" s="167">
        <f t="shared" si="11"/>
        <v>140</v>
      </c>
      <c r="N16" s="167">
        <f t="shared" si="11"/>
        <v>140</v>
      </c>
      <c r="O16" s="186">
        <f t="shared" si="11"/>
        <v>-140</v>
      </c>
    </row>
    <row r="17" spans="1:17">
      <c r="H17"/>
      <c r="K17"/>
      <c r="L17"/>
      <c r="M17"/>
      <c r="N17"/>
      <c r="O17"/>
    </row>
    <row r="18" spans="1:17" ht="30" customHeight="1">
      <c r="A18" s="240" t="s">
        <v>30</v>
      </c>
      <c r="B18" s="241"/>
      <c r="C18" s="241"/>
      <c r="D18" s="241"/>
      <c r="E18" s="241"/>
      <c r="F18" s="241"/>
      <c r="G18" s="242"/>
      <c r="H18" s="168"/>
      <c r="I18" s="168"/>
      <c r="J18" s="168"/>
      <c r="K18" s="168"/>
      <c r="L18" s="168"/>
      <c r="M18" s="168"/>
      <c r="N18" s="168"/>
      <c r="O18" s="168"/>
      <c r="P18" s="168"/>
      <c r="Q18" s="196"/>
    </row>
    <row r="19" spans="1:17" ht="22.5" customHeight="1">
      <c r="A19" s="169" t="s">
        <v>31</v>
      </c>
      <c r="B19" s="169" t="s">
        <v>32</v>
      </c>
      <c r="C19" s="169" t="s">
        <v>33</v>
      </c>
      <c r="D19" s="170" t="s">
        <v>34</v>
      </c>
      <c r="E19" s="169" t="s">
        <v>35</v>
      </c>
      <c r="F19" s="169" t="s">
        <v>36</v>
      </c>
      <c r="G19" s="169" t="s">
        <v>37</v>
      </c>
      <c r="H19" s="169" t="s">
        <v>38</v>
      </c>
      <c r="I19" s="169" t="s">
        <v>39</v>
      </c>
      <c r="J19" s="187"/>
      <c r="K19" s="187"/>
      <c r="L19" s="187"/>
      <c r="M19" s="187"/>
      <c r="N19" s="187"/>
      <c r="O19" s="187"/>
      <c r="P19" s="187"/>
    </row>
    <row r="20" spans="1:17">
      <c r="A20" s="3">
        <v>45858</v>
      </c>
      <c r="B20" s="3" t="str">
        <f>TEXT(Tabela22[[#This Row],[DATA]],"mmm")</f>
        <v>jul</v>
      </c>
      <c r="C20" s="2" t="s">
        <v>22</v>
      </c>
      <c r="D20" s="2" t="s">
        <v>14</v>
      </c>
      <c r="E20" s="2">
        <v>95</v>
      </c>
      <c r="F20" s="2" t="s">
        <v>45</v>
      </c>
      <c r="G20" s="173" t="s">
        <v>46</v>
      </c>
      <c r="H20" s="174" t="s">
        <v>45</v>
      </c>
      <c r="I20" s="173" t="e">
        <f>Tabela22[[#This Row],[PESO TOTAL]]/Tabela22[[#This Row],[QUANTIDADE]]</f>
        <v>#VALUE!</v>
      </c>
      <c r="J20" s="188"/>
      <c r="K20" s="189"/>
      <c r="L20" s="190"/>
      <c r="M20" s="190"/>
      <c r="N20" s="190"/>
      <c r="O20" s="191"/>
      <c r="P20" s="192"/>
    </row>
    <row r="21" spans="1:17">
      <c r="A21" s="3">
        <v>45889</v>
      </c>
      <c r="B21" s="3" t="str">
        <f>TEXT(Tabela22[[#This Row],[DATA]],"mmm")</f>
        <v>ago</v>
      </c>
      <c r="C21" s="2" t="s">
        <v>22</v>
      </c>
      <c r="D21" s="2" t="s">
        <v>14</v>
      </c>
      <c r="E21" s="2">
        <v>45</v>
      </c>
      <c r="F21" s="2"/>
      <c r="G21" s="173" t="s">
        <v>46</v>
      </c>
      <c r="H21" s="174"/>
      <c r="I21" s="173">
        <f>Tabela22[[#This Row],[PESO TOTAL]]/Tabela22[[#This Row],[QUANTIDADE]]</f>
        <v>0</v>
      </c>
      <c r="J21" s="188"/>
      <c r="K21" s="193"/>
      <c r="L21" s="8"/>
      <c r="M21" s="8"/>
      <c r="N21" s="8"/>
      <c r="O21" s="194"/>
      <c r="P21" s="195"/>
    </row>
    <row r="22" spans="1:17">
      <c r="A22" s="3"/>
      <c r="B22" s="3" t="str">
        <f>TEXT(Tabela22[[#This Row],[DATA]],"mmm")</f>
        <v>jan</v>
      </c>
      <c r="C22" s="2"/>
      <c r="D22" s="2"/>
      <c r="E22" s="2"/>
      <c r="F22" s="2"/>
      <c r="G22" s="173"/>
      <c r="H22" s="174"/>
      <c r="I22" s="173" t="e">
        <f>Tabela22[[#This Row],[PESO TOTAL]]/Tabela22[[#This Row],[QUANTIDADE]]</f>
        <v>#DIV/0!</v>
      </c>
      <c r="J22" s="188"/>
      <c r="K22" s="193"/>
      <c r="L22" s="8"/>
      <c r="M22" s="8"/>
      <c r="N22" s="8"/>
      <c r="O22" s="194"/>
      <c r="P22" s="195"/>
    </row>
    <row r="23" spans="1:17">
      <c r="A23" s="3"/>
      <c r="B23" s="3" t="str">
        <f>TEXT(Tabela22[[#This Row],[DATA]],"mmm")</f>
        <v>jan</v>
      </c>
      <c r="C23" s="2"/>
      <c r="D23" s="2"/>
      <c r="E23" s="2"/>
      <c r="F23" s="2"/>
      <c r="G23" s="173"/>
      <c r="H23" s="174"/>
      <c r="I23" s="173" t="e">
        <f>Tabela22[[#This Row],[PESO TOTAL]]/Tabela22[[#This Row],[QUANTIDADE]]</f>
        <v>#DIV/0!</v>
      </c>
      <c r="J23" s="188"/>
      <c r="K23" s="193"/>
      <c r="L23" s="8"/>
      <c r="M23" s="8"/>
      <c r="N23" s="8"/>
      <c r="O23" s="194"/>
      <c r="P23" s="195"/>
    </row>
    <row r="24" spans="1:17">
      <c r="A24" s="3"/>
      <c r="B24" s="3" t="str">
        <f>TEXT(Tabela22[[#This Row],[DATA]],"mmm")</f>
        <v>jan</v>
      </c>
      <c r="C24" s="2"/>
      <c r="D24" s="2"/>
      <c r="E24" s="2"/>
      <c r="F24" s="2"/>
      <c r="G24" s="173"/>
      <c r="H24" s="174"/>
      <c r="I24" s="173" t="e">
        <f>Tabela22[[#This Row],[PESO TOTAL]]/Tabela22[[#This Row],[QUANTIDADE]]</f>
        <v>#DIV/0!</v>
      </c>
      <c r="J24" s="188"/>
      <c r="K24" s="193"/>
      <c r="L24" s="8"/>
      <c r="M24" s="8"/>
      <c r="N24" s="8"/>
      <c r="O24" s="194"/>
      <c r="P24" s="195"/>
    </row>
    <row r="25" spans="1:17">
      <c r="A25" s="3"/>
      <c r="B25" s="3" t="str">
        <f>TEXT(Tabela22[[#This Row],[DATA]],"mmm")</f>
        <v>jan</v>
      </c>
      <c r="C25" s="2"/>
      <c r="D25" s="2"/>
      <c r="E25" s="2"/>
      <c r="F25" s="2"/>
      <c r="G25" s="173"/>
      <c r="H25" s="174"/>
      <c r="I25" s="173" t="e">
        <f>Tabela22[[#This Row],[PESO TOTAL]]/Tabela22[[#This Row],[QUANTIDADE]]</f>
        <v>#DIV/0!</v>
      </c>
      <c r="J25" s="188"/>
      <c r="K25" s="193"/>
      <c r="L25" s="8"/>
      <c r="M25" s="8"/>
      <c r="N25" s="8"/>
      <c r="O25" s="194"/>
      <c r="P25" s="195"/>
    </row>
    <row r="26" spans="1:17">
      <c r="A26" s="3"/>
      <c r="B26" s="3" t="str">
        <f>TEXT(Tabela22[[#This Row],[DATA]],"mmm")</f>
        <v>jan</v>
      </c>
      <c r="C26" s="2"/>
      <c r="D26" s="2"/>
      <c r="E26" s="2"/>
      <c r="F26" s="2"/>
      <c r="G26" s="173"/>
      <c r="H26" s="174"/>
      <c r="I26" s="173" t="e">
        <f>Tabela22[[#This Row],[PESO TOTAL]]/Tabela22[[#This Row],[QUANTIDADE]]</f>
        <v>#DIV/0!</v>
      </c>
      <c r="J26" s="188"/>
      <c r="K26" s="193"/>
      <c r="L26" s="8"/>
      <c r="M26" s="8"/>
      <c r="N26" s="8"/>
      <c r="O26" s="194"/>
      <c r="P26" s="195"/>
    </row>
    <row r="27" spans="1:17">
      <c r="A27" s="3"/>
      <c r="B27" s="3" t="str">
        <f>TEXT(Tabela22[[#This Row],[DATA]],"mmm")</f>
        <v>jan</v>
      </c>
      <c r="C27" s="2"/>
      <c r="D27" s="2"/>
      <c r="E27" s="2"/>
      <c r="F27" s="2"/>
      <c r="G27" s="173"/>
      <c r="H27" s="174"/>
      <c r="I27" s="173" t="e">
        <f>Tabela22[[#This Row],[PESO TOTAL]]/Tabela22[[#This Row],[QUANTIDADE]]</f>
        <v>#DIV/0!</v>
      </c>
      <c r="J27" s="188"/>
      <c r="K27" s="193"/>
      <c r="L27" s="8"/>
      <c r="M27" s="8"/>
      <c r="N27" s="8"/>
      <c r="O27" s="194"/>
      <c r="P27" s="195"/>
    </row>
    <row r="28" spans="1:17">
      <c r="A28" s="3"/>
      <c r="B28" s="3" t="str">
        <f>TEXT(Tabela22[[#This Row],[DATA]],"mmmm")</f>
        <v>janeiro</v>
      </c>
      <c r="C28" s="2"/>
      <c r="D28" s="2"/>
      <c r="E28" s="2"/>
      <c r="F28" s="2"/>
      <c r="G28" s="173"/>
      <c r="H28" s="174"/>
      <c r="I28" s="173" t="e">
        <f>Tabela22[[#This Row],[PESO TOTAL]]/Tabela22[[#This Row],[QUANTIDADE]]</f>
        <v>#DIV/0!</v>
      </c>
      <c r="J28" s="2"/>
      <c r="K28" s="193"/>
      <c r="L28" s="8"/>
      <c r="M28" s="8"/>
      <c r="N28" s="8"/>
      <c r="O28" s="194"/>
      <c r="P28" s="195"/>
    </row>
    <row r="29" spans="1:17">
      <c r="A29" s="3"/>
      <c r="B29" s="3" t="str">
        <f>TEXT(Tabela22[[#This Row],[DATA]],"mmmm")</f>
        <v>janeiro</v>
      </c>
      <c r="C29" s="2"/>
      <c r="D29" s="2"/>
      <c r="E29" s="2"/>
      <c r="F29" s="2"/>
      <c r="G29" s="173"/>
      <c r="H29" s="174"/>
      <c r="I29" s="173" t="e">
        <f>Tabela22[[#This Row],[PESO TOTAL]]/Tabela22[[#This Row],[QUANTIDADE]]</f>
        <v>#DIV/0!</v>
      </c>
      <c r="J29" s="2"/>
      <c r="K29" s="193"/>
      <c r="L29" s="8"/>
      <c r="M29" s="8"/>
      <c r="N29" s="8"/>
      <c r="O29" s="194"/>
      <c r="P29" s="195"/>
    </row>
    <row r="30" spans="1:17">
      <c r="A30" s="3"/>
      <c r="B30" s="3" t="str">
        <f>TEXT(Tabela22[[#This Row],[DATA]],"mmmm")</f>
        <v>janeiro</v>
      </c>
      <c r="C30" s="2"/>
      <c r="D30" s="2"/>
      <c r="E30" s="2"/>
      <c r="F30" s="2"/>
      <c r="G30" s="173"/>
      <c r="H30" s="174"/>
      <c r="I30" s="173" t="e">
        <f>Tabela22[[#This Row],[PESO TOTAL]]/Tabela22[[#This Row],[QUANTIDADE]]</f>
        <v>#DIV/0!</v>
      </c>
      <c r="J30" s="2"/>
      <c r="K30" s="193"/>
      <c r="L30" s="8"/>
      <c r="M30" s="8"/>
      <c r="N30" s="8"/>
      <c r="O30" s="194"/>
      <c r="P30" s="195"/>
    </row>
    <row r="31" spans="1:17">
      <c r="A31" s="3"/>
      <c r="B31" s="3" t="str">
        <f>TEXT(Tabela22[[#This Row],[DATA]],"mmmm")</f>
        <v>janeiro</v>
      </c>
      <c r="C31" s="2"/>
      <c r="D31" s="2"/>
      <c r="E31" s="2"/>
      <c r="F31" s="2"/>
      <c r="G31" s="173"/>
      <c r="H31" s="174"/>
      <c r="I31" s="173" t="e">
        <f>Tabela22[[#This Row],[PESO TOTAL]]/Tabela22[[#This Row],[QUANTIDADE]]</f>
        <v>#DIV/0!</v>
      </c>
      <c r="J31" s="2"/>
      <c r="K31" s="193"/>
      <c r="L31" s="8"/>
      <c r="M31" s="8"/>
      <c r="N31" s="8"/>
      <c r="O31" s="194"/>
      <c r="P31" s="195"/>
    </row>
    <row r="32" spans="1:17">
      <c r="A32" s="3"/>
      <c r="B32" s="3" t="str">
        <f>TEXT(Tabela22[[#This Row],[DATA]],"mmmm")</f>
        <v>janeiro</v>
      </c>
      <c r="C32" s="2"/>
      <c r="D32" s="2"/>
      <c r="E32" s="2"/>
      <c r="F32" s="2"/>
      <c r="G32" s="173"/>
      <c r="H32" s="174"/>
      <c r="I32" s="173" t="e">
        <f>Tabela22[[#This Row],[PESO TOTAL]]/Tabela22[[#This Row],[QUANTIDADE]]</f>
        <v>#DIV/0!</v>
      </c>
      <c r="J32" s="2"/>
      <c r="K32" s="193"/>
      <c r="L32" s="8"/>
      <c r="M32" s="8"/>
      <c r="N32" s="8"/>
      <c r="O32" s="194"/>
      <c r="P32" s="195"/>
    </row>
    <row r="33" spans="1:16">
      <c r="A33" s="3"/>
      <c r="B33" s="3" t="str">
        <f>TEXT(Tabela22[[#This Row],[DATA]],"mmmm")</f>
        <v>janeiro</v>
      </c>
      <c r="C33" s="2"/>
      <c r="D33" s="2"/>
      <c r="E33" s="2"/>
      <c r="F33" s="2"/>
      <c r="G33" s="173"/>
      <c r="H33" s="174"/>
      <c r="I33" s="173" t="e">
        <f>Tabela22[[#This Row],[PESO TOTAL]]/Tabela22[[#This Row],[QUANTIDADE]]</f>
        <v>#DIV/0!</v>
      </c>
      <c r="J33" s="2"/>
      <c r="K33" s="193"/>
      <c r="L33" s="8"/>
      <c r="M33" s="8"/>
      <c r="N33" s="8"/>
      <c r="O33" s="194"/>
      <c r="P33" s="195"/>
    </row>
    <row r="34" spans="1:16">
      <c r="A34" s="3"/>
      <c r="B34" s="3" t="str">
        <f>TEXT(Tabela22[[#This Row],[DATA]],"mmmm")</f>
        <v>janeiro</v>
      </c>
      <c r="C34" s="2"/>
      <c r="D34" s="2"/>
      <c r="E34" s="2"/>
      <c r="F34" s="2"/>
      <c r="G34" s="173"/>
      <c r="H34" s="174"/>
      <c r="I34" s="173" t="e">
        <f>Tabela22[[#This Row],[PESO TOTAL]]/Tabela22[[#This Row],[QUANTIDADE]]</f>
        <v>#DIV/0!</v>
      </c>
      <c r="J34" s="2"/>
      <c r="K34" s="193"/>
      <c r="L34" s="8"/>
      <c r="M34" s="8"/>
      <c r="N34" s="8"/>
      <c r="O34" s="194"/>
      <c r="P34" s="195"/>
    </row>
    <row r="35" spans="1:16">
      <c r="A35" s="3"/>
      <c r="B35" s="3" t="str">
        <f>TEXT(Tabela22[[#This Row],[DATA]],"mmmm")</f>
        <v>janeiro</v>
      </c>
      <c r="C35" s="2"/>
      <c r="D35" s="2"/>
      <c r="E35" s="2"/>
      <c r="F35" s="2"/>
      <c r="G35" s="173"/>
      <c r="H35" s="174"/>
      <c r="I35" s="173" t="e">
        <f>Tabela22[[#This Row],[PESO TOTAL]]/Tabela22[[#This Row],[QUANTIDADE]]</f>
        <v>#DIV/0!</v>
      </c>
      <c r="J35" s="2"/>
      <c r="K35" s="193"/>
      <c r="L35" s="8"/>
      <c r="M35" s="8"/>
      <c r="N35" s="8"/>
      <c r="O35" s="194"/>
      <c r="P35" s="195"/>
    </row>
    <row r="36" spans="1:16">
      <c r="A36" s="3"/>
      <c r="B36" s="3" t="str">
        <f>TEXT(Tabela22[[#This Row],[DATA]],"mmmm")</f>
        <v>janeiro</v>
      </c>
      <c r="C36" s="2"/>
      <c r="D36" s="2"/>
      <c r="E36" s="2"/>
      <c r="F36" s="2"/>
      <c r="G36" s="173"/>
      <c r="H36" s="174"/>
      <c r="I36" s="173" t="e">
        <f>Tabela22[[#This Row],[PESO TOTAL]]/Tabela22[[#This Row],[QUANTIDADE]]</f>
        <v>#DIV/0!</v>
      </c>
      <c r="J36" s="2"/>
      <c r="K36" s="193"/>
      <c r="L36" s="8"/>
      <c r="M36" s="8"/>
      <c r="N36" s="8"/>
      <c r="O36" s="194"/>
      <c r="P36" s="195"/>
    </row>
    <row r="37" spans="1:16">
      <c r="A37" s="3"/>
      <c r="B37" s="3" t="str">
        <f>TEXT(Tabela22[[#This Row],[DATA]],"mmmm")</f>
        <v>janeiro</v>
      </c>
      <c r="C37" s="2"/>
      <c r="D37" s="2"/>
      <c r="E37" s="2"/>
      <c r="F37" s="2"/>
      <c r="G37" s="173"/>
      <c r="H37" s="174"/>
      <c r="I37" s="173" t="e">
        <f>Tabela22[[#This Row],[PESO TOTAL]]/Tabela22[[#This Row],[QUANTIDADE]]</f>
        <v>#DIV/0!</v>
      </c>
      <c r="J37" s="2"/>
      <c r="K37" s="193"/>
      <c r="L37" s="8"/>
      <c r="M37" s="8"/>
      <c r="N37" s="8"/>
      <c r="O37" s="194"/>
      <c r="P37" s="195"/>
    </row>
    <row r="38" spans="1:16">
      <c r="A38" s="3"/>
      <c r="B38" s="3" t="str">
        <f>TEXT(Tabela22[[#This Row],[DATA]],"mmmm")</f>
        <v>janeiro</v>
      </c>
      <c r="C38" s="2"/>
      <c r="D38" s="2"/>
      <c r="E38" s="2"/>
      <c r="F38" s="2"/>
      <c r="G38" s="173"/>
      <c r="H38" s="174"/>
      <c r="I38" s="173" t="e">
        <f>Tabela22[[#This Row],[PESO TOTAL]]/Tabela22[[#This Row],[QUANTIDADE]]</f>
        <v>#DIV/0!</v>
      </c>
      <c r="J38" s="2"/>
      <c r="K38" s="193"/>
      <c r="L38" s="8"/>
      <c r="M38" s="8"/>
      <c r="N38" s="8"/>
      <c r="O38" s="194"/>
      <c r="P38" s="195"/>
    </row>
    <row r="39" spans="1:16">
      <c r="A39" s="3"/>
      <c r="B39" s="3" t="str">
        <f>TEXT(Tabela22[[#This Row],[DATA]],"mmmm")</f>
        <v>janeiro</v>
      </c>
      <c r="C39" s="2"/>
      <c r="D39" s="2"/>
      <c r="E39" s="2"/>
      <c r="F39" s="2"/>
      <c r="G39" s="173"/>
      <c r="H39" s="174"/>
      <c r="I39" s="173" t="e">
        <f>Tabela22[[#This Row],[PESO TOTAL]]/Tabela22[[#This Row],[QUANTIDADE]]</f>
        <v>#DIV/0!</v>
      </c>
      <c r="J39" s="2"/>
      <c r="K39" s="193"/>
      <c r="L39" s="8"/>
      <c r="M39" s="8"/>
      <c r="N39" s="8"/>
      <c r="O39" s="194"/>
      <c r="P39" s="195"/>
    </row>
    <row r="40" spans="1:16">
      <c r="A40" s="3"/>
      <c r="B40" s="3" t="str">
        <f>TEXT(Tabela22[[#This Row],[DATA]],"mmmm")</f>
        <v>janeiro</v>
      </c>
      <c r="C40" s="2"/>
      <c r="D40" s="2"/>
      <c r="E40" s="2"/>
      <c r="F40" s="2"/>
      <c r="G40" s="173"/>
      <c r="H40" s="174"/>
      <c r="I40" s="173" t="e">
        <f>Tabela22[[#This Row],[PESO TOTAL]]/Tabela22[[#This Row],[QUANTIDADE]]</f>
        <v>#DIV/0!</v>
      </c>
      <c r="J40" s="2"/>
      <c r="K40" s="193"/>
      <c r="L40" s="8"/>
      <c r="M40" s="8"/>
      <c r="N40" s="8"/>
      <c r="O40" s="194"/>
      <c r="P40" s="195"/>
    </row>
    <row r="41" spans="1:16">
      <c r="A41" s="3"/>
      <c r="B41" s="3" t="str">
        <f>TEXT(Tabela22[[#This Row],[DATA]],"mmmm")</f>
        <v>janeiro</v>
      </c>
      <c r="C41" s="2"/>
      <c r="D41" s="2"/>
      <c r="E41" s="2"/>
      <c r="F41" s="2"/>
      <c r="G41" s="173"/>
      <c r="H41" s="174"/>
      <c r="I41" s="173" t="e">
        <f>Tabela22[[#This Row],[PESO TOTAL]]/Tabela22[[#This Row],[QUANTIDADE]]</f>
        <v>#DIV/0!</v>
      </c>
      <c r="J41" s="2"/>
      <c r="K41" s="193"/>
      <c r="L41" s="8"/>
      <c r="M41" s="8"/>
      <c r="N41" s="8"/>
      <c r="O41" s="194"/>
      <c r="P41" s="195"/>
    </row>
    <row r="42" spans="1:16">
      <c r="A42" s="3"/>
      <c r="B42" s="3" t="str">
        <f>TEXT(Tabela22[[#This Row],[DATA]],"mmmm")</f>
        <v>janeiro</v>
      </c>
      <c r="C42" s="2"/>
      <c r="D42" s="2"/>
      <c r="E42" s="2"/>
      <c r="F42" s="2"/>
      <c r="G42" s="173"/>
      <c r="H42" s="174"/>
      <c r="I42" s="173" t="e">
        <f>Tabela22[[#This Row],[PESO TOTAL]]/Tabela22[[#This Row],[QUANTIDADE]]</f>
        <v>#DIV/0!</v>
      </c>
      <c r="J42" s="2"/>
      <c r="K42" s="193"/>
      <c r="L42" s="8"/>
      <c r="M42" s="8"/>
      <c r="N42" s="8"/>
      <c r="O42" s="194"/>
      <c r="P42" s="195"/>
    </row>
    <row r="43" spans="1:16">
      <c r="A43" s="3"/>
      <c r="B43" s="3" t="str">
        <f>TEXT(Tabela22[[#This Row],[DATA]],"mmmm")</f>
        <v>janeiro</v>
      </c>
      <c r="C43" s="2"/>
      <c r="D43" s="2"/>
      <c r="E43" s="2"/>
      <c r="F43" s="2"/>
      <c r="G43" s="173"/>
      <c r="H43" s="174"/>
      <c r="I43" s="173" t="e">
        <f>Tabela22[[#This Row],[PESO TOTAL]]/Tabela22[[#This Row],[QUANTIDADE]]</f>
        <v>#DIV/0!</v>
      </c>
      <c r="J43" s="2"/>
      <c r="K43" s="193"/>
      <c r="L43" s="8"/>
      <c r="M43" s="8"/>
      <c r="N43" s="8"/>
      <c r="O43" s="194"/>
      <c r="P43" s="195"/>
    </row>
    <row r="44" spans="1:16">
      <c r="A44" s="3"/>
      <c r="B44" s="3" t="str">
        <f>TEXT(Tabela22[[#This Row],[DATA]],"mmmm")</f>
        <v>janeiro</v>
      </c>
      <c r="C44" s="2"/>
      <c r="D44" s="2"/>
      <c r="E44" s="2"/>
      <c r="F44" s="2"/>
      <c r="G44" s="173"/>
      <c r="H44" s="174"/>
      <c r="I44" s="173" t="e">
        <f>Tabela22[[#This Row],[PESO TOTAL]]/Tabela22[[#This Row],[QUANTIDADE]]</f>
        <v>#DIV/0!</v>
      </c>
      <c r="J44" s="2"/>
      <c r="K44" s="193"/>
      <c r="L44" s="8"/>
      <c r="M44" s="8"/>
      <c r="N44" s="8"/>
      <c r="O44" s="194"/>
      <c r="P44" s="195"/>
    </row>
    <row r="45" spans="1:16">
      <c r="A45" s="3"/>
      <c r="B45" s="3" t="str">
        <f>TEXT(Tabela22[[#This Row],[DATA]],"mmmm")</f>
        <v>janeiro</v>
      </c>
      <c r="C45" s="2"/>
      <c r="D45" s="2"/>
      <c r="E45" s="2"/>
      <c r="F45" s="2"/>
      <c r="G45" s="173"/>
      <c r="H45" s="174"/>
      <c r="I45" s="173" t="e">
        <f>Tabela22[[#This Row],[PESO TOTAL]]/Tabela22[[#This Row],[QUANTIDADE]]</f>
        <v>#DIV/0!</v>
      </c>
      <c r="J45" s="2"/>
      <c r="K45" s="193"/>
      <c r="L45" s="8"/>
      <c r="M45" s="8"/>
      <c r="N45" s="8"/>
      <c r="O45" s="194"/>
      <c r="P45" s="195"/>
    </row>
    <row r="46" spans="1:16">
      <c r="A46" s="3"/>
      <c r="B46" s="3" t="str">
        <f>TEXT(Tabela22[[#This Row],[DATA]],"mmmm")</f>
        <v>janeiro</v>
      </c>
      <c r="C46" s="2"/>
      <c r="D46" s="2"/>
      <c r="E46" s="2"/>
      <c r="F46" s="2"/>
      <c r="G46" s="173"/>
      <c r="H46" s="174"/>
      <c r="I46" s="173" t="e">
        <f>Tabela22[[#This Row],[PESO TOTAL]]/Tabela22[[#This Row],[QUANTIDADE]]</f>
        <v>#DIV/0!</v>
      </c>
      <c r="J46" s="2"/>
      <c r="K46" s="193"/>
      <c r="L46" s="8"/>
      <c r="M46" s="8"/>
      <c r="N46" s="8"/>
      <c r="O46" s="194"/>
      <c r="P46" s="195"/>
    </row>
    <row r="47" spans="1:16">
      <c r="A47" s="3"/>
      <c r="B47" s="3" t="str">
        <f>TEXT(Tabela22[[#This Row],[DATA]],"mmmm")</f>
        <v>janeiro</v>
      </c>
      <c r="C47" s="2"/>
      <c r="D47" s="2"/>
      <c r="E47" s="2"/>
      <c r="F47" s="2"/>
      <c r="G47" s="173"/>
      <c r="H47" s="174"/>
      <c r="I47" s="173" t="e">
        <f>Tabela22[[#This Row],[PESO TOTAL]]/Tabela22[[#This Row],[QUANTIDADE]]</f>
        <v>#DIV/0!</v>
      </c>
      <c r="J47" s="2"/>
      <c r="K47" s="193"/>
      <c r="L47" s="8"/>
      <c r="M47" s="8"/>
      <c r="N47" s="8"/>
      <c r="O47" s="194"/>
      <c r="P47" s="195"/>
    </row>
    <row r="48" spans="1:16">
      <c r="A48" s="3"/>
      <c r="B48" s="3" t="str">
        <f>TEXT(Tabela22[[#This Row],[DATA]],"mmmm")</f>
        <v>janeiro</v>
      </c>
      <c r="C48" s="2"/>
      <c r="D48" s="2"/>
      <c r="E48" s="2"/>
      <c r="F48" s="2"/>
      <c r="G48" s="173"/>
      <c r="H48" s="174"/>
      <c r="I48" s="173" t="e">
        <f>Tabela22[[#This Row],[PESO TOTAL]]/Tabela22[[#This Row],[QUANTIDADE]]</f>
        <v>#DIV/0!</v>
      </c>
      <c r="J48" s="2"/>
      <c r="K48" s="193"/>
      <c r="L48" s="8"/>
      <c r="M48" s="8"/>
      <c r="N48" s="8"/>
      <c r="O48" s="194"/>
      <c r="P48" s="195"/>
    </row>
    <row r="49" spans="1:16">
      <c r="A49" s="3"/>
      <c r="B49" s="3" t="str">
        <f>TEXT(Tabela22[[#This Row],[DATA]],"mmmm")</f>
        <v>janeiro</v>
      </c>
      <c r="C49" s="2"/>
      <c r="D49" s="2"/>
      <c r="E49" s="2"/>
      <c r="F49" s="2"/>
      <c r="G49" s="173"/>
      <c r="H49" s="174"/>
      <c r="I49" s="173" t="e">
        <f>Tabela22[[#This Row],[PESO TOTAL]]/Tabela22[[#This Row],[QUANTIDADE]]</f>
        <v>#DIV/0!</v>
      </c>
      <c r="J49" s="2"/>
      <c r="K49" s="193"/>
      <c r="L49" s="8"/>
      <c r="M49" s="8"/>
      <c r="N49" s="8"/>
      <c r="O49" s="194"/>
      <c r="P49" s="195"/>
    </row>
    <row r="50" spans="1:16">
      <c r="A50" s="3"/>
      <c r="B50" s="3" t="str">
        <f>TEXT(Tabela22[[#This Row],[DATA]],"mmmm")</f>
        <v>janeiro</v>
      </c>
      <c r="C50" s="2"/>
      <c r="D50" s="2"/>
      <c r="E50" s="2"/>
      <c r="F50" s="2"/>
      <c r="G50" s="173"/>
      <c r="H50" s="174"/>
      <c r="I50" s="173" t="e">
        <f>Tabela22[[#This Row],[PESO TOTAL]]/Tabela22[[#This Row],[QUANTIDADE]]</f>
        <v>#DIV/0!</v>
      </c>
      <c r="J50" s="2"/>
      <c r="K50" s="193"/>
      <c r="L50" s="8"/>
      <c r="M50" s="8"/>
      <c r="N50" s="8"/>
      <c r="O50" s="194"/>
      <c r="P50" s="195"/>
    </row>
    <row r="51" spans="1:16">
      <c r="A51" s="3"/>
      <c r="B51" s="3" t="str">
        <f>TEXT(Tabela22[[#This Row],[DATA]],"mmmm")</f>
        <v>janeiro</v>
      </c>
      <c r="C51" s="2"/>
      <c r="D51" s="2"/>
      <c r="E51" s="2"/>
      <c r="F51" s="2"/>
      <c r="G51" s="173"/>
      <c r="H51" s="174"/>
      <c r="I51" s="173" t="e">
        <f>Tabela22[[#This Row],[PESO TOTAL]]/Tabela22[[#This Row],[QUANTIDADE]]</f>
        <v>#DIV/0!</v>
      </c>
      <c r="J51" s="2"/>
      <c r="K51" s="193"/>
      <c r="L51" s="8"/>
      <c r="M51" s="8"/>
      <c r="N51" s="8"/>
      <c r="O51" s="194"/>
      <c r="P51" s="195"/>
    </row>
    <row r="52" spans="1:16">
      <c r="A52" s="3"/>
      <c r="B52" s="3" t="str">
        <f>TEXT(Tabela22[[#This Row],[DATA]],"mmmm")</f>
        <v>janeiro</v>
      </c>
      <c r="C52" s="2"/>
      <c r="D52" s="2"/>
      <c r="E52" s="2"/>
      <c r="F52" s="2"/>
      <c r="G52" s="173"/>
      <c r="H52" s="174"/>
      <c r="I52" s="173" t="e">
        <f>Tabela22[[#This Row],[PESO TOTAL]]/Tabela22[[#This Row],[QUANTIDADE]]</f>
        <v>#DIV/0!</v>
      </c>
      <c r="J52" s="2"/>
      <c r="K52" s="193"/>
      <c r="L52" s="8"/>
      <c r="M52" s="8"/>
      <c r="N52" s="8"/>
      <c r="O52" s="194"/>
      <c r="P52" s="195"/>
    </row>
    <row r="53" spans="1:16">
      <c r="A53" s="3"/>
      <c r="B53" s="3" t="str">
        <f>TEXT(Tabela22[[#This Row],[DATA]],"mmmm")</f>
        <v>janeiro</v>
      </c>
      <c r="C53" s="2"/>
      <c r="D53" s="2"/>
      <c r="E53" s="2"/>
      <c r="F53" s="2"/>
      <c r="G53" s="173"/>
      <c r="H53" s="174"/>
      <c r="I53" s="173" t="e">
        <f>Tabela22[[#This Row],[PESO TOTAL]]/Tabela22[[#This Row],[QUANTIDADE]]</f>
        <v>#DIV/0!</v>
      </c>
      <c r="J53" s="2"/>
      <c r="K53" s="193"/>
      <c r="L53" s="8"/>
      <c r="M53" s="8"/>
      <c r="N53" s="8"/>
      <c r="O53" s="194"/>
      <c r="P53" s="195"/>
    </row>
    <row r="54" spans="1:16">
      <c r="A54" s="3"/>
      <c r="B54" s="3" t="str">
        <f>TEXT(Tabela22[[#This Row],[DATA]],"mmmm")</f>
        <v>janeiro</v>
      </c>
      <c r="C54" s="2"/>
      <c r="D54" s="2"/>
      <c r="E54" s="2"/>
      <c r="F54" s="2"/>
      <c r="G54" s="173"/>
      <c r="H54" s="174"/>
      <c r="I54" s="173" t="e">
        <f>Tabela22[[#This Row],[PESO TOTAL]]/Tabela22[[#This Row],[QUANTIDADE]]</f>
        <v>#DIV/0!</v>
      </c>
      <c r="J54" s="2"/>
      <c r="K54" s="193"/>
      <c r="L54" s="8"/>
      <c r="M54" s="8"/>
      <c r="N54" s="8"/>
      <c r="O54" s="194"/>
      <c r="P54" s="195"/>
    </row>
    <row r="55" spans="1:16">
      <c r="A55" s="3"/>
      <c r="B55" s="3" t="str">
        <f>TEXT(Tabela22[[#This Row],[DATA]],"mmmm")</f>
        <v>janeiro</v>
      </c>
      <c r="C55" s="2"/>
      <c r="D55" s="2"/>
      <c r="E55" s="2"/>
      <c r="F55" s="2"/>
      <c r="G55" s="173"/>
      <c r="H55" s="174"/>
      <c r="I55" s="173" t="e">
        <f>Tabela22[[#This Row],[PESO TOTAL]]/Tabela22[[#This Row],[QUANTIDADE]]</f>
        <v>#DIV/0!</v>
      </c>
      <c r="J55" s="2"/>
      <c r="K55" s="193"/>
      <c r="L55" s="8"/>
      <c r="M55" s="8"/>
      <c r="N55" s="8"/>
      <c r="O55" s="194"/>
      <c r="P55" s="195"/>
    </row>
    <row r="56" spans="1:16">
      <c r="A56" s="3"/>
      <c r="B56" s="3" t="str">
        <f>TEXT(Tabela22[[#This Row],[DATA]],"mmmm")</f>
        <v>janeiro</v>
      </c>
      <c r="C56" s="2"/>
      <c r="D56" s="2"/>
      <c r="E56" s="2"/>
      <c r="F56" s="2"/>
      <c r="G56" s="173"/>
      <c r="H56" s="174"/>
      <c r="I56" s="173" t="e">
        <f>Tabela22[[#This Row],[PESO TOTAL]]/Tabela22[[#This Row],[QUANTIDADE]]</f>
        <v>#DIV/0!</v>
      </c>
      <c r="J56" s="2"/>
      <c r="K56" s="193"/>
      <c r="L56" s="8"/>
      <c r="M56" s="8"/>
      <c r="N56" s="8"/>
      <c r="O56" s="194"/>
      <c r="P56" s="195"/>
    </row>
    <row r="57" spans="1:16">
      <c r="A57" s="3"/>
      <c r="B57" s="3" t="str">
        <f>TEXT(Tabela22[[#This Row],[DATA]],"mmmm")</f>
        <v>janeiro</v>
      </c>
      <c r="C57" s="2"/>
      <c r="D57" s="2"/>
      <c r="E57" s="2"/>
      <c r="F57" s="2"/>
      <c r="G57" s="173"/>
      <c r="H57" s="174"/>
      <c r="I57" s="173" t="e">
        <f>Tabela22[[#This Row],[PESO TOTAL]]/Tabela22[[#This Row],[QUANTIDADE]]</f>
        <v>#DIV/0!</v>
      </c>
      <c r="J57" s="2"/>
      <c r="K57" s="193"/>
      <c r="L57" s="8"/>
      <c r="M57" s="8"/>
      <c r="N57" s="8"/>
      <c r="O57" s="194"/>
      <c r="P57" s="195"/>
    </row>
    <row r="58" spans="1:16">
      <c r="A58" s="3"/>
      <c r="B58" s="3" t="str">
        <f>TEXT(Tabela22[[#This Row],[DATA]],"mmmm")</f>
        <v>janeiro</v>
      </c>
      <c r="C58" s="2"/>
      <c r="D58" s="2"/>
      <c r="E58" s="2"/>
      <c r="F58" s="2"/>
      <c r="G58" s="173"/>
      <c r="H58" s="174"/>
      <c r="I58" s="173" t="e">
        <f>Tabela22[[#This Row],[PESO TOTAL]]/Tabela22[[#This Row],[QUANTIDADE]]</f>
        <v>#DIV/0!</v>
      </c>
      <c r="J58" s="2"/>
      <c r="K58" s="193"/>
      <c r="L58" s="8"/>
      <c r="M58" s="8"/>
      <c r="N58" s="8"/>
      <c r="O58" s="194"/>
      <c r="P58" s="195"/>
    </row>
    <row r="59" spans="1:16">
      <c r="A59" s="3"/>
      <c r="B59" s="3" t="str">
        <f>TEXT(Tabela22[[#This Row],[DATA]],"mmmm")</f>
        <v>janeiro</v>
      </c>
      <c r="C59" s="2"/>
      <c r="D59" s="2"/>
      <c r="E59" s="2"/>
      <c r="F59" s="2"/>
      <c r="G59" s="173"/>
      <c r="H59" s="174"/>
      <c r="I59" s="173" t="e">
        <f>Tabela22[[#This Row],[PESO TOTAL]]/Tabela22[[#This Row],[QUANTIDADE]]</f>
        <v>#DIV/0!</v>
      </c>
      <c r="J59" s="2"/>
      <c r="K59" s="193"/>
      <c r="L59" s="8"/>
      <c r="M59" s="8"/>
      <c r="N59" s="8"/>
      <c r="O59" s="194"/>
      <c r="P59" s="195"/>
    </row>
    <row r="60" spans="1:16">
      <c r="A60" s="3"/>
      <c r="B60" s="3" t="str">
        <f>TEXT(Tabela22[[#This Row],[DATA]],"mmmm")</f>
        <v>janeiro</v>
      </c>
      <c r="C60" s="2"/>
      <c r="D60" s="2"/>
      <c r="E60" s="2"/>
      <c r="F60" s="2"/>
      <c r="G60" s="173"/>
      <c r="H60" s="174"/>
      <c r="I60" s="173" t="e">
        <f>Tabela22[[#This Row],[PESO TOTAL]]/Tabela22[[#This Row],[QUANTIDADE]]</f>
        <v>#DIV/0!</v>
      </c>
      <c r="J60" s="2"/>
      <c r="K60" s="193"/>
      <c r="L60" s="8"/>
      <c r="M60" s="8"/>
      <c r="N60" s="8"/>
      <c r="O60" s="194"/>
      <c r="P60" s="195"/>
    </row>
    <row r="61" spans="1:16">
      <c r="A61" s="3"/>
      <c r="B61" s="3" t="str">
        <f>TEXT(Tabela22[[#This Row],[DATA]],"mmmm")</f>
        <v>janeiro</v>
      </c>
      <c r="C61" s="2"/>
      <c r="D61" s="2"/>
      <c r="E61" s="2"/>
      <c r="F61" s="2"/>
      <c r="G61" s="173"/>
      <c r="H61" s="174"/>
      <c r="I61" s="173" t="e">
        <f>Tabela22[[#This Row],[PESO TOTAL]]/Tabela22[[#This Row],[QUANTIDADE]]</f>
        <v>#DIV/0!</v>
      </c>
      <c r="J61" s="2"/>
      <c r="K61" s="193"/>
      <c r="L61" s="8"/>
      <c r="M61" s="8"/>
      <c r="N61" s="8"/>
      <c r="O61" s="194"/>
      <c r="P61" s="195"/>
    </row>
    <row r="62" spans="1:16">
      <c r="A62" s="3"/>
      <c r="B62" s="3" t="str">
        <f>TEXT(Tabela22[[#This Row],[DATA]],"mmmm")</f>
        <v>janeiro</v>
      </c>
      <c r="C62" s="2"/>
      <c r="D62" s="2"/>
      <c r="E62" s="2"/>
      <c r="F62" s="2"/>
      <c r="G62" s="173"/>
      <c r="H62" s="174"/>
      <c r="I62" s="173" t="e">
        <f>Tabela22[[#This Row],[PESO TOTAL]]/Tabela22[[#This Row],[QUANTIDADE]]</f>
        <v>#DIV/0!</v>
      </c>
      <c r="J62" s="2"/>
      <c r="K62" s="193"/>
      <c r="L62" s="8"/>
      <c r="M62" s="8"/>
      <c r="N62" s="8"/>
      <c r="O62" s="194"/>
      <c r="P62" s="195"/>
    </row>
    <row r="63" spans="1:16">
      <c r="A63" s="3"/>
      <c r="B63" s="3" t="str">
        <f>TEXT(Tabela22[[#This Row],[DATA]],"mmmm")</f>
        <v>janeiro</v>
      </c>
      <c r="C63" s="2"/>
      <c r="D63" s="2"/>
      <c r="E63" s="2"/>
      <c r="F63" s="2"/>
      <c r="G63" s="173"/>
      <c r="H63" s="174"/>
      <c r="I63" s="173" t="e">
        <f>Tabela22[[#This Row],[PESO TOTAL]]/Tabela22[[#This Row],[QUANTIDADE]]</f>
        <v>#DIV/0!</v>
      </c>
      <c r="J63" s="2"/>
      <c r="K63" s="193"/>
      <c r="L63" s="8"/>
      <c r="M63" s="8"/>
      <c r="N63" s="8"/>
      <c r="O63" s="194"/>
      <c r="P63" s="195"/>
    </row>
    <row r="64" spans="1:16">
      <c r="A64" s="3"/>
      <c r="B64" s="3" t="str">
        <f>TEXT(Tabela22[[#This Row],[DATA]],"mmmm")</f>
        <v>janeiro</v>
      </c>
      <c r="C64" s="2"/>
      <c r="D64" s="2"/>
      <c r="E64" s="2"/>
      <c r="F64" s="2"/>
      <c r="G64" s="173"/>
      <c r="H64" s="174"/>
      <c r="I64" s="173" t="e">
        <f>Tabela22[[#This Row],[PESO TOTAL]]/Tabela22[[#This Row],[QUANTIDADE]]</f>
        <v>#DIV/0!</v>
      </c>
      <c r="J64" s="2"/>
      <c r="K64" s="193"/>
      <c r="L64" s="8"/>
      <c r="M64" s="8"/>
      <c r="N64" s="8"/>
      <c r="O64" s="194"/>
      <c r="P64" s="195"/>
    </row>
    <row r="65" spans="1:16">
      <c r="A65" s="3"/>
      <c r="B65" s="3" t="str">
        <f>TEXT(Tabela22[[#This Row],[DATA]],"mmmm")</f>
        <v>janeiro</v>
      </c>
      <c r="C65" s="2"/>
      <c r="D65" s="2"/>
      <c r="E65" s="2"/>
      <c r="F65" s="2"/>
      <c r="G65" s="173"/>
      <c r="H65" s="174"/>
      <c r="I65" s="173" t="e">
        <f>Tabela22[[#This Row],[PESO TOTAL]]/Tabela22[[#This Row],[QUANTIDADE]]</f>
        <v>#DIV/0!</v>
      </c>
      <c r="J65" s="2"/>
      <c r="K65" s="193"/>
      <c r="L65" s="8"/>
      <c r="M65" s="8"/>
      <c r="N65" s="8"/>
      <c r="O65" s="194"/>
      <c r="P65" s="195"/>
    </row>
    <row r="66" spans="1:16">
      <c r="A66" s="3"/>
      <c r="B66" s="3" t="str">
        <f>TEXT(Tabela22[[#This Row],[DATA]],"mmmm")</f>
        <v>janeiro</v>
      </c>
      <c r="C66" s="2"/>
      <c r="D66" s="2"/>
      <c r="E66" s="2"/>
      <c r="F66" s="2"/>
      <c r="G66" s="173"/>
      <c r="H66" s="174"/>
      <c r="I66" s="173" t="e">
        <f>Tabela22[[#This Row],[PESO TOTAL]]/Tabela22[[#This Row],[QUANTIDADE]]</f>
        <v>#DIV/0!</v>
      </c>
      <c r="J66" s="2"/>
      <c r="K66" s="193"/>
      <c r="L66" s="8"/>
      <c r="M66" s="8"/>
      <c r="N66" s="8"/>
      <c r="O66" s="194"/>
      <c r="P66" s="195"/>
    </row>
    <row r="67" spans="1:16">
      <c r="A67" s="3"/>
      <c r="B67" s="3" t="str">
        <f>TEXT(Tabela22[[#This Row],[DATA]],"mmmm")</f>
        <v>janeiro</v>
      </c>
      <c r="C67" s="2"/>
      <c r="D67" s="2"/>
      <c r="E67" s="2"/>
      <c r="F67" s="2"/>
      <c r="G67" s="173"/>
      <c r="H67" s="174"/>
      <c r="I67" s="173" t="e">
        <f>Tabela22[[#This Row],[PESO TOTAL]]/Tabela22[[#This Row],[QUANTIDADE]]</f>
        <v>#DIV/0!</v>
      </c>
      <c r="J67" s="2"/>
      <c r="K67" s="193"/>
      <c r="L67" s="8"/>
      <c r="M67" s="8"/>
      <c r="N67" s="8"/>
      <c r="O67" s="194"/>
      <c r="P67" s="195"/>
    </row>
    <row r="68" spans="1:16">
      <c r="A68" s="3"/>
      <c r="B68" s="3" t="str">
        <f>TEXT(Tabela22[[#This Row],[DATA]],"mmmm")</f>
        <v>janeiro</v>
      </c>
      <c r="C68" s="2"/>
      <c r="D68" s="2"/>
      <c r="E68" s="2"/>
      <c r="F68" s="2"/>
      <c r="G68" s="173"/>
      <c r="H68" s="174"/>
      <c r="I68" s="173" t="e">
        <f>Tabela22[[#This Row],[PESO TOTAL]]/Tabela22[[#This Row],[QUANTIDADE]]</f>
        <v>#DIV/0!</v>
      </c>
      <c r="J68" s="2"/>
      <c r="K68" s="193"/>
      <c r="L68" s="8"/>
      <c r="M68" s="8"/>
      <c r="N68" s="8"/>
      <c r="O68" s="194"/>
      <c r="P68" s="195"/>
    </row>
    <row r="69" spans="1:16">
      <c r="A69" s="3"/>
      <c r="B69" s="3" t="str">
        <f>TEXT(Tabela22[[#This Row],[DATA]],"mmmm")</f>
        <v>janeiro</v>
      </c>
      <c r="C69" s="2"/>
      <c r="D69" s="2"/>
      <c r="E69" s="2"/>
      <c r="F69" s="2"/>
      <c r="G69" s="173"/>
      <c r="H69" s="174"/>
      <c r="I69" s="173" t="e">
        <f>Tabela22[[#This Row],[PESO TOTAL]]/Tabela22[[#This Row],[QUANTIDADE]]</f>
        <v>#DIV/0!</v>
      </c>
      <c r="J69" s="2"/>
      <c r="K69" s="193"/>
      <c r="L69" s="8"/>
      <c r="M69" s="8"/>
      <c r="N69" s="8"/>
      <c r="O69" s="194"/>
      <c r="P69" s="195"/>
    </row>
    <row r="70" spans="1:16">
      <c r="A70" s="3"/>
      <c r="B70" s="3" t="str">
        <f>TEXT(Tabela22[[#This Row],[DATA]],"mmmm")</f>
        <v>janeiro</v>
      </c>
      <c r="C70" s="2"/>
      <c r="D70" s="2"/>
      <c r="E70" s="2"/>
      <c r="F70" s="2"/>
      <c r="G70" s="173"/>
      <c r="H70" s="174"/>
      <c r="I70" s="173" t="e">
        <f>Tabela22[[#This Row],[PESO TOTAL]]/Tabela22[[#This Row],[QUANTIDADE]]</f>
        <v>#DIV/0!</v>
      </c>
      <c r="J70" s="2"/>
      <c r="K70" s="193"/>
      <c r="L70" s="8"/>
      <c r="M70" s="8"/>
      <c r="N70" s="8"/>
      <c r="O70" s="194"/>
      <c r="P70" s="195"/>
    </row>
    <row r="71" spans="1:16">
      <c r="A71" s="3"/>
      <c r="B71" s="3" t="str">
        <f>TEXT(Tabela22[[#This Row],[DATA]],"mmmm")</f>
        <v>janeiro</v>
      </c>
      <c r="C71" s="2"/>
      <c r="D71" s="2"/>
      <c r="E71" s="2"/>
      <c r="F71" s="2"/>
      <c r="G71" s="173"/>
      <c r="H71" s="174"/>
      <c r="I71" s="173" t="e">
        <f>Tabela22[[#This Row],[PESO TOTAL]]/Tabela22[[#This Row],[QUANTIDADE]]</f>
        <v>#DIV/0!</v>
      </c>
      <c r="J71" s="2"/>
      <c r="K71" s="193"/>
      <c r="L71" s="8"/>
      <c r="M71" s="8"/>
      <c r="N71" s="8"/>
      <c r="O71" s="194"/>
      <c r="P71" s="195"/>
    </row>
    <row r="72" spans="1:16">
      <c r="A72" s="3"/>
      <c r="B72" s="3" t="str">
        <f>TEXT(Tabela22[[#This Row],[DATA]],"mmmm")</f>
        <v>janeiro</v>
      </c>
      <c r="C72" s="2"/>
      <c r="D72" s="2"/>
      <c r="E72" s="2"/>
      <c r="F72" s="2"/>
      <c r="G72" s="173"/>
      <c r="H72" s="174"/>
      <c r="I72" s="173" t="e">
        <f>Tabela22[[#This Row],[PESO TOTAL]]/Tabela22[[#This Row],[QUANTIDADE]]</f>
        <v>#DIV/0!</v>
      </c>
      <c r="J72" s="2"/>
      <c r="K72" s="193"/>
      <c r="L72" s="8"/>
      <c r="M72" s="8"/>
      <c r="N72" s="8"/>
      <c r="O72" s="194"/>
      <c r="P72" s="195"/>
    </row>
    <row r="73" spans="1:16">
      <c r="A73" s="3"/>
      <c r="B73" s="3" t="str">
        <f>TEXT(Tabela22[[#This Row],[DATA]],"mmmm")</f>
        <v>janeiro</v>
      </c>
      <c r="C73" s="2"/>
      <c r="D73" s="2"/>
      <c r="E73" s="2"/>
      <c r="F73" s="2"/>
      <c r="G73" s="173"/>
      <c r="H73" s="174"/>
      <c r="I73" s="173" t="e">
        <f>Tabela22[[#This Row],[PESO TOTAL]]/Tabela22[[#This Row],[QUANTIDADE]]</f>
        <v>#DIV/0!</v>
      </c>
      <c r="J73" s="2"/>
      <c r="K73" s="193"/>
      <c r="L73" s="8"/>
      <c r="M73" s="8"/>
      <c r="N73" s="8"/>
      <c r="O73" s="194"/>
      <c r="P73" s="195"/>
    </row>
    <row r="74" spans="1:16">
      <c r="A74" s="3"/>
      <c r="B74" s="3" t="str">
        <f>TEXT(Tabela22[[#This Row],[DATA]],"mmmm")</f>
        <v>janeiro</v>
      </c>
      <c r="C74" s="2"/>
      <c r="D74" s="2"/>
      <c r="E74" s="2"/>
      <c r="F74" s="2"/>
      <c r="G74" s="173"/>
      <c r="H74" s="174"/>
      <c r="I74" s="173" t="e">
        <f>Tabela22[[#This Row],[PESO TOTAL]]/Tabela22[[#This Row],[QUANTIDADE]]</f>
        <v>#DIV/0!</v>
      </c>
      <c r="J74" s="2"/>
      <c r="K74" s="193"/>
      <c r="L74" s="8"/>
      <c r="M74" s="8"/>
      <c r="N74" s="8"/>
      <c r="O74" s="194"/>
      <c r="P74" s="195"/>
    </row>
    <row r="75" spans="1:16">
      <c r="A75" s="3"/>
      <c r="B75" s="3" t="str">
        <f>TEXT(Tabela22[[#This Row],[DATA]],"mmmm")</f>
        <v>janeiro</v>
      </c>
      <c r="C75" s="2"/>
      <c r="D75" s="2"/>
      <c r="E75" s="2"/>
      <c r="F75" s="2"/>
      <c r="G75" s="173"/>
      <c r="H75" s="174"/>
      <c r="I75" s="173" t="e">
        <f>Tabela22[[#This Row],[PESO TOTAL]]/Tabela22[[#This Row],[QUANTIDADE]]</f>
        <v>#DIV/0!</v>
      </c>
      <c r="J75" s="2"/>
      <c r="K75" s="193"/>
      <c r="L75" s="8"/>
      <c r="M75" s="8"/>
      <c r="N75" s="8"/>
      <c r="O75" s="194"/>
      <c r="P75" s="195"/>
    </row>
    <row r="76" spans="1:16">
      <c r="A76" s="3"/>
      <c r="B76" s="3" t="str">
        <f>TEXT(Tabela22[[#This Row],[DATA]],"mmmm")</f>
        <v>janeiro</v>
      </c>
      <c r="C76" s="2"/>
      <c r="D76" s="2"/>
      <c r="E76" s="2"/>
      <c r="F76" s="2"/>
      <c r="G76" s="173"/>
      <c r="H76" s="174"/>
      <c r="I76" s="173" t="e">
        <f>Tabela22[[#This Row],[PESO TOTAL]]/Tabela22[[#This Row],[QUANTIDADE]]</f>
        <v>#DIV/0!</v>
      </c>
      <c r="J76" s="2"/>
      <c r="K76" s="193"/>
      <c r="L76" s="8"/>
      <c r="M76" s="8"/>
      <c r="N76" s="8"/>
      <c r="O76" s="194"/>
      <c r="P76" s="195"/>
    </row>
    <row r="77" spans="1:16">
      <c r="A77" s="3"/>
      <c r="B77" s="3" t="str">
        <f>TEXT(Tabela22[[#This Row],[DATA]],"mmmm")</f>
        <v>janeiro</v>
      </c>
      <c r="C77" s="2"/>
      <c r="D77" s="2"/>
      <c r="E77" s="2"/>
      <c r="F77" s="2"/>
      <c r="G77" s="173"/>
      <c r="H77" s="174"/>
      <c r="I77" s="173" t="e">
        <f>Tabela22[[#This Row],[PESO TOTAL]]/Tabela22[[#This Row],[QUANTIDADE]]</f>
        <v>#DIV/0!</v>
      </c>
      <c r="J77" s="2"/>
      <c r="K77" s="193"/>
      <c r="L77" s="8"/>
      <c r="M77" s="8"/>
      <c r="N77" s="8"/>
      <c r="O77" s="194"/>
      <c r="P77" s="195"/>
    </row>
    <row r="78" spans="1:16">
      <c r="A78" s="3"/>
      <c r="B78" s="3" t="str">
        <f>TEXT(Tabela22[[#This Row],[DATA]],"mmmm")</f>
        <v>janeiro</v>
      </c>
      <c r="C78" s="2"/>
      <c r="D78" s="2"/>
      <c r="E78" s="2"/>
      <c r="F78" s="2"/>
      <c r="G78" s="173"/>
      <c r="H78" s="174"/>
      <c r="I78" s="173" t="e">
        <f>Tabela22[[#This Row],[PESO TOTAL]]/Tabela22[[#This Row],[QUANTIDADE]]</f>
        <v>#DIV/0!</v>
      </c>
      <c r="J78" s="2"/>
      <c r="K78" s="193"/>
      <c r="L78" s="8"/>
      <c r="M78" s="8"/>
      <c r="N78" s="8"/>
      <c r="O78" s="194"/>
      <c r="P78" s="195"/>
    </row>
    <row r="79" spans="1:16">
      <c r="A79" s="3"/>
      <c r="B79" s="3" t="str">
        <f>TEXT(Tabela22[[#This Row],[DATA]],"mmmm")</f>
        <v>janeiro</v>
      </c>
      <c r="C79" s="2"/>
      <c r="D79" s="2"/>
      <c r="E79" s="2"/>
      <c r="F79" s="2"/>
      <c r="G79" s="173"/>
      <c r="H79" s="174"/>
      <c r="I79" s="173" t="e">
        <f>Tabela22[[#This Row],[PESO TOTAL]]/Tabela22[[#This Row],[QUANTIDADE]]</f>
        <v>#DIV/0!</v>
      </c>
      <c r="J79" s="2"/>
      <c r="K79" s="193"/>
      <c r="L79" s="8"/>
      <c r="M79" s="8"/>
      <c r="N79" s="8"/>
      <c r="O79" s="194"/>
      <c r="P79" s="195"/>
    </row>
    <row r="80" spans="1:16">
      <c r="A80" s="3"/>
      <c r="B80" s="3" t="str">
        <f>TEXT(Tabela22[[#This Row],[DATA]],"mmmm")</f>
        <v>janeiro</v>
      </c>
      <c r="C80" s="2"/>
      <c r="D80" s="2"/>
      <c r="E80" s="2"/>
      <c r="F80" s="2"/>
      <c r="G80" s="173"/>
      <c r="H80" s="174"/>
      <c r="I80" s="173" t="e">
        <f>Tabela22[[#This Row],[PESO TOTAL]]/Tabela22[[#This Row],[QUANTIDADE]]</f>
        <v>#DIV/0!</v>
      </c>
      <c r="J80" s="2"/>
      <c r="K80" s="193"/>
      <c r="L80" s="8"/>
      <c r="M80" s="8"/>
      <c r="N80" s="8"/>
      <c r="O80" s="194"/>
      <c r="P80" s="195"/>
    </row>
    <row r="81" spans="1:16">
      <c r="A81" s="3"/>
      <c r="B81" s="3" t="str">
        <f>TEXT(Tabela22[[#This Row],[DATA]],"mmmm")</f>
        <v>janeiro</v>
      </c>
      <c r="C81" s="2"/>
      <c r="D81" s="2"/>
      <c r="E81" s="2"/>
      <c r="F81" s="2"/>
      <c r="G81" s="173"/>
      <c r="H81" s="174"/>
      <c r="I81" s="173" t="e">
        <f>Tabela22[[#This Row],[PESO TOTAL]]/Tabela22[[#This Row],[QUANTIDADE]]</f>
        <v>#DIV/0!</v>
      </c>
      <c r="J81" s="2"/>
      <c r="K81" s="193"/>
      <c r="L81" s="8"/>
      <c r="M81" s="8"/>
      <c r="N81" s="8"/>
      <c r="O81" s="194"/>
      <c r="P81" s="195"/>
    </row>
    <row r="82" spans="1:16">
      <c r="A82" s="3"/>
      <c r="B82" s="3" t="str">
        <f>TEXT(Tabela22[[#This Row],[DATA]],"mmmm")</f>
        <v>janeiro</v>
      </c>
      <c r="C82" s="2"/>
      <c r="D82" s="2"/>
      <c r="E82" s="2"/>
      <c r="F82" s="2"/>
      <c r="G82" s="173"/>
      <c r="H82" s="174"/>
      <c r="I82" s="173" t="e">
        <f>Tabela22[[#This Row],[PESO TOTAL]]/Tabela22[[#This Row],[QUANTIDADE]]</f>
        <v>#DIV/0!</v>
      </c>
      <c r="J82" s="2"/>
      <c r="K82" s="193"/>
      <c r="L82" s="8"/>
      <c r="M82" s="8"/>
      <c r="N82" s="8"/>
      <c r="O82" s="194"/>
      <c r="P82" s="195"/>
    </row>
    <row r="83" spans="1:16">
      <c r="A83" s="3"/>
      <c r="B83" s="3" t="str">
        <f>TEXT(Tabela22[[#This Row],[DATA]],"mmmm")</f>
        <v>janeiro</v>
      </c>
      <c r="C83" s="2"/>
      <c r="D83" s="2"/>
      <c r="E83" s="2"/>
      <c r="F83" s="2"/>
      <c r="G83" s="173"/>
      <c r="H83" s="174"/>
      <c r="I83" s="173" t="e">
        <f>Tabela22[[#This Row],[PESO TOTAL]]/Tabela22[[#This Row],[QUANTIDADE]]</f>
        <v>#DIV/0!</v>
      </c>
      <c r="J83" s="2"/>
      <c r="K83" s="193"/>
      <c r="L83" s="8"/>
      <c r="M83" s="8"/>
      <c r="N83" s="8"/>
      <c r="O83" s="194"/>
      <c r="P83" s="195"/>
    </row>
    <row r="84" spans="1:16">
      <c r="A84" s="3"/>
      <c r="B84" s="3" t="str">
        <f>TEXT(Tabela22[[#This Row],[DATA]],"mmmm")</f>
        <v>janeiro</v>
      </c>
      <c r="C84" s="2"/>
      <c r="D84" s="2"/>
      <c r="E84" s="2"/>
      <c r="F84" s="2"/>
      <c r="G84" s="173"/>
      <c r="H84" s="174"/>
      <c r="I84" s="173" t="e">
        <f>Tabela22[[#This Row],[PESO TOTAL]]/Tabela22[[#This Row],[QUANTIDADE]]</f>
        <v>#DIV/0!</v>
      </c>
      <c r="J84" s="2"/>
      <c r="K84" s="193"/>
      <c r="L84" s="8"/>
      <c r="M84" s="8"/>
      <c r="N84" s="8"/>
      <c r="O84" s="194"/>
      <c r="P84" s="195"/>
    </row>
    <row r="85" spans="1:16">
      <c r="A85" s="3"/>
      <c r="B85" s="3" t="str">
        <f>TEXT(Tabela22[[#This Row],[DATA]],"mmmm")</f>
        <v>janeiro</v>
      </c>
      <c r="C85" s="2"/>
      <c r="D85" s="2"/>
      <c r="E85" s="2"/>
      <c r="F85" s="2"/>
      <c r="G85" s="173"/>
      <c r="H85" s="174"/>
      <c r="I85" s="173" t="e">
        <f>Tabela22[[#This Row],[PESO TOTAL]]/Tabela22[[#This Row],[QUANTIDADE]]</f>
        <v>#DIV/0!</v>
      </c>
      <c r="J85" s="2"/>
      <c r="K85" s="193"/>
      <c r="L85" s="8"/>
      <c r="M85" s="8"/>
      <c r="N85" s="8"/>
      <c r="O85" s="194"/>
      <c r="P85" s="195"/>
    </row>
    <row r="86" spans="1:16">
      <c r="A86" s="3"/>
      <c r="B86" s="3" t="str">
        <f>TEXT(Tabela22[[#This Row],[DATA]],"mmmm")</f>
        <v>janeiro</v>
      </c>
      <c r="C86" s="2"/>
      <c r="D86" s="2"/>
      <c r="E86" s="2"/>
      <c r="F86" s="2"/>
      <c r="G86" s="173"/>
      <c r="H86" s="174"/>
      <c r="I86" s="173" t="e">
        <f>Tabela22[[#This Row],[PESO TOTAL]]/Tabela22[[#This Row],[QUANTIDADE]]</f>
        <v>#DIV/0!</v>
      </c>
      <c r="J86" s="2"/>
      <c r="K86" s="193"/>
      <c r="L86" s="8"/>
      <c r="M86" s="8"/>
      <c r="N86" s="8"/>
      <c r="O86" s="194"/>
      <c r="P86" s="195"/>
    </row>
    <row r="87" spans="1:16">
      <c r="A87" s="3"/>
      <c r="B87" s="3" t="str">
        <f>TEXT(Tabela22[[#This Row],[DATA]],"mmmm")</f>
        <v>janeiro</v>
      </c>
      <c r="C87" s="2"/>
      <c r="D87" s="2"/>
      <c r="E87" s="2"/>
      <c r="F87" s="2"/>
      <c r="G87" s="173"/>
      <c r="H87" s="174"/>
      <c r="I87" s="173" t="e">
        <f>Tabela22[[#This Row],[PESO TOTAL]]/Tabela22[[#This Row],[QUANTIDADE]]</f>
        <v>#DIV/0!</v>
      </c>
      <c r="J87" s="2"/>
      <c r="K87" s="193"/>
      <c r="L87" s="8"/>
      <c r="M87" s="8"/>
      <c r="N87" s="8"/>
      <c r="O87" s="194"/>
      <c r="P87" s="195"/>
    </row>
    <row r="88" spans="1:16">
      <c r="A88" s="3"/>
      <c r="B88" s="3" t="str">
        <f>TEXT(Tabela22[[#This Row],[DATA]],"mmmm")</f>
        <v>janeiro</v>
      </c>
      <c r="C88" s="2"/>
      <c r="D88" s="2"/>
      <c r="E88" s="2"/>
      <c r="F88" s="2"/>
      <c r="G88" s="173"/>
      <c r="H88" s="174"/>
      <c r="I88" s="173" t="e">
        <f>Tabela22[[#This Row],[PESO TOTAL]]/Tabela22[[#This Row],[QUANTIDADE]]</f>
        <v>#DIV/0!</v>
      </c>
      <c r="J88" s="2"/>
      <c r="K88" s="193"/>
      <c r="L88" s="8"/>
      <c r="M88" s="8"/>
      <c r="N88" s="8"/>
      <c r="O88" s="194"/>
      <c r="P88" s="195"/>
    </row>
    <row r="89" spans="1:16">
      <c r="A89" s="3"/>
      <c r="B89" s="3" t="str">
        <f>TEXT(Tabela22[[#This Row],[DATA]],"mmmm")</f>
        <v>janeiro</v>
      </c>
      <c r="C89" s="2"/>
      <c r="D89" s="2"/>
      <c r="E89" s="2"/>
      <c r="F89" s="2"/>
      <c r="G89" s="173"/>
      <c r="H89" s="174"/>
      <c r="I89" s="173" t="e">
        <f>Tabela22[[#This Row],[PESO TOTAL]]/Tabela22[[#This Row],[QUANTIDADE]]</f>
        <v>#DIV/0!</v>
      </c>
      <c r="J89" s="2"/>
      <c r="K89" s="193"/>
      <c r="L89" s="8"/>
      <c r="M89" s="8"/>
      <c r="N89" s="8"/>
      <c r="O89" s="194"/>
      <c r="P89" s="195"/>
    </row>
    <row r="90" spans="1:16">
      <c r="A90" s="3"/>
      <c r="B90" s="3" t="str">
        <f>TEXT(Tabela22[[#This Row],[DATA]],"mmmm")</f>
        <v>janeiro</v>
      </c>
      <c r="C90" s="2"/>
      <c r="D90" s="2"/>
      <c r="E90" s="2"/>
      <c r="F90" s="2"/>
      <c r="G90" s="173"/>
      <c r="H90" s="174"/>
      <c r="I90" s="173" t="e">
        <f>Tabela22[[#This Row],[PESO TOTAL]]/Tabela22[[#This Row],[QUANTIDADE]]</f>
        <v>#DIV/0!</v>
      </c>
      <c r="J90" s="2"/>
      <c r="K90" s="193"/>
      <c r="L90" s="8"/>
      <c r="M90" s="8"/>
      <c r="N90" s="8"/>
      <c r="O90" s="194"/>
      <c r="P90" s="195"/>
    </row>
    <row r="91" spans="1:16">
      <c r="A91" s="3"/>
      <c r="B91" s="3" t="str">
        <f>TEXT(Tabela22[[#This Row],[DATA]],"mmmm")</f>
        <v>janeiro</v>
      </c>
      <c r="C91" s="2"/>
      <c r="D91" s="2"/>
      <c r="E91" s="2"/>
      <c r="F91" s="2"/>
      <c r="G91" s="173"/>
      <c r="H91" s="174"/>
      <c r="I91" s="173" t="e">
        <f>Tabela22[[#This Row],[PESO TOTAL]]/Tabela22[[#This Row],[QUANTIDADE]]</f>
        <v>#DIV/0!</v>
      </c>
      <c r="J91" s="2"/>
      <c r="K91" s="193"/>
      <c r="L91" s="8"/>
      <c r="M91" s="8"/>
      <c r="N91" s="8"/>
      <c r="O91" s="194"/>
      <c r="P91" s="195"/>
    </row>
    <row r="92" spans="1:16">
      <c r="A92" s="3"/>
      <c r="B92" s="3" t="str">
        <f>TEXT(Tabela22[[#This Row],[DATA]],"mmmm")</f>
        <v>janeiro</v>
      </c>
      <c r="C92" s="2"/>
      <c r="D92" s="2"/>
      <c r="E92" s="2"/>
      <c r="F92" s="2"/>
      <c r="G92" s="173"/>
      <c r="H92" s="174"/>
      <c r="I92" s="173" t="e">
        <f>Tabela22[[#This Row],[PESO TOTAL]]/Tabela22[[#This Row],[QUANTIDADE]]</f>
        <v>#DIV/0!</v>
      </c>
      <c r="J92" s="2"/>
      <c r="K92" s="193"/>
      <c r="L92" s="8"/>
      <c r="M92" s="8"/>
      <c r="N92" s="8"/>
      <c r="O92" s="194"/>
      <c r="P92" s="195"/>
    </row>
    <row r="93" spans="1:16">
      <c r="A93" s="3"/>
      <c r="B93" s="3" t="str">
        <f>TEXT(Tabela22[[#This Row],[DATA]],"mmmm")</f>
        <v>janeiro</v>
      </c>
      <c r="C93" s="2"/>
      <c r="D93" s="2"/>
      <c r="E93" s="2"/>
      <c r="F93" s="2"/>
      <c r="G93" s="173"/>
      <c r="H93" s="174"/>
      <c r="I93" s="173" t="e">
        <f>Tabela22[[#This Row],[PESO TOTAL]]/Tabela22[[#This Row],[QUANTIDADE]]</f>
        <v>#DIV/0!</v>
      </c>
      <c r="J93" s="2"/>
      <c r="K93" s="193"/>
      <c r="L93" s="8"/>
      <c r="M93" s="8"/>
      <c r="N93" s="8"/>
      <c r="O93" s="194"/>
      <c r="P93" s="195"/>
    </row>
    <row r="94" spans="1:16">
      <c r="A94" s="3"/>
      <c r="B94" s="3" t="str">
        <f>TEXT(Tabela22[[#This Row],[DATA]],"mmmm")</f>
        <v>janeiro</v>
      </c>
      <c r="C94" s="2"/>
      <c r="D94" s="2"/>
      <c r="E94" s="2"/>
      <c r="F94" s="2"/>
      <c r="G94" s="173"/>
      <c r="H94" s="174"/>
      <c r="I94" s="173" t="e">
        <f>Tabela22[[#This Row],[PESO TOTAL]]/Tabela22[[#This Row],[QUANTIDADE]]</f>
        <v>#DIV/0!</v>
      </c>
      <c r="J94" s="2"/>
      <c r="K94" s="193"/>
      <c r="L94" s="8"/>
      <c r="M94" s="8"/>
      <c r="N94" s="8"/>
      <c r="O94" s="194"/>
      <c r="P94" s="195"/>
    </row>
    <row r="95" spans="1:16">
      <c r="A95" s="3"/>
      <c r="B95" s="3" t="str">
        <f>TEXT(Tabela22[[#This Row],[DATA]],"mmmm")</f>
        <v>janeiro</v>
      </c>
      <c r="C95" s="2"/>
      <c r="D95" s="2"/>
      <c r="E95" s="2"/>
      <c r="F95" s="2"/>
      <c r="G95" s="173"/>
      <c r="H95" s="174"/>
      <c r="I95" s="173" t="e">
        <f>Tabela22[[#This Row],[PESO TOTAL]]/Tabela22[[#This Row],[QUANTIDADE]]</f>
        <v>#DIV/0!</v>
      </c>
      <c r="J95" s="2"/>
      <c r="K95" s="193"/>
      <c r="L95" s="8"/>
      <c r="M95" s="8"/>
      <c r="N95" s="8"/>
      <c r="O95" s="194"/>
      <c r="P95" s="195"/>
    </row>
    <row r="96" spans="1:16">
      <c r="A96" s="3"/>
      <c r="B96" s="3" t="str">
        <f>TEXT(Tabela22[[#This Row],[DATA]],"mmmm")</f>
        <v>janeiro</v>
      </c>
      <c r="C96" s="2"/>
      <c r="D96" s="2"/>
      <c r="E96" s="2"/>
      <c r="F96" s="2"/>
      <c r="G96" s="173"/>
      <c r="H96" s="174"/>
      <c r="I96" s="173" t="e">
        <f>Tabela22[[#This Row],[PESO TOTAL]]/Tabela22[[#This Row],[QUANTIDADE]]</f>
        <v>#DIV/0!</v>
      </c>
      <c r="J96" s="2"/>
      <c r="K96" s="193"/>
      <c r="L96" s="8"/>
      <c r="M96" s="8"/>
      <c r="N96" s="8"/>
      <c r="O96" s="194"/>
      <c r="P96" s="195"/>
    </row>
    <row r="97" spans="1:16">
      <c r="A97" s="3"/>
      <c r="B97" s="3" t="str">
        <f>TEXT(Tabela22[[#This Row],[DATA]],"mmmm")</f>
        <v>janeiro</v>
      </c>
      <c r="C97" s="2"/>
      <c r="D97" s="2"/>
      <c r="E97" s="2"/>
      <c r="F97" s="2"/>
      <c r="G97" s="173"/>
      <c r="H97" s="174"/>
      <c r="I97" s="173" t="e">
        <f>Tabela22[[#This Row],[PESO TOTAL]]/Tabela22[[#This Row],[QUANTIDADE]]</f>
        <v>#DIV/0!</v>
      </c>
      <c r="J97" s="2"/>
      <c r="K97" s="193"/>
      <c r="L97" s="8"/>
      <c r="M97" s="8"/>
      <c r="N97" s="8"/>
      <c r="O97" s="194"/>
      <c r="P97" s="195"/>
    </row>
    <row r="98" spans="1:16">
      <c r="A98" s="3"/>
      <c r="B98" s="3" t="str">
        <f>TEXT(Tabela22[[#This Row],[DATA]],"mmmm")</f>
        <v>janeiro</v>
      </c>
      <c r="C98" s="2"/>
      <c r="D98" s="2"/>
      <c r="E98" s="2"/>
      <c r="F98" s="2"/>
      <c r="G98" s="173"/>
      <c r="H98" s="174"/>
      <c r="I98" s="173" t="e">
        <f>Tabela22[[#This Row],[PESO TOTAL]]/Tabela22[[#This Row],[QUANTIDADE]]</f>
        <v>#DIV/0!</v>
      </c>
      <c r="J98" s="2"/>
      <c r="K98" s="193"/>
      <c r="L98" s="8"/>
      <c r="M98" s="8"/>
      <c r="N98" s="8"/>
      <c r="O98" s="194"/>
      <c r="P98" s="195"/>
    </row>
    <row r="99" spans="1:16">
      <c r="A99" s="3"/>
      <c r="B99" s="3" t="str">
        <f>TEXT(Tabela22[[#This Row],[DATA]],"mmmm")</f>
        <v>janeiro</v>
      </c>
      <c r="C99" s="2"/>
      <c r="D99" s="2"/>
      <c r="E99" s="2"/>
      <c r="F99" s="2"/>
      <c r="G99" s="173"/>
      <c r="H99" s="174"/>
      <c r="I99" s="173" t="e">
        <f>Tabela22[[#This Row],[PESO TOTAL]]/Tabela22[[#This Row],[QUANTIDADE]]</f>
        <v>#DIV/0!</v>
      </c>
      <c r="J99" s="2"/>
      <c r="K99" s="193"/>
      <c r="L99" s="8"/>
      <c r="M99" s="8"/>
      <c r="N99" s="8"/>
      <c r="O99" s="194"/>
      <c r="P99" s="195"/>
    </row>
    <row r="100" spans="1:16">
      <c r="A100" s="3"/>
      <c r="B100" s="3" t="str">
        <f>TEXT(Tabela22[[#This Row],[DATA]],"mmmm")</f>
        <v>janeiro</v>
      </c>
      <c r="C100" s="2"/>
      <c r="D100" s="2"/>
      <c r="E100" s="2"/>
      <c r="F100" s="2"/>
      <c r="G100" s="173"/>
      <c r="H100" s="174"/>
      <c r="I100" s="173" t="e">
        <f>Tabela22[[#This Row],[PESO TOTAL]]/Tabela22[[#This Row],[QUANTIDADE]]</f>
        <v>#DIV/0!</v>
      </c>
      <c r="J100" s="2"/>
      <c r="K100" s="193"/>
      <c r="L100" s="8"/>
      <c r="M100" s="8"/>
      <c r="N100" s="8"/>
      <c r="O100" s="194"/>
      <c r="P100" s="195"/>
    </row>
    <row r="101" spans="1:16">
      <c r="A101" s="3"/>
      <c r="B101" s="3" t="str">
        <f>TEXT(Tabela22[[#This Row],[DATA]],"mmmm")</f>
        <v>janeiro</v>
      </c>
      <c r="C101" s="2"/>
      <c r="D101" s="2"/>
      <c r="E101" s="2"/>
      <c r="F101" s="2"/>
      <c r="G101" s="173"/>
      <c r="H101" s="174"/>
      <c r="I101" s="173" t="e">
        <f>Tabela22[[#This Row],[PESO TOTAL]]/Tabela22[[#This Row],[QUANTIDADE]]</f>
        <v>#DIV/0!</v>
      </c>
      <c r="J101" s="2"/>
      <c r="K101" s="193"/>
      <c r="L101" s="8"/>
      <c r="M101" s="8"/>
      <c r="N101" s="8"/>
      <c r="O101" s="194"/>
      <c r="P101" s="195"/>
    </row>
    <row r="102" spans="1:16">
      <c r="A102" s="3"/>
      <c r="B102" s="3" t="str">
        <f>TEXT(Tabela22[[#This Row],[DATA]],"mmmm")</f>
        <v>janeiro</v>
      </c>
      <c r="C102" s="2"/>
      <c r="D102" s="2"/>
      <c r="E102" s="2"/>
      <c r="F102" s="2"/>
      <c r="G102" s="173"/>
      <c r="H102" s="174"/>
      <c r="I102" s="173" t="e">
        <f>Tabela22[[#This Row],[PESO TOTAL]]/Tabela22[[#This Row],[QUANTIDADE]]</f>
        <v>#DIV/0!</v>
      </c>
      <c r="J102" s="2"/>
      <c r="K102" s="193"/>
      <c r="L102" s="8"/>
      <c r="M102" s="8"/>
      <c r="N102" s="8"/>
      <c r="O102" s="194"/>
      <c r="P102" s="195"/>
    </row>
    <row r="103" spans="1:16">
      <c r="A103" s="3"/>
      <c r="B103" s="3" t="str">
        <f>TEXT(Tabela22[[#This Row],[DATA]],"mmmm")</f>
        <v>janeiro</v>
      </c>
      <c r="C103" s="2"/>
      <c r="D103" s="2"/>
      <c r="E103" s="2"/>
      <c r="F103" s="2"/>
      <c r="G103" s="173"/>
      <c r="H103" s="174"/>
      <c r="I103" s="173" t="e">
        <f>Tabela22[[#This Row],[PESO TOTAL]]/Tabela22[[#This Row],[QUANTIDADE]]</f>
        <v>#DIV/0!</v>
      </c>
      <c r="J103" s="2"/>
      <c r="K103" s="193"/>
      <c r="L103" s="8"/>
      <c r="M103" s="8"/>
      <c r="N103" s="8"/>
      <c r="O103" s="194"/>
      <c r="P103" s="195"/>
    </row>
    <row r="104" spans="1:16">
      <c r="A104" s="3"/>
      <c r="B104" s="3" t="str">
        <f>TEXT(Tabela22[[#This Row],[DATA]],"mmmm")</f>
        <v>janeiro</v>
      </c>
      <c r="C104" s="2"/>
      <c r="D104" s="2"/>
      <c r="E104" s="2"/>
      <c r="F104" s="2"/>
      <c r="G104" s="173"/>
      <c r="H104" s="174"/>
      <c r="I104" s="173" t="e">
        <f>Tabela22[[#This Row],[PESO TOTAL]]/Tabela22[[#This Row],[QUANTIDADE]]</f>
        <v>#DIV/0!</v>
      </c>
      <c r="J104" s="2"/>
      <c r="K104" s="193"/>
      <c r="L104" s="8"/>
      <c r="M104" s="8"/>
      <c r="N104" s="8"/>
      <c r="O104" s="194"/>
      <c r="P104" s="195"/>
    </row>
    <row r="105" spans="1:16">
      <c r="A105" s="3"/>
      <c r="B105" s="3" t="str">
        <f>TEXT(Tabela22[[#This Row],[DATA]],"mmmm")</f>
        <v>janeiro</v>
      </c>
      <c r="C105" s="2"/>
      <c r="D105" s="2"/>
      <c r="E105" s="2"/>
      <c r="F105" s="2"/>
      <c r="G105" s="173"/>
      <c r="H105" s="174"/>
      <c r="I105" s="173" t="e">
        <f>Tabela22[[#This Row],[PESO TOTAL]]/Tabela22[[#This Row],[QUANTIDADE]]</f>
        <v>#DIV/0!</v>
      </c>
      <c r="J105" s="2"/>
      <c r="K105" s="193"/>
      <c r="L105" s="8"/>
      <c r="M105" s="8"/>
      <c r="N105" s="8"/>
      <c r="O105" s="194"/>
      <c r="P105" s="195"/>
    </row>
    <row r="106" spans="1:16">
      <c r="A106" s="3"/>
      <c r="B106" s="3" t="str">
        <f>TEXT(Tabela22[[#This Row],[DATA]],"mmmm")</f>
        <v>janeiro</v>
      </c>
      <c r="C106" s="2"/>
      <c r="D106" s="2"/>
      <c r="E106" s="2"/>
      <c r="F106" s="2"/>
      <c r="G106" s="173"/>
      <c r="H106" s="174"/>
      <c r="I106" s="173" t="e">
        <f>Tabela22[[#This Row],[PESO TOTAL]]/Tabela22[[#This Row],[QUANTIDADE]]</f>
        <v>#DIV/0!</v>
      </c>
      <c r="J106" s="2"/>
      <c r="K106" s="193"/>
      <c r="L106" s="8"/>
      <c r="M106" s="8"/>
      <c r="N106" s="8"/>
      <c r="O106" s="194"/>
      <c r="P106" s="195"/>
    </row>
    <row r="107" spans="1:16">
      <c r="A107" s="3"/>
      <c r="B107" s="3" t="str">
        <f>TEXT(Tabela22[[#This Row],[DATA]],"mmmm")</f>
        <v>janeiro</v>
      </c>
      <c r="C107" s="2"/>
      <c r="D107" s="2"/>
      <c r="E107" s="2"/>
      <c r="F107" s="2"/>
      <c r="G107" s="173"/>
      <c r="H107" s="174"/>
      <c r="I107" s="173" t="e">
        <f>Tabela22[[#This Row],[PESO TOTAL]]/Tabela22[[#This Row],[QUANTIDADE]]</f>
        <v>#DIV/0!</v>
      </c>
      <c r="J107" s="2"/>
      <c r="K107" s="193"/>
      <c r="L107" s="8"/>
      <c r="M107" s="8"/>
      <c r="N107" s="8"/>
      <c r="O107" s="194"/>
      <c r="P107" s="195"/>
    </row>
    <row r="108" spans="1:16">
      <c r="A108" s="3"/>
      <c r="B108" s="3" t="str">
        <f>TEXT(Tabela22[[#This Row],[DATA]],"mmmm")</f>
        <v>janeiro</v>
      </c>
      <c r="C108" s="2"/>
      <c r="D108" s="2"/>
      <c r="E108" s="2"/>
      <c r="F108" s="2"/>
      <c r="G108" s="173"/>
      <c r="H108" s="174"/>
      <c r="I108" s="173" t="e">
        <f>Tabela22[[#This Row],[PESO TOTAL]]/Tabela22[[#This Row],[QUANTIDADE]]</f>
        <v>#DIV/0!</v>
      </c>
      <c r="J108" s="2"/>
      <c r="K108" s="193"/>
      <c r="L108" s="8"/>
      <c r="M108" s="8"/>
      <c r="N108" s="8"/>
      <c r="O108" s="194"/>
      <c r="P108" s="195"/>
    </row>
    <row r="109" spans="1:16">
      <c r="A109" s="3"/>
      <c r="B109" s="3" t="str">
        <f>TEXT(Tabela22[[#This Row],[DATA]],"mmmm")</f>
        <v>janeiro</v>
      </c>
      <c r="C109" s="2"/>
      <c r="D109" s="2"/>
      <c r="E109" s="2"/>
      <c r="F109" s="2"/>
      <c r="G109" s="173"/>
      <c r="H109" s="174"/>
      <c r="I109" s="173" t="e">
        <f>Tabela22[[#This Row],[PESO TOTAL]]/Tabela22[[#This Row],[QUANTIDADE]]</f>
        <v>#DIV/0!</v>
      </c>
      <c r="J109" s="2"/>
      <c r="K109" s="193"/>
      <c r="L109" s="8"/>
      <c r="M109" s="8"/>
      <c r="N109" s="8"/>
      <c r="O109" s="194"/>
      <c r="P109" s="195"/>
    </row>
    <row r="110" spans="1:16">
      <c r="A110" s="3"/>
      <c r="B110" s="3" t="str">
        <f>TEXT(Tabela22[[#This Row],[DATA]],"mmmm")</f>
        <v>janeiro</v>
      </c>
      <c r="C110" s="2"/>
      <c r="D110" s="2"/>
      <c r="E110" s="2"/>
      <c r="F110" s="2"/>
      <c r="G110" s="173"/>
      <c r="H110" s="174"/>
      <c r="I110" s="173" t="e">
        <f>Tabela22[[#This Row],[PESO TOTAL]]/Tabela22[[#This Row],[QUANTIDADE]]</f>
        <v>#DIV/0!</v>
      </c>
      <c r="J110" s="2"/>
      <c r="K110" s="193"/>
      <c r="L110" s="8"/>
      <c r="M110" s="8"/>
      <c r="N110" s="8"/>
      <c r="O110" s="194"/>
      <c r="P110" s="195"/>
    </row>
    <row r="111" spans="1:16">
      <c r="A111" s="3"/>
      <c r="B111" s="3" t="str">
        <f>TEXT(Tabela22[[#This Row],[DATA]],"mmmm")</f>
        <v>janeiro</v>
      </c>
      <c r="C111" s="2"/>
      <c r="D111" s="2"/>
      <c r="E111" s="2"/>
      <c r="F111" s="2"/>
      <c r="G111" s="173"/>
      <c r="H111" s="174"/>
      <c r="I111" s="173" t="e">
        <f>Tabela22[[#This Row],[PESO TOTAL]]/Tabela22[[#This Row],[QUANTIDADE]]</f>
        <v>#DIV/0!</v>
      </c>
      <c r="J111" s="2"/>
      <c r="K111" s="193"/>
      <c r="L111" s="8"/>
      <c r="M111" s="8"/>
      <c r="N111" s="8"/>
      <c r="O111" s="194"/>
      <c r="P111" s="195"/>
    </row>
    <row r="112" spans="1:16">
      <c r="A112" s="3"/>
      <c r="B112" s="3" t="str">
        <f>TEXT(Tabela22[[#This Row],[DATA]],"mmmm")</f>
        <v>janeiro</v>
      </c>
      <c r="C112" s="2"/>
      <c r="D112" s="2"/>
      <c r="E112" s="2"/>
      <c r="F112" s="2"/>
      <c r="G112" s="173"/>
      <c r="H112" s="174"/>
      <c r="I112" s="173" t="e">
        <f>Tabela22[[#This Row],[PESO TOTAL]]/Tabela22[[#This Row],[QUANTIDADE]]</f>
        <v>#DIV/0!</v>
      </c>
      <c r="J112" s="2"/>
      <c r="K112" s="193"/>
      <c r="L112" s="8"/>
      <c r="M112" s="8"/>
      <c r="N112" s="8"/>
      <c r="O112" s="194"/>
      <c r="P112" s="195"/>
    </row>
    <row r="113" spans="1:16">
      <c r="A113" s="3"/>
      <c r="B113" s="3" t="str">
        <f>TEXT(Tabela22[[#This Row],[DATA]],"mmmm")</f>
        <v>janeiro</v>
      </c>
      <c r="C113" s="2"/>
      <c r="D113" s="2"/>
      <c r="E113" s="2"/>
      <c r="F113" s="2"/>
      <c r="G113" s="173"/>
      <c r="H113" s="174"/>
      <c r="I113" s="173" t="e">
        <f>Tabela22[[#This Row],[PESO TOTAL]]/Tabela22[[#This Row],[QUANTIDADE]]</f>
        <v>#DIV/0!</v>
      </c>
      <c r="J113" s="2"/>
      <c r="K113" s="193"/>
      <c r="L113" s="8"/>
      <c r="M113" s="8"/>
      <c r="N113" s="8"/>
      <c r="O113" s="194"/>
      <c r="P113" s="195"/>
    </row>
    <row r="114" spans="1:16">
      <c r="A114" s="3"/>
      <c r="B114" s="3" t="str">
        <f>TEXT(Tabela22[[#This Row],[DATA]],"mmmm")</f>
        <v>janeiro</v>
      </c>
      <c r="C114" s="2"/>
      <c r="D114" s="2"/>
      <c r="E114" s="2"/>
      <c r="F114" s="2"/>
      <c r="G114" s="173"/>
      <c r="H114" s="174"/>
      <c r="I114" s="173" t="e">
        <f>Tabela22[[#This Row],[PESO TOTAL]]/Tabela22[[#This Row],[QUANTIDADE]]</f>
        <v>#DIV/0!</v>
      </c>
      <c r="J114" s="2"/>
      <c r="K114" s="193"/>
      <c r="L114" s="8"/>
      <c r="M114" s="8"/>
      <c r="N114" s="8"/>
      <c r="O114" s="194"/>
      <c r="P114" s="195"/>
    </row>
    <row r="115" spans="1:16">
      <c r="A115" s="3"/>
      <c r="B115" s="3" t="str">
        <f>TEXT(Tabela22[[#This Row],[DATA]],"mmmm")</f>
        <v>janeiro</v>
      </c>
      <c r="C115" s="2"/>
      <c r="D115" s="2"/>
      <c r="E115" s="2"/>
      <c r="F115" s="2"/>
      <c r="G115" s="173"/>
      <c r="H115" s="174"/>
      <c r="I115" s="173" t="e">
        <f>Tabela22[[#This Row],[PESO TOTAL]]/Tabela22[[#This Row],[QUANTIDADE]]</f>
        <v>#DIV/0!</v>
      </c>
      <c r="J115" s="2"/>
      <c r="K115" s="193"/>
      <c r="L115" s="8"/>
      <c r="M115" s="8"/>
      <c r="N115" s="8"/>
      <c r="O115" s="194"/>
      <c r="P115" s="195"/>
    </row>
    <row r="116" spans="1:16">
      <c r="A116" s="3"/>
      <c r="B116" s="3" t="str">
        <f>TEXT(Tabela22[[#This Row],[DATA]],"mmmm")</f>
        <v>janeiro</v>
      </c>
      <c r="C116" s="2"/>
      <c r="D116" s="2"/>
      <c r="E116" s="2"/>
      <c r="F116" s="2"/>
      <c r="G116" s="173"/>
      <c r="H116" s="174"/>
      <c r="I116" s="173" t="e">
        <f>Tabela22[[#This Row],[PESO TOTAL]]/Tabela22[[#This Row],[QUANTIDADE]]</f>
        <v>#DIV/0!</v>
      </c>
      <c r="J116" s="2"/>
      <c r="K116" s="193"/>
      <c r="L116" s="8"/>
      <c r="M116" s="8"/>
      <c r="N116" s="8"/>
      <c r="O116" s="194"/>
      <c r="P116" s="195"/>
    </row>
    <row r="117" spans="1:16">
      <c r="A117" s="3"/>
      <c r="B117" s="3" t="str">
        <f>TEXT(Tabela22[[#This Row],[DATA]],"mmmm")</f>
        <v>janeiro</v>
      </c>
      <c r="C117" s="2"/>
      <c r="D117" s="2"/>
      <c r="E117" s="2"/>
      <c r="F117" s="2"/>
      <c r="G117" s="173"/>
      <c r="H117" s="174"/>
      <c r="I117" s="173" t="e">
        <f>Tabela22[[#This Row],[PESO TOTAL]]/Tabela22[[#This Row],[QUANTIDADE]]</f>
        <v>#DIV/0!</v>
      </c>
      <c r="J117" s="2"/>
      <c r="K117" s="193"/>
      <c r="L117" s="8"/>
      <c r="M117" s="8"/>
      <c r="N117" s="8"/>
      <c r="O117" s="194"/>
      <c r="P117" s="195"/>
    </row>
    <row r="118" spans="1:16">
      <c r="A118" s="3"/>
      <c r="B118" s="3" t="str">
        <f>TEXT(Tabela22[[#This Row],[DATA]],"mmmm")</f>
        <v>janeiro</v>
      </c>
      <c r="C118" s="2"/>
      <c r="D118" s="2"/>
      <c r="E118" s="2"/>
      <c r="F118" s="2"/>
      <c r="G118" s="173"/>
      <c r="H118" s="174"/>
      <c r="I118" s="173" t="e">
        <f>Tabela22[[#This Row],[PESO TOTAL]]/Tabela22[[#This Row],[QUANTIDADE]]</f>
        <v>#DIV/0!</v>
      </c>
      <c r="J118" s="2"/>
      <c r="K118" s="193"/>
      <c r="L118" s="8"/>
      <c r="M118" s="8"/>
      <c r="N118" s="8"/>
      <c r="O118" s="194"/>
      <c r="P118" s="195"/>
    </row>
    <row r="119" spans="1:16">
      <c r="A119" s="3"/>
      <c r="B119" s="3" t="str">
        <f>TEXT(Tabela22[[#This Row],[DATA]],"mmmm")</f>
        <v>janeiro</v>
      </c>
      <c r="C119" s="2"/>
      <c r="D119" s="2"/>
      <c r="E119" s="2"/>
      <c r="F119" s="2"/>
      <c r="G119" s="173"/>
      <c r="H119" s="174"/>
      <c r="I119" s="173" t="e">
        <f>Tabela22[[#This Row],[PESO TOTAL]]/Tabela22[[#This Row],[QUANTIDADE]]</f>
        <v>#DIV/0!</v>
      </c>
      <c r="J119" s="2"/>
      <c r="K119" s="193"/>
      <c r="L119" s="8"/>
      <c r="M119" s="8"/>
      <c r="N119" s="8"/>
      <c r="O119" s="194"/>
      <c r="P119" s="195"/>
    </row>
    <row r="120" spans="1:16">
      <c r="A120" s="3"/>
      <c r="B120" s="3" t="str">
        <f>TEXT(Tabela22[[#This Row],[DATA]],"mmmm")</f>
        <v>janeiro</v>
      </c>
      <c r="C120" s="2"/>
      <c r="D120" s="2"/>
      <c r="E120" s="2"/>
      <c r="F120" s="2"/>
      <c r="G120" s="173"/>
      <c r="H120" s="174"/>
      <c r="I120" s="173" t="e">
        <f>Tabela22[[#This Row],[PESO TOTAL]]/Tabela22[[#This Row],[QUANTIDADE]]</f>
        <v>#DIV/0!</v>
      </c>
      <c r="J120" s="2"/>
      <c r="K120" s="193"/>
      <c r="L120" s="8"/>
      <c r="M120" s="8"/>
      <c r="N120" s="8"/>
      <c r="O120" s="194"/>
      <c r="P120" s="195"/>
    </row>
    <row r="121" spans="1:16">
      <c r="A121" s="3"/>
      <c r="B121" s="3" t="str">
        <f>TEXT(Tabela22[[#This Row],[DATA]],"mmmm")</f>
        <v>janeiro</v>
      </c>
      <c r="C121" s="2"/>
      <c r="D121" s="2"/>
      <c r="E121" s="2"/>
      <c r="F121" s="2"/>
      <c r="G121" s="173"/>
      <c r="H121" s="174"/>
      <c r="I121" s="173" t="e">
        <f>Tabela22[[#This Row],[PESO TOTAL]]/Tabela22[[#This Row],[QUANTIDADE]]</f>
        <v>#DIV/0!</v>
      </c>
      <c r="J121" s="2"/>
      <c r="K121" s="193"/>
      <c r="L121" s="8"/>
      <c r="M121" s="8"/>
      <c r="N121" s="8"/>
      <c r="O121" s="194"/>
      <c r="P121" s="195"/>
    </row>
    <row r="122" spans="1:16">
      <c r="A122" s="3"/>
      <c r="B122" s="3" t="str">
        <f>TEXT(Tabela22[[#This Row],[DATA]],"mmmm")</f>
        <v>janeiro</v>
      </c>
      <c r="C122" s="2"/>
      <c r="D122" s="2"/>
      <c r="E122" s="2"/>
      <c r="F122" s="2"/>
      <c r="G122" s="173"/>
      <c r="H122" s="174"/>
      <c r="I122" s="173" t="e">
        <f>Tabela22[[#This Row],[PESO TOTAL]]/Tabela22[[#This Row],[QUANTIDADE]]</f>
        <v>#DIV/0!</v>
      </c>
      <c r="J122" s="2"/>
      <c r="K122" s="193"/>
      <c r="L122" s="8"/>
      <c r="M122" s="8"/>
      <c r="N122" s="8"/>
      <c r="O122" s="194"/>
      <c r="P122" s="195"/>
    </row>
    <row r="123" spans="1:16">
      <c r="A123" s="3"/>
      <c r="B123" s="3" t="str">
        <f>TEXT(Tabela22[[#This Row],[DATA]],"mmmm")</f>
        <v>janeiro</v>
      </c>
      <c r="C123" s="2"/>
      <c r="D123" s="2"/>
      <c r="E123" s="2"/>
      <c r="F123" s="2"/>
      <c r="G123" s="173"/>
      <c r="H123" s="174"/>
      <c r="I123" s="173" t="e">
        <f>Tabela22[[#This Row],[PESO TOTAL]]/Tabela22[[#This Row],[QUANTIDADE]]</f>
        <v>#DIV/0!</v>
      </c>
      <c r="J123" s="2"/>
      <c r="K123" s="193"/>
      <c r="L123" s="8"/>
      <c r="M123" s="8"/>
      <c r="N123" s="8"/>
      <c r="O123" s="194"/>
      <c r="P123" s="195"/>
    </row>
    <row r="124" spans="1:16">
      <c r="A124" s="3"/>
      <c r="B124" s="3" t="str">
        <f>TEXT(Tabela22[[#This Row],[DATA]],"mmmm")</f>
        <v>janeiro</v>
      </c>
      <c r="C124" s="2"/>
      <c r="D124" s="2"/>
      <c r="E124" s="2"/>
      <c r="F124" s="2"/>
      <c r="G124" s="173"/>
      <c r="H124" s="174"/>
      <c r="I124" s="173" t="e">
        <f>Tabela22[[#This Row],[PESO TOTAL]]/Tabela22[[#This Row],[QUANTIDADE]]</f>
        <v>#DIV/0!</v>
      </c>
      <c r="J124" s="2"/>
      <c r="K124" s="193"/>
      <c r="L124" s="8"/>
      <c r="M124" s="8"/>
      <c r="N124" s="8"/>
      <c r="O124" s="194"/>
      <c r="P124" s="195"/>
    </row>
    <row r="125" spans="1:16">
      <c r="A125" s="3"/>
      <c r="B125" s="3" t="str">
        <f>TEXT(Tabela22[[#This Row],[DATA]],"mmmm")</f>
        <v>janeiro</v>
      </c>
      <c r="C125" s="2"/>
      <c r="D125" s="2"/>
      <c r="E125" s="2"/>
      <c r="F125" s="2"/>
      <c r="G125" s="173"/>
      <c r="H125" s="174"/>
      <c r="I125" s="173" t="e">
        <f>Tabela22[[#This Row],[PESO TOTAL]]/Tabela22[[#This Row],[QUANTIDADE]]</f>
        <v>#DIV/0!</v>
      </c>
      <c r="J125" s="2"/>
      <c r="K125" s="193"/>
      <c r="L125" s="8"/>
      <c r="M125" s="8"/>
      <c r="N125" s="8"/>
      <c r="O125" s="194"/>
      <c r="P125" s="195"/>
    </row>
    <row r="126" spans="1:16">
      <c r="A126" s="3"/>
      <c r="B126" s="3" t="str">
        <f>TEXT(Tabela22[[#This Row],[DATA]],"mmmm")</f>
        <v>janeiro</v>
      </c>
      <c r="C126" s="2"/>
      <c r="D126" s="2"/>
      <c r="E126" s="2"/>
      <c r="F126" s="2"/>
      <c r="G126" s="173"/>
      <c r="H126" s="174"/>
      <c r="I126" s="173" t="e">
        <f>Tabela22[[#This Row],[PESO TOTAL]]/Tabela22[[#This Row],[QUANTIDADE]]</f>
        <v>#DIV/0!</v>
      </c>
      <c r="J126" s="2"/>
      <c r="K126" s="193"/>
      <c r="L126" s="8"/>
      <c r="M126" s="8"/>
      <c r="N126" s="8"/>
      <c r="O126" s="194"/>
      <c r="P126" s="195"/>
    </row>
    <row r="127" spans="1:16">
      <c r="A127" s="3"/>
      <c r="B127" s="3" t="str">
        <f>TEXT(Tabela22[[#This Row],[DATA]],"mmmm")</f>
        <v>janeiro</v>
      </c>
      <c r="C127" s="2"/>
      <c r="D127" s="2"/>
      <c r="E127" s="2"/>
      <c r="F127" s="2"/>
      <c r="G127" s="173"/>
      <c r="H127" s="174"/>
      <c r="I127" s="173" t="e">
        <f>Tabela22[[#This Row],[PESO TOTAL]]/Tabela22[[#This Row],[QUANTIDADE]]</f>
        <v>#DIV/0!</v>
      </c>
      <c r="J127" s="2"/>
      <c r="K127" s="193"/>
      <c r="L127" s="8"/>
      <c r="M127" s="8"/>
      <c r="N127" s="8"/>
      <c r="O127" s="194"/>
      <c r="P127" s="195"/>
    </row>
    <row r="128" spans="1:16">
      <c r="A128" s="3"/>
      <c r="B128" s="3" t="str">
        <f>TEXT(Tabela22[[#This Row],[DATA]],"mmmm")</f>
        <v>janeiro</v>
      </c>
      <c r="C128" s="2"/>
      <c r="D128" s="2"/>
      <c r="E128" s="2"/>
      <c r="F128" s="2"/>
      <c r="G128" s="173"/>
      <c r="H128" s="174"/>
      <c r="I128" s="173" t="e">
        <f>Tabela22[[#This Row],[PESO TOTAL]]/Tabela22[[#This Row],[QUANTIDADE]]</f>
        <v>#DIV/0!</v>
      </c>
      <c r="J128" s="2"/>
      <c r="K128" s="193"/>
      <c r="L128" s="8"/>
      <c r="M128" s="8"/>
      <c r="N128" s="8"/>
      <c r="O128" s="194"/>
      <c r="P128" s="195"/>
    </row>
    <row r="129" spans="1:16">
      <c r="A129" s="3"/>
      <c r="B129" s="3" t="str">
        <f>TEXT(Tabela22[[#This Row],[DATA]],"mmmm")</f>
        <v>janeiro</v>
      </c>
      <c r="C129" s="2"/>
      <c r="D129" s="2"/>
      <c r="E129" s="2"/>
      <c r="F129" s="2"/>
      <c r="G129" s="173"/>
      <c r="H129" s="174"/>
      <c r="I129" s="173" t="e">
        <f>Tabela22[[#This Row],[PESO TOTAL]]/Tabela22[[#This Row],[QUANTIDADE]]</f>
        <v>#DIV/0!</v>
      </c>
      <c r="J129" s="2"/>
      <c r="K129" s="193"/>
      <c r="L129" s="8"/>
      <c r="M129" s="8"/>
      <c r="N129" s="8"/>
      <c r="O129" s="194"/>
      <c r="P129" s="195"/>
    </row>
    <row r="130" spans="1:16">
      <c r="A130" s="3"/>
      <c r="B130" s="3" t="str">
        <f>TEXT(Tabela22[[#This Row],[DATA]],"mmmm")</f>
        <v>janeiro</v>
      </c>
      <c r="C130" s="2"/>
      <c r="D130" s="2"/>
      <c r="E130" s="2"/>
      <c r="F130" s="2"/>
      <c r="G130" s="173"/>
      <c r="H130" s="174"/>
      <c r="I130" s="173" t="e">
        <f>Tabela22[[#This Row],[PESO TOTAL]]/Tabela22[[#This Row],[QUANTIDADE]]</f>
        <v>#DIV/0!</v>
      </c>
      <c r="J130" s="2"/>
      <c r="K130" s="193"/>
      <c r="L130" s="8"/>
      <c r="M130" s="8"/>
      <c r="N130" s="8"/>
      <c r="O130" s="194"/>
      <c r="P130" s="195"/>
    </row>
    <row r="131" spans="1:16">
      <c r="A131" s="3"/>
      <c r="B131" s="3" t="str">
        <f>TEXT(Tabela22[[#This Row],[DATA]],"mmmm")</f>
        <v>janeiro</v>
      </c>
      <c r="C131" s="2"/>
      <c r="D131" s="2"/>
      <c r="E131" s="2"/>
      <c r="F131" s="2"/>
      <c r="G131" s="173"/>
      <c r="H131" s="174"/>
      <c r="I131" s="173" t="e">
        <f>Tabela22[[#This Row],[PESO TOTAL]]/Tabela22[[#This Row],[QUANTIDADE]]</f>
        <v>#DIV/0!</v>
      </c>
      <c r="J131" s="2"/>
      <c r="K131" s="193"/>
      <c r="L131" s="8"/>
      <c r="M131" s="8"/>
      <c r="N131" s="8"/>
      <c r="O131" s="194"/>
      <c r="P131" s="195"/>
    </row>
    <row r="132" spans="1:16">
      <c r="A132" s="3"/>
      <c r="B132" s="3" t="str">
        <f>TEXT(Tabela22[[#This Row],[DATA]],"mmmm")</f>
        <v>janeiro</v>
      </c>
      <c r="C132" s="2"/>
      <c r="D132" s="2"/>
      <c r="E132" s="2"/>
      <c r="F132" s="2"/>
      <c r="G132" s="173"/>
      <c r="H132" s="174"/>
      <c r="I132" s="173" t="e">
        <f>Tabela22[[#This Row],[PESO TOTAL]]/Tabela22[[#This Row],[QUANTIDADE]]</f>
        <v>#DIV/0!</v>
      </c>
      <c r="J132" s="2"/>
      <c r="K132" s="193"/>
      <c r="L132" s="8"/>
      <c r="M132" s="8"/>
      <c r="N132" s="8"/>
      <c r="O132" s="194"/>
      <c r="P132" s="195"/>
    </row>
    <row r="133" spans="1:16">
      <c r="A133" s="3"/>
      <c r="B133" s="3" t="str">
        <f>TEXT(Tabela22[[#This Row],[DATA]],"mmmm")</f>
        <v>janeiro</v>
      </c>
      <c r="C133" s="2"/>
      <c r="D133" s="2"/>
      <c r="E133" s="2"/>
      <c r="F133" s="2"/>
      <c r="G133" s="173"/>
      <c r="H133" s="174"/>
      <c r="I133" s="173" t="e">
        <f>Tabela22[[#This Row],[PESO TOTAL]]/Tabela22[[#This Row],[QUANTIDADE]]</f>
        <v>#DIV/0!</v>
      </c>
      <c r="J133" s="2"/>
      <c r="K133" s="193"/>
      <c r="L133" s="8"/>
      <c r="M133" s="8"/>
      <c r="N133" s="8"/>
      <c r="O133" s="194"/>
      <c r="P133" s="195"/>
    </row>
    <row r="134" spans="1:16">
      <c r="A134" s="3"/>
      <c r="B134" s="3" t="str">
        <f>TEXT(Tabela22[[#This Row],[DATA]],"mmmm")</f>
        <v>janeiro</v>
      </c>
      <c r="C134" s="2"/>
      <c r="D134" s="2"/>
      <c r="E134" s="2"/>
      <c r="F134" s="2"/>
      <c r="G134" s="173"/>
      <c r="H134" s="174"/>
      <c r="I134" s="173" t="e">
        <f>Tabela22[[#This Row],[PESO TOTAL]]/Tabela22[[#This Row],[QUANTIDADE]]</f>
        <v>#DIV/0!</v>
      </c>
      <c r="J134" s="2"/>
      <c r="K134" s="193"/>
      <c r="L134" s="8"/>
      <c r="M134" s="8"/>
      <c r="N134" s="8"/>
      <c r="O134" s="194"/>
      <c r="P134" s="195"/>
    </row>
    <row r="135" spans="1:16">
      <c r="A135" s="3"/>
      <c r="B135" s="3" t="str">
        <f>TEXT(Tabela22[[#This Row],[DATA]],"mmmm")</f>
        <v>janeiro</v>
      </c>
      <c r="C135" s="2"/>
      <c r="D135" s="2"/>
      <c r="E135" s="2"/>
      <c r="F135" s="2"/>
      <c r="G135" s="173"/>
      <c r="H135" s="174"/>
      <c r="I135" s="173" t="e">
        <f>Tabela22[[#This Row],[PESO TOTAL]]/Tabela22[[#This Row],[QUANTIDADE]]</f>
        <v>#DIV/0!</v>
      </c>
      <c r="J135" s="2"/>
      <c r="K135" s="193"/>
      <c r="L135" s="8"/>
      <c r="M135" s="8"/>
      <c r="N135" s="8"/>
      <c r="O135" s="194"/>
      <c r="P135" s="195"/>
    </row>
    <row r="136" spans="1:16">
      <c r="A136" s="3"/>
      <c r="B136" s="3" t="str">
        <f>TEXT(Tabela22[[#This Row],[DATA]],"mmmm")</f>
        <v>janeiro</v>
      </c>
      <c r="C136" s="2"/>
      <c r="D136" s="2"/>
      <c r="E136" s="2"/>
      <c r="F136" s="2"/>
      <c r="G136" s="173"/>
      <c r="H136" s="174"/>
      <c r="I136" s="173" t="e">
        <f>Tabela22[[#This Row],[PESO TOTAL]]/Tabela22[[#This Row],[QUANTIDADE]]</f>
        <v>#DIV/0!</v>
      </c>
      <c r="J136" s="2"/>
      <c r="K136" s="193"/>
      <c r="L136" s="8"/>
      <c r="M136" s="8"/>
      <c r="N136" s="8"/>
      <c r="O136" s="194"/>
      <c r="P136" s="195"/>
    </row>
    <row r="137" spans="1:16">
      <c r="A137" s="3"/>
      <c r="B137" s="3" t="str">
        <f>TEXT(Tabela22[[#This Row],[DATA]],"mmmm")</f>
        <v>janeiro</v>
      </c>
      <c r="C137" s="2"/>
      <c r="D137" s="2"/>
      <c r="E137" s="2"/>
      <c r="F137" s="2"/>
      <c r="G137" s="173"/>
      <c r="H137" s="174"/>
      <c r="I137" s="173" t="e">
        <f>Tabela22[[#This Row],[PESO TOTAL]]/Tabela22[[#This Row],[QUANTIDADE]]</f>
        <v>#DIV/0!</v>
      </c>
      <c r="J137" s="2"/>
      <c r="K137" s="193"/>
      <c r="L137" s="8"/>
      <c r="M137" s="8"/>
      <c r="N137" s="8"/>
      <c r="O137" s="194"/>
      <c r="P137" s="195"/>
    </row>
    <row r="138" spans="1:16">
      <c r="A138" s="3"/>
      <c r="B138" s="3" t="str">
        <f>TEXT(Tabela22[[#This Row],[DATA]],"mmmm")</f>
        <v>janeiro</v>
      </c>
      <c r="C138" s="2"/>
      <c r="D138" s="2"/>
      <c r="E138" s="2"/>
      <c r="F138" s="2"/>
      <c r="G138" s="173"/>
      <c r="H138" s="174"/>
      <c r="I138" s="173" t="e">
        <f>Tabela22[[#This Row],[PESO TOTAL]]/Tabela22[[#This Row],[QUANTIDADE]]</f>
        <v>#DIV/0!</v>
      </c>
      <c r="J138" s="2"/>
      <c r="K138" s="193"/>
      <c r="L138" s="8"/>
      <c r="M138" s="8"/>
      <c r="N138" s="8"/>
      <c r="O138" s="194"/>
      <c r="P138" s="195"/>
    </row>
    <row r="139" spans="1:16">
      <c r="A139" s="3"/>
      <c r="B139" s="3" t="str">
        <f>TEXT(Tabela22[[#This Row],[DATA]],"mmmm")</f>
        <v>janeiro</v>
      </c>
      <c r="C139" s="2"/>
      <c r="D139" s="2"/>
      <c r="E139" s="2"/>
      <c r="F139" s="2"/>
      <c r="G139" s="173"/>
      <c r="H139" s="174"/>
      <c r="I139" s="173" t="e">
        <f>Tabela22[[#This Row],[PESO TOTAL]]/Tabela22[[#This Row],[QUANTIDADE]]</f>
        <v>#DIV/0!</v>
      </c>
      <c r="J139" s="2"/>
      <c r="K139" s="193"/>
      <c r="L139" s="8"/>
      <c r="M139" s="8"/>
      <c r="N139" s="8"/>
      <c r="O139" s="194"/>
      <c r="P139" s="195"/>
    </row>
    <row r="140" spans="1:16">
      <c r="A140" s="3"/>
      <c r="B140" s="3" t="str">
        <f>TEXT(Tabela22[[#This Row],[DATA]],"mmmm")</f>
        <v>janeiro</v>
      </c>
      <c r="C140" s="2"/>
      <c r="D140" s="2"/>
      <c r="E140" s="2"/>
      <c r="F140" s="2"/>
      <c r="G140" s="173"/>
      <c r="H140" s="174"/>
      <c r="I140" s="173" t="e">
        <f>Tabela22[[#This Row],[PESO TOTAL]]/Tabela22[[#This Row],[QUANTIDADE]]</f>
        <v>#DIV/0!</v>
      </c>
      <c r="J140" s="2"/>
      <c r="K140" s="193"/>
      <c r="L140" s="8"/>
      <c r="M140" s="8"/>
      <c r="N140" s="8"/>
      <c r="O140" s="194"/>
      <c r="P140" s="195"/>
    </row>
    <row r="141" spans="1:16">
      <c r="A141" s="3"/>
      <c r="B141" s="3" t="str">
        <f>TEXT(Tabela22[[#This Row],[DATA]],"mmmm")</f>
        <v>janeiro</v>
      </c>
      <c r="C141" s="2"/>
      <c r="D141" s="2"/>
      <c r="E141" s="2"/>
      <c r="F141" s="2"/>
      <c r="G141" s="173"/>
      <c r="H141" s="174"/>
      <c r="I141" s="173" t="e">
        <f>Tabela22[[#This Row],[PESO TOTAL]]/Tabela22[[#This Row],[QUANTIDADE]]</f>
        <v>#DIV/0!</v>
      </c>
      <c r="J141" s="2"/>
      <c r="K141" s="193"/>
      <c r="L141" s="8"/>
      <c r="M141" s="8"/>
      <c r="N141" s="8"/>
      <c r="O141" s="194"/>
      <c r="P141" s="195"/>
    </row>
    <row r="142" spans="1:16">
      <c r="A142" s="3"/>
      <c r="B142" s="3" t="str">
        <f>TEXT(Tabela22[[#This Row],[DATA]],"mmmm")</f>
        <v>janeiro</v>
      </c>
      <c r="C142" s="2"/>
      <c r="D142" s="2"/>
      <c r="E142" s="2"/>
      <c r="F142" s="2"/>
      <c r="G142" s="173"/>
      <c r="H142" s="174"/>
      <c r="I142" s="173" t="e">
        <f>Tabela22[[#This Row],[PESO TOTAL]]/Tabela22[[#This Row],[QUANTIDADE]]</f>
        <v>#DIV/0!</v>
      </c>
      <c r="J142" s="2"/>
      <c r="K142" s="193"/>
      <c r="L142" s="8"/>
      <c r="M142" s="8"/>
      <c r="N142" s="8"/>
      <c r="O142" s="194"/>
      <c r="P142" s="195"/>
    </row>
    <row r="143" spans="1:16">
      <c r="A143" s="3"/>
      <c r="B143" s="3" t="str">
        <f>TEXT(Tabela22[[#This Row],[DATA]],"mmmm")</f>
        <v>janeiro</v>
      </c>
      <c r="C143" s="2"/>
      <c r="D143" s="2"/>
      <c r="E143" s="2"/>
      <c r="F143" s="2"/>
      <c r="G143" s="173"/>
      <c r="H143" s="174"/>
      <c r="I143" s="173" t="e">
        <f>Tabela22[[#This Row],[PESO TOTAL]]/Tabela22[[#This Row],[QUANTIDADE]]</f>
        <v>#DIV/0!</v>
      </c>
      <c r="J143" s="2"/>
      <c r="K143" s="193"/>
      <c r="L143" s="8"/>
      <c r="M143" s="8"/>
      <c r="N143" s="8"/>
      <c r="O143" s="194"/>
      <c r="P143" s="195"/>
    </row>
    <row r="144" spans="1:16">
      <c r="A144" s="3"/>
      <c r="B144" s="3" t="str">
        <f>TEXT(Tabela22[[#This Row],[DATA]],"mmmm")</f>
        <v>janeiro</v>
      </c>
      <c r="C144" s="2"/>
      <c r="D144" s="2"/>
      <c r="E144" s="2"/>
      <c r="F144" s="2"/>
      <c r="G144" s="173"/>
      <c r="H144" s="174"/>
      <c r="I144" s="173" t="e">
        <f>Tabela22[[#This Row],[PESO TOTAL]]/Tabela22[[#This Row],[QUANTIDADE]]</f>
        <v>#DIV/0!</v>
      </c>
      <c r="J144" s="2"/>
      <c r="K144" s="193"/>
      <c r="L144" s="8"/>
      <c r="M144" s="8"/>
      <c r="N144" s="8"/>
      <c r="O144" s="194"/>
      <c r="P144" s="195"/>
    </row>
    <row r="145" spans="1:16">
      <c r="A145" s="3"/>
      <c r="B145" s="3" t="str">
        <f>TEXT(Tabela22[[#This Row],[DATA]],"mmmm")</f>
        <v>janeiro</v>
      </c>
      <c r="C145" s="2"/>
      <c r="D145" s="2"/>
      <c r="E145" s="2"/>
      <c r="F145" s="2"/>
      <c r="G145" s="173"/>
      <c r="H145" s="174"/>
      <c r="I145" s="173" t="e">
        <f>Tabela22[[#This Row],[PESO TOTAL]]/Tabela22[[#This Row],[QUANTIDADE]]</f>
        <v>#DIV/0!</v>
      </c>
      <c r="J145" s="2"/>
      <c r="K145" s="193"/>
      <c r="L145" s="8"/>
      <c r="M145" s="8"/>
      <c r="N145" s="8"/>
      <c r="O145" s="194"/>
      <c r="P145" s="195"/>
    </row>
    <row r="146" spans="1:16">
      <c r="A146" s="3"/>
      <c r="B146" s="3" t="str">
        <f>TEXT(Tabela22[[#This Row],[DATA]],"mmmm")</f>
        <v>janeiro</v>
      </c>
      <c r="C146" s="2"/>
      <c r="D146" s="2"/>
      <c r="E146" s="2"/>
      <c r="F146" s="2"/>
      <c r="G146" s="173"/>
      <c r="H146" s="174"/>
      <c r="I146" s="173" t="e">
        <f>Tabela22[[#This Row],[PESO TOTAL]]/Tabela22[[#This Row],[QUANTIDADE]]</f>
        <v>#DIV/0!</v>
      </c>
      <c r="J146" s="2"/>
      <c r="K146" s="193"/>
      <c r="L146" s="8"/>
      <c r="M146" s="8"/>
      <c r="N146" s="8"/>
      <c r="O146" s="194"/>
      <c r="P146" s="195"/>
    </row>
    <row r="147" spans="1:16">
      <c r="A147" s="3"/>
      <c r="B147" s="3" t="str">
        <f>TEXT(Tabela22[[#This Row],[DATA]],"mmmm")</f>
        <v>janeiro</v>
      </c>
      <c r="C147" s="2"/>
      <c r="D147" s="2"/>
      <c r="E147" s="2"/>
      <c r="F147" s="2"/>
      <c r="G147" s="173"/>
      <c r="H147" s="174"/>
      <c r="I147" s="173" t="e">
        <f>Tabela22[[#This Row],[PESO TOTAL]]/Tabela22[[#This Row],[QUANTIDADE]]</f>
        <v>#DIV/0!</v>
      </c>
      <c r="J147" s="2"/>
      <c r="K147" s="193"/>
      <c r="L147" s="8"/>
      <c r="M147" s="8"/>
      <c r="N147" s="8"/>
      <c r="O147" s="194"/>
      <c r="P147" s="195"/>
    </row>
    <row r="148" spans="1:16">
      <c r="A148" s="3"/>
      <c r="B148" s="3" t="str">
        <f>TEXT(Tabela22[[#This Row],[DATA]],"mmmm")</f>
        <v>janeiro</v>
      </c>
      <c r="C148" s="2"/>
      <c r="D148" s="2"/>
      <c r="E148" s="2"/>
      <c r="F148" s="2"/>
      <c r="G148" s="173"/>
      <c r="H148" s="174"/>
      <c r="I148" s="173" t="e">
        <f>Tabela22[[#This Row],[PESO TOTAL]]/Tabela22[[#This Row],[QUANTIDADE]]</f>
        <v>#DIV/0!</v>
      </c>
      <c r="J148" s="2"/>
      <c r="K148" s="193"/>
      <c r="L148" s="8"/>
      <c r="M148" s="8"/>
      <c r="N148" s="8"/>
      <c r="O148" s="194"/>
      <c r="P148" s="195"/>
    </row>
    <row r="149" spans="1:16">
      <c r="A149" s="3"/>
      <c r="B149" s="3" t="str">
        <f>TEXT(Tabela22[[#This Row],[DATA]],"mmmm")</f>
        <v>janeiro</v>
      </c>
      <c r="C149" s="2"/>
      <c r="D149" s="2"/>
      <c r="E149" s="2"/>
      <c r="F149" s="2"/>
      <c r="G149" s="173"/>
      <c r="H149" s="174"/>
      <c r="I149" s="173" t="e">
        <f>Tabela22[[#This Row],[PESO TOTAL]]/Tabela22[[#This Row],[QUANTIDADE]]</f>
        <v>#DIV/0!</v>
      </c>
      <c r="J149" s="2"/>
      <c r="K149" s="193"/>
      <c r="L149" s="8"/>
      <c r="M149" s="8"/>
      <c r="N149" s="8"/>
      <c r="O149" s="194"/>
      <c r="P149" s="195"/>
    </row>
    <row r="150" spans="1:16">
      <c r="A150" s="3"/>
      <c r="B150" s="3" t="str">
        <f>TEXT(Tabela22[[#This Row],[DATA]],"mmmm")</f>
        <v>janeiro</v>
      </c>
      <c r="C150" s="2"/>
      <c r="D150" s="2"/>
      <c r="E150" s="2"/>
      <c r="F150" s="2"/>
      <c r="G150" s="173"/>
      <c r="H150" s="174"/>
      <c r="I150" s="173" t="e">
        <f>Tabela22[[#This Row],[PESO TOTAL]]/Tabela22[[#This Row],[QUANTIDADE]]</f>
        <v>#DIV/0!</v>
      </c>
      <c r="J150" s="2"/>
      <c r="K150" s="193"/>
      <c r="L150" s="8"/>
      <c r="M150" s="8"/>
      <c r="N150" s="8"/>
      <c r="O150" s="194"/>
      <c r="P150" s="195"/>
    </row>
    <row r="151" spans="1:16">
      <c r="A151" s="3"/>
      <c r="B151" s="3" t="str">
        <f>TEXT(Tabela22[[#This Row],[DATA]],"mmmm")</f>
        <v>janeiro</v>
      </c>
      <c r="C151" s="2"/>
      <c r="D151" s="2"/>
      <c r="E151" s="2"/>
      <c r="F151" s="2"/>
      <c r="G151" s="173"/>
      <c r="H151" s="174"/>
      <c r="I151" s="173" t="e">
        <f>Tabela22[[#This Row],[PESO TOTAL]]/Tabela22[[#This Row],[QUANTIDADE]]</f>
        <v>#DIV/0!</v>
      </c>
      <c r="J151" s="2"/>
      <c r="K151" s="193"/>
      <c r="L151" s="8"/>
      <c r="M151" s="8"/>
      <c r="N151" s="8"/>
      <c r="O151" s="194"/>
      <c r="P151" s="195"/>
    </row>
    <row r="152" spans="1:16">
      <c r="A152" s="3"/>
      <c r="B152" s="3" t="str">
        <f>TEXT(Tabela22[[#This Row],[DATA]],"mmmm")</f>
        <v>janeiro</v>
      </c>
      <c r="C152" s="2"/>
      <c r="D152" s="2"/>
      <c r="E152" s="2"/>
      <c r="F152" s="2"/>
      <c r="G152" s="173"/>
      <c r="H152" s="174"/>
      <c r="I152" s="173" t="e">
        <f>Tabela22[[#This Row],[PESO TOTAL]]/Tabela22[[#This Row],[QUANTIDADE]]</f>
        <v>#DIV/0!</v>
      </c>
      <c r="J152" s="2"/>
      <c r="K152" s="193"/>
      <c r="L152" s="8"/>
      <c r="M152" s="8"/>
      <c r="N152" s="8"/>
      <c r="O152" s="194"/>
      <c r="P152" s="195"/>
    </row>
    <row r="153" spans="1:16">
      <c r="A153" s="3"/>
      <c r="B153" s="3" t="str">
        <f>TEXT(Tabela22[[#This Row],[DATA]],"mmmm")</f>
        <v>janeiro</v>
      </c>
      <c r="C153" s="2"/>
      <c r="D153" s="2"/>
      <c r="E153" s="2"/>
      <c r="F153" s="2"/>
      <c r="G153" s="173"/>
      <c r="H153" s="174"/>
      <c r="I153" s="173" t="e">
        <f>Tabela22[[#This Row],[PESO TOTAL]]/Tabela22[[#This Row],[QUANTIDADE]]</f>
        <v>#DIV/0!</v>
      </c>
      <c r="J153" s="2"/>
      <c r="K153" s="193"/>
      <c r="L153" s="8"/>
      <c r="M153" s="8"/>
      <c r="N153" s="8"/>
      <c r="O153" s="194"/>
      <c r="P153" s="195"/>
    </row>
    <row r="154" spans="1:16">
      <c r="A154" s="3"/>
      <c r="B154" s="3" t="str">
        <f>TEXT(Tabela22[[#This Row],[DATA]],"mmmm")</f>
        <v>janeiro</v>
      </c>
      <c r="C154" s="2"/>
      <c r="D154" s="2"/>
      <c r="E154" s="2"/>
      <c r="F154" s="2"/>
      <c r="G154" s="173"/>
      <c r="H154" s="174"/>
      <c r="I154" s="173" t="e">
        <f>Tabela22[[#This Row],[PESO TOTAL]]/Tabela22[[#This Row],[QUANTIDADE]]</f>
        <v>#DIV/0!</v>
      </c>
      <c r="J154" s="2"/>
      <c r="K154" s="193"/>
      <c r="L154" s="8"/>
      <c r="M154" s="8"/>
      <c r="N154" s="8"/>
      <c r="O154" s="194"/>
      <c r="P154" s="195"/>
    </row>
    <row r="155" spans="1:16">
      <c r="A155" s="3"/>
      <c r="B155" s="3" t="str">
        <f>TEXT(Tabela22[[#This Row],[DATA]],"mmmm")</f>
        <v>janeiro</v>
      </c>
      <c r="C155" s="2"/>
      <c r="D155" s="2"/>
      <c r="E155" s="2"/>
      <c r="F155" s="2"/>
      <c r="G155" s="173"/>
      <c r="H155" s="174"/>
      <c r="I155" s="173" t="e">
        <f>Tabela22[[#This Row],[PESO TOTAL]]/Tabela22[[#This Row],[QUANTIDADE]]</f>
        <v>#DIV/0!</v>
      </c>
      <c r="J155" s="2"/>
      <c r="K155" s="193"/>
      <c r="L155" s="8"/>
      <c r="M155" s="8"/>
      <c r="N155" s="8"/>
      <c r="O155" s="194"/>
      <c r="P155" s="195"/>
    </row>
    <row r="156" spans="1:16">
      <c r="A156" s="3"/>
      <c r="B156" s="3" t="str">
        <f>TEXT(Tabela22[[#This Row],[DATA]],"mmmm")</f>
        <v>janeiro</v>
      </c>
      <c r="C156" s="2"/>
      <c r="D156" s="2"/>
      <c r="E156" s="2"/>
      <c r="F156" s="2"/>
      <c r="G156" s="173"/>
      <c r="H156" s="174"/>
      <c r="I156" s="173" t="e">
        <f>Tabela22[[#This Row],[PESO TOTAL]]/Tabela22[[#This Row],[QUANTIDADE]]</f>
        <v>#DIV/0!</v>
      </c>
      <c r="J156" s="2"/>
      <c r="K156" s="193"/>
      <c r="L156" s="8"/>
      <c r="M156" s="8"/>
      <c r="N156" s="8"/>
      <c r="O156" s="194"/>
      <c r="P156" s="195"/>
    </row>
    <row r="157" spans="1:16">
      <c r="A157" s="3"/>
      <c r="B157" s="3" t="str">
        <f>TEXT(Tabela22[[#This Row],[DATA]],"mmmm")</f>
        <v>janeiro</v>
      </c>
      <c r="C157" s="2"/>
      <c r="D157" s="2"/>
      <c r="E157" s="2"/>
      <c r="F157" s="2"/>
      <c r="G157" s="173"/>
      <c r="H157" s="174"/>
      <c r="I157" s="173" t="e">
        <f>Tabela22[[#This Row],[PESO TOTAL]]/Tabela22[[#This Row],[QUANTIDADE]]</f>
        <v>#DIV/0!</v>
      </c>
      <c r="J157" s="2"/>
      <c r="K157" s="193"/>
      <c r="L157" s="8"/>
      <c r="M157" s="8"/>
      <c r="N157" s="8"/>
      <c r="O157" s="194"/>
      <c r="P157" s="195"/>
    </row>
    <row r="158" spans="1:16">
      <c r="A158" s="3"/>
      <c r="B158" s="3" t="str">
        <f>TEXT(Tabela22[[#This Row],[DATA]],"mmmm")</f>
        <v>janeiro</v>
      </c>
      <c r="C158" s="2"/>
      <c r="D158" s="2"/>
      <c r="E158" s="2"/>
      <c r="F158" s="2"/>
      <c r="G158" s="173"/>
      <c r="H158" s="174"/>
      <c r="I158" s="173" t="e">
        <f>Tabela22[[#This Row],[PESO TOTAL]]/Tabela22[[#This Row],[QUANTIDADE]]</f>
        <v>#DIV/0!</v>
      </c>
      <c r="J158" s="2"/>
      <c r="K158" s="193"/>
      <c r="L158" s="8"/>
      <c r="M158" s="8"/>
      <c r="N158" s="8"/>
      <c r="O158" s="194"/>
      <c r="P158" s="195"/>
    </row>
    <row r="159" spans="1:16">
      <c r="A159" s="3"/>
      <c r="B159" s="3" t="str">
        <f>TEXT(Tabela22[[#This Row],[DATA]],"mmmm")</f>
        <v>janeiro</v>
      </c>
      <c r="C159" s="2"/>
      <c r="D159" s="2"/>
      <c r="E159" s="2"/>
      <c r="F159" s="2"/>
      <c r="G159" s="173"/>
      <c r="H159" s="174"/>
      <c r="I159" s="173" t="e">
        <f>Tabela22[[#This Row],[PESO TOTAL]]/Tabela22[[#This Row],[QUANTIDADE]]</f>
        <v>#DIV/0!</v>
      </c>
      <c r="J159" s="2"/>
      <c r="K159" s="193"/>
      <c r="L159" s="8"/>
      <c r="M159" s="8"/>
      <c r="N159" s="8"/>
      <c r="O159" s="194"/>
      <c r="P159" s="195"/>
    </row>
    <row r="160" spans="1:16">
      <c r="A160" s="3"/>
      <c r="B160" s="3" t="str">
        <f>TEXT(Tabela22[[#This Row],[DATA]],"mmmm")</f>
        <v>janeiro</v>
      </c>
      <c r="C160" s="2"/>
      <c r="D160" s="2"/>
      <c r="E160" s="2"/>
      <c r="F160" s="2"/>
      <c r="G160" s="173"/>
      <c r="H160" s="174"/>
      <c r="I160" s="173" t="e">
        <f>Tabela22[[#This Row],[PESO TOTAL]]/Tabela22[[#This Row],[QUANTIDADE]]</f>
        <v>#DIV/0!</v>
      </c>
      <c r="J160" s="2"/>
      <c r="K160" s="193"/>
      <c r="L160" s="8"/>
      <c r="M160" s="8"/>
      <c r="N160" s="8"/>
      <c r="O160" s="194"/>
      <c r="P160" s="195"/>
    </row>
    <row r="161" spans="1:16">
      <c r="A161" s="3"/>
      <c r="B161" s="3" t="str">
        <f>TEXT(Tabela22[[#This Row],[DATA]],"mmmm")</f>
        <v>janeiro</v>
      </c>
      <c r="C161" s="2"/>
      <c r="D161" s="2"/>
      <c r="E161" s="2"/>
      <c r="F161" s="2"/>
      <c r="G161" s="173"/>
      <c r="H161" s="174"/>
      <c r="I161" s="173" t="e">
        <f>Tabela22[[#This Row],[PESO TOTAL]]/Tabela22[[#This Row],[QUANTIDADE]]</f>
        <v>#DIV/0!</v>
      </c>
      <c r="J161" s="2"/>
      <c r="K161" s="193"/>
      <c r="L161" s="8"/>
      <c r="M161" s="8"/>
      <c r="N161" s="8"/>
      <c r="O161" s="194"/>
      <c r="P161" s="195"/>
    </row>
    <row r="162" spans="1:16">
      <c r="A162" s="3"/>
      <c r="B162" s="3" t="str">
        <f>TEXT(Tabela22[[#This Row],[DATA]],"mmmm")</f>
        <v>janeiro</v>
      </c>
      <c r="C162" s="2"/>
      <c r="D162" s="2"/>
      <c r="E162" s="2"/>
      <c r="F162" s="2"/>
      <c r="G162" s="173"/>
      <c r="H162" s="174"/>
      <c r="I162" s="173" t="e">
        <f>Tabela22[[#This Row],[PESO TOTAL]]/Tabela22[[#This Row],[QUANTIDADE]]</f>
        <v>#DIV/0!</v>
      </c>
      <c r="J162" s="2"/>
      <c r="K162" s="193"/>
      <c r="L162" s="8"/>
      <c r="M162" s="8"/>
      <c r="N162" s="8"/>
      <c r="O162" s="194"/>
      <c r="P162" s="195"/>
    </row>
    <row r="163" spans="1:16">
      <c r="A163" s="3"/>
      <c r="B163" s="3" t="str">
        <f>TEXT(Tabela22[[#This Row],[DATA]],"mmmm")</f>
        <v>janeiro</v>
      </c>
      <c r="C163" s="2"/>
      <c r="D163" s="2"/>
      <c r="E163" s="2"/>
      <c r="F163" s="2"/>
      <c r="G163" s="173"/>
      <c r="H163" s="174"/>
      <c r="I163" s="173" t="e">
        <f>Tabela22[[#This Row],[PESO TOTAL]]/Tabela22[[#This Row],[QUANTIDADE]]</f>
        <v>#DIV/0!</v>
      </c>
      <c r="J163" s="2"/>
      <c r="K163" s="193"/>
      <c r="L163" s="8"/>
      <c r="M163" s="8"/>
      <c r="N163" s="8"/>
      <c r="O163" s="194"/>
      <c r="P163" s="195"/>
    </row>
    <row r="164" spans="1:16">
      <c r="A164" s="3"/>
      <c r="B164" s="3" t="str">
        <f>TEXT(Tabela22[[#This Row],[DATA]],"mmmm")</f>
        <v>janeiro</v>
      </c>
      <c r="C164" s="2"/>
      <c r="D164" s="2"/>
      <c r="E164" s="2"/>
      <c r="F164" s="2"/>
      <c r="G164" s="173"/>
      <c r="H164" s="174"/>
      <c r="I164" s="173" t="e">
        <f>Tabela22[[#This Row],[PESO TOTAL]]/Tabela22[[#This Row],[QUANTIDADE]]</f>
        <v>#DIV/0!</v>
      </c>
      <c r="J164" s="2"/>
      <c r="K164" s="193"/>
      <c r="L164" s="8"/>
      <c r="M164" s="8"/>
      <c r="N164" s="8"/>
      <c r="O164" s="194"/>
      <c r="P164" s="195"/>
    </row>
    <row r="165" spans="1:16">
      <c r="A165" s="3"/>
      <c r="B165" s="3" t="str">
        <f>TEXT(Tabela22[[#This Row],[DATA]],"mmmm")</f>
        <v>janeiro</v>
      </c>
      <c r="C165" s="2"/>
      <c r="D165" s="2"/>
      <c r="E165" s="2"/>
      <c r="F165" s="2"/>
      <c r="G165" s="173"/>
      <c r="H165" s="174"/>
      <c r="I165" s="173" t="e">
        <f>Tabela22[[#This Row],[PESO TOTAL]]/Tabela22[[#This Row],[QUANTIDADE]]</f>
        <v>#DIV/0!</v>
      </c>
      <c r="J165" s="2"/>
      <c r="K165" s="193"/>
      <c r="L165" s="8"/>
      <c r="M165" s="8"/>
      <c r="N165" s="8"/>
      <c r="O165" s="194"/>
      <c r="P165" s="195"/>
    </row>
    <row r="166" spans="1:16">
      <c r="A166" s="3"/>
      <c r="B166" s="3" t="str">
        <f>TEXT(Tabela22[[#This Row],[DATA]],"mmmm")</f>
        <v>janeiro</v>
      </c>
      <c r="C166" s="2"/>
      <c r="D166" s="2"/>
      <c r="E166" s="2"/>
      <c r="F166" s="2"/>
      <c r="G166" s="173"/>
      <c r="H166" s="174"/>
      <c r="I166" s="173" t="e">
        <f>Tabela22[[#This Row],[PESO TOTAL]]/Tabela22[[#This Row],[QUANTIDADE]]</f>
        <v>#DIV/0!</v>
      </c>
      <c r="J166" s="2"/>
      <c r="K166" s="193"/>
      <c r="L166" s="8"/>
      <c r="M166" s="8"/>
      <c r="N166" s="8"/>
      <c r="O166" s="194"/>
      <c r="P166" s="195"/>
    </row>
    <row r="167" spans="1:16">
      <c r="A167" s="3"/>
      <c r="B167" s="3" t="str">
        <f>TEXT(Tabela22[[#This Row],[DATA]],"mmmm")</f>
        <v>janeiro</v>
      </c>
      <c r="C167" s="2"/>
      <c r="D167" s="2"/>
      <c r="E167" s="2"/>
      <c r="F167" s="2"/>
      <c r="G167" s="173"/>
      <c r="H167" s="174"/>
      <c r="I167" s="173" t="e">
        <f>Tabela22[[#This Row],[PESO TOTAL]]/Tabela22[[#This Row],[QUANTIDADE]]</f>
        <v>#DIV/0!</v>
      </c>
      <c r="J167" s="2"/>
      <c r="K167" s="193"/>
      <c r="L167" s="8"/>
      <c r="M167" s="8"/>
      <c r="N167" s="8"/>
      <c r="O167" s="194"/>
      <c r="P167" s="195"/>
    </row>
    <row r="168" spans="1:16">
      <c r="A168" s="3"/>
      <c r="B168" s="3" t="str">
        <f>TEXT(Tabela22[[#This Row],[DATA]],"mmmm")</f>
        <v>janeiro</v>
      </c>
      <c r="C168" s="2"/>
      <c r="D168" s="2"/>
      <c r="E168" s="2"/>
      <c r="F168" s="2"/>
      <c r="G168" s="173"/>
      <c r="H168" s="174"/>
      <c r="I168" s="173" t="e">
        <f>Tabela22[[#This Row],[PESO TOTAL]]/Tabela22[[#This Row],[QUANTIDADE]]</f>
        <v>#DIV/0!</v>
      </c>
      <c r="J168" s="2"/>
      <c r="K168" s="193"/>
      <c r="L168" s="8"/>
      <c r="M168" s="8"/>
      <c r="N168" s="8"/>
      <c r="O168" s="194"/>
      <c r="P168" s="195"/>
    </row>
    <row r="169" spans="1:16">
      <c r="A169" s="3"/>
      <c r="B169" s="3" t="str">
        <f>TEXT(Tabela22[[#This Row],[DATA]],"mmmm")</f>
        <v>janeiro</v>
      </c>
      <c r="C169" s="2"/>
      <c r="D169" s="2"/>
      <c r="E169" s="2"/>
      <c r="F169" s="2"/>
      <c r="G169" s="173"/>
      <c r="H169" s="174"/>
      <c r="I169" s="173" t="e">
        <f>Tabela22[[#This Row],[PESO TOTAL]]/Tabela22[[#This Row],[QUANTIDADE]]</f>
        <v>#DIV/0!</v>
      </c>
      <c r="J169" s="2"/>
      <c r="K169" s="193"/>
      <c r="L169" s="8"/>
      <c r="M169" s="8"/>
      <c r="N169" s="8"/>
      <c r="O169" s="194"/>
      <c r="P169" s="195"/>
    </row>
    <row r="170" spans="1:16">
      <c r="A170" s="3"/>
      <c r="B170" s="3" t="str">
        <f>TEXT(Tabela22[[#This Row],[DATA]],"mmmm")</f>
        <v>janeiro</v>
      </c>
      <c r="C170" s="2"/>
      <c r="D170" s="2"/>
      <c r="E170" s="2"/>
      <c r="F170" s="2"/>
      <c r="G170" s="173"/>
      <c r="H170" s="174"/>
      <c r="I170" s="173" t="e">
        <f>Tabela22[[#This Row],[PESO TOTAL]]/Tabela22[[#This Row],[QUANTIDADE]]</f>
        <v>#DIV/0!</v>
      </c>
      <c r="J170" s="2"/>
      <c r="K170" s="193"/>
      <c r="L170" s="8"/>
      <c r="M170" s="8"/>
      <c r="N170" s="8"/>
      <c r="O170" s="194"/>
      <c r="P170" s="195"/>
    </row>
    <row r="171" spans="1:16">
      <c r="A171" s="3"/>
      <c r="B171" s="3" t="str">
        <f>TEXT(Tabela22[[#This Row],[DATA]],"mmmm")</f>
        <v>janeiro</v>
      </c>
      <c r="C171" s="2"/>
      <c r="D171" s="2"/>
      <c r="E171" s="2"/>
      <c r="F171" s="2"/>
      <c r="G171" s="173"/>
      <c r="H171" s="174"/>
      <c r="I171" s="173" t="e">
        <f>Tabela22[[#This Row],[PESO TOTAL]]/Tabela22[[#This Row],[QUANTIDADE]]</f>
        <v>#DIV/0!</v>
      </c>
      <c r="J171" s="2"/>
      <c r="K171" s="193"/>
      <c r="L171" s="8"/>
      <c r="M171" s="8"/>
      <c r="N171" s="8"/>
      <c r="O171" s="194"/>
      <c r="P171" s="195"/>
    </row>
    <row r="172" spans="1:16">
      <c r="A172" s="3"/>
      <c r="B172" s="3" t="str">
        <f>TEXT(Tabela22[[#This Row],[DATA]],"mmmm")</f>
        <v>janeiro</v>
      </c>
      <c r="C172" s="2"/>
      <c r="D172" s="2"/>
      <c r="E172" s="2"/>
      <c r="F172" s="2"/>
      <c r="G172" s="173"/>
      <c r="H172" s="174"/>
      <c r="I172" s="173" t="e">
        <f>Tabela22[[#This Row],[PESO TOTAL]]/Tabela22[[#This Row],[QUANTIDADE]]</f>
        <v>#DIV/0!</v>
      </c>
      <c r="J172" s="2"/>
      <c r="K172" s="193"/>
      <c r="L172" s="8"/>
      <c r="M172" s="8"/>
      <c r="N172" s="8"/>
      <c r="O172" s="194"/>
      <c r="P172" s="195"/>
    </row>
    <row r="173" spans="1:16">
      <c r="A173" s="3"/>
      <c r="B173" s="3" t="str">
        <f>TEXT(Tabela22[[#This Row],[DATA]],"mmmm")</f>
        <v>janeiro</v>
      </c>
      <c r="C173" s="2"/>
      <c r="D173" s="2"/>
      <c r="E173" s="2"/>
      <c r="F173" s="2"/>
      <c r="G173" s="173"/>
      <c r="H173" s="174"/>
      <c r="I173" s="173" t="e">
        <f>Tabela22[[#This Row],[PESO TOTAL]]/Tabela22[[#This Row],[QUANTIDADE]]</f>
        <v>#DIV/0!</v>
      </c>
      <c r="J173" s="2"/>
      <c r="K173" s="193"/>
      <c r="L173" s="8"/>
      <c r="M173" s="8"/>
      <c r="N173" s="8"/>
      <c r="O173" s="194"/>
      <c r="P173" s="195"/>
    </row>
    <row r="174" spans="1:16">
      <c r="A174" s="3"/>
      <c r="B174" s="3" t="str">
        <f>TEXT(Tabela22[[#This Row],[DATA]],"mmmm")</f>
        <v>janeiro</v>
      </c>
      <c r="C174" s="2"/>
      <c r="D174" s="2"/>
      <c r="E174" s="2"/>
      <c r="F174" s="2"/>
      <c r="G174" s="173"/>
      <c r="H174" s="174"/>
      <c r="I174" s="173" t="e">
        <f>Tabela22[[#This Row],[PESO TOTAL]]/Tabela22[[#This Row],[QUANTIDADE]]</f>
        <v>#DIV/0!</v>
      </c>
      <c r="J174" s="2"/>
      <c r="K174" s="193"/>
      <c r="L174" s="8"/>
      <c r="M174" s="8"/>
      <c r="N174" s="8"/>
      <c r="O174" s="194"/>
      <c r="P174" s="195"/>
    </row>
    <row r="175" spans="1:16">
      <c r="A175" s="3"/>
      <c r="B175" s="3" t="str">
        <f>TEXT(Tabela22[[#This Row],[DATA]],"mmmm")</f>
        <v>janeiro</v>
      </c>
      <c r="C175" s="2"/>
      <c r="D175" s="2"/>
      <c r="E175" s="2"/>
      <c r="F175" s="2"/>
      <c r="G175" s="173"/>
      <c r="H175" s="174"/>
      <c r="I175" s="173" t="e">
        <f>Tabela22[[#This Row],[PESO TOTAL]]/Tabela22[[#This Row],[QUANTIDADE]]</f>
        <v>#DIV/0!</v>
      </c>
      <c r="J175" s="2"/>
      <c r="K175" s="193"/>
      <c r="L175" s="8"/>
      <c r="M175" s="8"/>
      <c r="N175" s="8"/>
      <c r="O175" s="194"/>
      <c r="P175" s="195"/>
    </row>
    <row r="176" spans="1:16">
      <c r="A176" s="3"/>
      <c r="B176" s="3" t="str">
        <f>TEXT(Tabela22[[#This Row],[DATA]],"mmmm")</f>
        <v>janeiro</v>
      </c>
      <c r="C176" s="2"/>
      <c r="D176" s="2"/>
      <c r="E176" s="2"/>
      <c r="F176" s="2"/>
      <c r="G176" s="173"/>
      <c r="H176" s="174"/>
      <c r="I176" s="173" t="e">
        <f>Tabela22[[#This Row],[PESO TOTAL]]/Tabela22[[#This Row],[QUANTIDADE]]</f>
        <v>#DIV/0!</v>
      </c>
      <c r="J176" s="2"/>
      <c r="K176" s="193"/>
      <c r="L176" s="8"/>
      <c r="M176" s="8"/>
      <c r="N176" s="8"/>
      <c r="O176" s="194"/>
      <c r="P176" s="195"/>
    </row>
    <row r="177" spans="1:16">
      <c r="A177" s="3"/>
      <c r="B177" s="3" t="str">
        <f>TEXT(Tabela22[[#This Row],[DATA]],"mmmm")</f>
        <v>janeiro</v>
      </c>
      <c r="C177" s="2"/>
      <c r="D177" s="2"/>
      <c r="E177" s="2"/>
      <c r="F177" s="2"/>
      <c r="G177" s="173"/>
      <c r="H177" s="174"/>
      <c r="I177" s="173" t="e">
        <f>Tabela22[[#This Row],[PESO TOTAL]]/Tabela22[[#This Row],[QUANTIDADE]]</f>
        <v>#DIV/0!</v>
      </c>
      <c r="J177" s="2"/>
      <c r="K177" s="193"/>
      <c r="L177" s="8"/>
      <c r="M177" s="8"/>
      <c r="N177" s="8"/>
      <c r="O177" s="194"/>
      <c r="P177" s="195"/>
    </row>
    <row r="178" spans="1:16">
      <c r="A178" s="3"/>
      <c r="B178" s="3" t="str">
        <f>TEXT(Tabela22[[#This Row],[DATA]],"mmmm")</f>
        <v>janeiro</v>
      </c>
      <c r="C178" s="2"/>
      <c r="D178" s="2"/>
      <c r="E178" s="2"/>
      <c r="F178" s="2"/>
      <c r="G178" s="173"/>
      <c r="H178" s="174"/>
      <c r="I178" s="173" t="e">
        <f>Tabela22[[#This Row],[PESO TOTAL]]/Tabela22[[#This Row],[QUANTIDADE]]</f>
        <v>#DIV/0!</v>
      </c>
      <c r="J178" s="2"/>
      <c r="K178" s="193"/>
      <c r="L178" s="8"/>
      <c r="M178" s="8"/>
      <c r="N178" s="8"/>
      <c r="O178" s="194"/>
      <c r="P178" s="195"/>
    </row>
    <row r="179" spans="1:16">
      <c r="A179" s="3"/>
      <c r="B179" s="3" t="str">
        <f>TEXT(Tabela22[[#This Row],[DATA]],"mmmm")</f>
        <v>janeiro</v>
      </c>
      <c r="C179" s="2"/>
      <c r="D179" s="2"/>
      <c r="E179" s="2"/>
      <c r="F179" s="2"/>
      <c r="G179" s="173"/>
      <c r="H179" s="174"/>
      <c r="I179" s="173" t="e">
        <f>Tabela22[[#This Row],[PESO TOTAL]]/Tabela22[[#This Row],[QUANTIDADE]]</f>
        <v>#DIV/0!</v>
      </c>
      <c r="J179" s="2"/>
      <c r="K179" s="193"/>
      <c r="L179" s="8"/>
      <c r="M179" s="8"/>
      <c r="N179" s="8"/>
      <c r="O179" s="194"/>
      <c r="P179" s="195"/>
    </row>
    <row r="180" spans="1:16">
      <c r="A180" s="3"/>
      <c r="B180" s="3" t="str">
        <f>TEXT(Tabela22[[#This Row],[DATA]],"mmmm")</f>
        <v>janeiro</v>
      </c>
      <c r="C180" s="2"/>
      <c r="D180" s="2"/>
      <c r="E180" s="2"/>
      <c r="F180" s="2"/>
      <c r="G180" s="173"/>
      <c r="H180" s="174"/>
      <c r="I180" s="173" t="e">
        <f>Tabela22[[#This Row],[PESO TOTAL]]/Tabela22[[#This Row],[QUANTIDADE]]</f>
        <v>#DIV/0!</v>
      </c>
      <c r="J180" s="2"/>
      <c r="K180" s="193"/>
      <c r="L180" s="8"/>
      <c r="M180" s="8"/>
      <c r="N180" s="8"/>
      <c r="O180" s="194"/>
      <c r="P180" s="195"/>
    </row>
    <row r="181" spans="1:16">
      <c r="A181" s="3"/>
      <c r="B181" s="3" t="str">
        <f>TEXT(Tabela22[[#This Row],[DATA]],"mmmm")</f>
        <v>janeiro</v>
      </c>
      <c r="C181" s="2"/>
      <c r="D181" s="2"/>
      <c r="E181" s="2"/>
      <c r="F181" s="2"/>
      <c r="G181" s="173"/>
      <c r="H181" s="174"/>
      <c r="I181" s="173" t="e">
        <f>Tabela22[[#This Row],[PESO TOTAL]]/Tabela22[[#This Row],[QUANTIDADE]]</f>
        <v>#DIV/0!</v>
      </c>
      <c r="J181" s="2"/>
      <c r="K181" s="193"/>
      <c r="L181" s="8"/>
      <c r="M181" s="8"/>
      <c r="N181" s="8"/>
      <c r="O181" s="194"/>
      <c r="P181" s="195"/>
    </row>
    <row r="182" spans="1:16">
      <c r="A182" s="3"/>
      <c r="B182" s="3" t="str">
        <f>TEXT(Tabela22[[#This Row],[DATA]],"mmmm")</f>
        <v>janeiro</v>
      </c>
      <c r="C182" s="2"/>
      <c r="D182" s="2"/>
      <c r="E182" s="2"/>
      <c r="F182" s="2"/>
      <c r="G182" s="173"/>
      <c r="H182" s="174"/>
      <c r="I182" s="173" t="e">
        <f>Tabela22[[#This Row],[PESO TOTAL]]/Tabela22[[#This Row],[QUANTIDADE]]</f>
        <v>#DIV/0!</v>
      </c>
      <c r="J182" s="2"/>
      <c r="K182" s="193"/>
      <c r="L182" s="8"/>
      <c r="M182" s="8"/>
      <c r="N182" s="8"/>
      <c r="O182" s="194"/>
      <c r="P182" s="195"/>
    </row>
    <row r="183" spans="1:16">
      <c r="A183" s="3"/>
      <c r="B183" s="3" t="str">
        <f>TEXT(Tabela22[[#This Row],[DATA]],"mmmm")</f>
        <v>janeiro</v>
      </c>
      <c r="C183" s="2"/>
      <c r="D183" s="2"/>
      <c r="E183" s="2"/>
      <c r="F183" s="2"/>
      <c r="G183" s="173"/>
      <c r="H183" s="174"/>
      <c r="I183" s="173" t="e">
        <f>Tabela22[[#This Row],[PESO TOTAL]]/Tabela22[[#This Row],[QUANTIDADE]]</f>
        <v>#DIV/0!</v>
      </c>
      <c r="J183" s="2"/>
      <c r="K183" s="193"/>
      <c r="L183" s="8"/>
      <c r="M183" s="8"/>
      <c r="N183" s="8"/>
      <c r="O183" s="194"/>
      <c r="P183" s="195"/>
    </row>
    <row r="184" spans="1:16">
      <c r="A184" s="3"/>
      <c r="B184" s="3" t="str">
        <f>TEXT(Tabela22[[#This Row],[DATA]],"mmmm")</f>
        <v>janeiro</v>
      </c>
      <c r="C184" s="2"/>
      <c r="D184" s="2"/>
      <c r="E184" s="2"/>
      <c r="F184" s="2"/>
      <c r="G184" s="173"/>
      <c r="H184" s="174"/>
      <c r="I184" s="173" t="e">
        <f>Tabela22[[#This Row],[PESO TOTAL]]/Tabela22[[#This Row],[QUANTIDADE]]</f>
        <v>#DIV/0!</v>
      </c>
      <c r="J184" s="2"/>
      <c r="K184" s="193"/>
      <c r="L184" s="8"/>
      <c r="M184" s="8"/>
      <c r="N184" s="8"/>
      <c r="O184" s="194"/>
      <c r="P184" s="195"/>
    </row>
    <row r="185" spans="1:16">
      <c r="A185" s="3"/>
      <c r="B185" s="3" t="str">
        <f>TEXT(Tabela22[[#This Row],[DATA]],"mmmm")</f>
        <v>janeiro</v>
      </c>
      <c r="C185" s="2"/>
      <c r="D185" s="2"/>
      <c r="E185" s="2"/>
      <c r="F185" s="2"/>
      <c r="G185" s="173"/>
      <c r="H185" s="174"/>
      <c r="I185" s="173" t="e">
        <f>Tabela22[[#This Row],[PESO TOTAL]]/Tabela22[[#This Row],[QUANTIDADE]]</f>
        <v>#DIV/0!</v>
      </c>
      <c r="J185" s="2"/>
      <c r="K185" s="193"/>
      <c r="L185" s="8"/>
      <c r="M185" s="8"/>
      <c r="N185" s="8"/>
      <c r="O185" s="194"/>
      <c r="P185" s="195"/>
    </row>
    <row r="186" spans="1:16">
      <c r="A186" s="3"/>
      <c r="B186" s="3" t="str">
        <f>TEXT(Tabela22[[#This Row],[DATA]],"mmmm")</f>
        <v>janeiro</v>
      </c>
      <c r="C186" s="2"/>
      <c r="D186" s="2"/>
      <c r="E186" s="2"/>
      <c r="F186" s="2"/>
      <c r="G186" s="173"/>
      <c r="H186" s="174"/>
      <c r="I186" s="173" t="e">
        <f>Tabela22[[#This Row],[PESO TOTAL]]/Tabela22[[#This Row],[QUANTIDADE]]</f>
        <v>#DIV/0!</v>
      </c>
      <c r="J186" s="2"/>
      <c r="K186" s="193"/>
      <c r="L186" s="8"/>
      <c r="M186" s="8"/>
      <c r="N186" s="8"/>
      <c r="O186" s="194"/>
      <c r="P186" s="195"/>
    </row>
    <row r="187" spans="1:16">
      <c r="A187" s="3"/>
      <c r="B187" s="3" t="str">
        <f>TEXT(Tabela22[[#This Row],[DATA]],"mmmm")</f>
        <v>janeiro</v>
      </c>
      <c r="C187" s="2"/>
      <c r="D187" s="2"/>
      <c r="E187" s="2"/>
      <c r="F187" s="2"/>
      <c r="G187" s="173"/>
      <c r="H187" s="174"/>
      <c r="I187" s="173" t="e">
        <f>Tabela22[[#This Row],[PESO TOTAL]]/Tabela22[[#This Row],[QUANTIDADE]]</f>
        <v>#DIV/0!</v>
      </c>
      <c r="J187" s="2"/>
      <c r="K187" s="193"/>
      <c r="L187" s="8"/>
      <c r="M187" s="8"/>
      <c r="N187" s="8"/>
      <c r="O187" s="194"/>
      <c r="P187" s="195"/>
    </row>
    <row r="188" spans="1:16">
      <c r="A188" s="3"/>
      <c r="B188" s="3" t="str">
        <f>TEXT(Tabela22[[#This Row],[DATA]],"mmmm")</f>
        <v>janeiro</v>
      </c>
      <c r="C188" s="2"/>
      <c r="D188" s="2"/>
      <c r="E188" s="2"/>
      <c r="F188" s="2"/>
      <c r="G188" s="173"/>
      <c r="H188" s="174"/>
      <c r="I188" s="173" t="e">
        <f>Tabela22[[#This Row],[PESO TOTAL]]/Tabela22[[#This Row],[QUANTIDADE]]</f>
        <v>#DIV/0!</v>
      </c>
      <c r="J188" s="2"/>
      <c r="K188" s="193"/>
      <c r="L188" s="8"/>
      <c r="M188" s="8"/>
      <c r="N188" s="8"/>
      <c r="O188" s="194"/>
      <c r="P188" s="195"/>
    </row>
    <row r="189" spans="1:16">
      <c r="A189" s="3"/>
      <c r="B189" s="3" t="str">
        <f>TEXT(Tabela22[[#This Row],[DATA]],"mmmm")</f>
        <v>janeiro</v>
      </c>
      <c r="C189" s="2"/>
      <c r="D189" s="2"/>
      <c r="E189" s="2"/>
      <c r="F189" s="2"/>
      <c r="G189" s="173"/>
      <c r="H189" s="174"/>
      <c r="I189" s="173" t="e">
        <f>Tabela22[[#This Row],[PESO TOTAL]]/Tabela22[[#This Row],[QUANTIDADE]]</f>
        <v>#DIV/0!</v>
      </c>
      <c r="J189" s="2"/>
      <c r="K189" s="193"/>
      <c r="L189" s="8"/>
      <c r="M189" s="8"/>
      <c r="N189" s="8"/>
      <c r="O189" s="194"/>
      <c r="P189" s="195"/>
    </row>
    <row r="190" spans="1:16">
      <c r="A190" s="3"/>
      <c r="B190" s="3" t="str">
        <f>TEXT(Tabela22[[#This Row],[DATA]],"mmmm")</f>
        <v>janeiro</v>
      </c>
      <c r="C190" s="2"/>
      <c r="D190" s="2"/>
      <c r="E190" s="2"/>
      <c r="F190" s="2"/>
      <c r="G190" s="173"/>
      <c r="H190" s="174"/>
      <c r="I190" s="173" t="e">
        <f>Tabela22[[#This Row],[PESO TOTAL]]/Tabela22[[#This Row],[QUANTIDADE]]</f>
        <v>#DIV/0!</v>
      </c>
      <c r="J190" s="2"/>
      <c r="K190" s="193"/>
      <c r="L190" s="8"/>
      <c r="M190" s="8"/>
      <c r="N190" s="8"/>
      <c r="O190" s="194"/>
      <c r="P190" s="195"/>
    </row>
    <row r="191" spans="1:16">
      <c r="A191" s="3"/>
      <c r="B191" s="3" t="str">
        <f>TEXT(Tabela22[[#This Row],[DATA]],"mmmm")</f>
        <v>janeiro</v>
      </c>
      <c r="C191" s="2"/>
      <c r="D191" s="2"/>
      <c r="E191" s="2"/>
      <c r="F191" s="2"/>
      <c r="G191" s="173"/>
      <c r="H191" s="174"/>
      <c r="I191" s="173" t="e">
        <f>Tabela22[[#This Row],[PESO TOTAL]]/Tabela22[[#This Row],[QUANTIDADE]]</f>
        <v>#DIV/0!</v>
      </c>
      <c r="J191" s="2"/>
      <c r="K191" s="193"/>
      <c r="L191" s="8"/>
      <c r="M191" s="8"/>
      <c r="N191" s="8"/>
      <c r="O191" s="194"/>
      <c r="P191" s="195"/>
    </row>
    <row r="192" spans="1:16">
      <c r="A192" s="3"/>
      <c r="B192" s="3" t="str">
        <f>TEXT(Tabela22[[#This Row],[DATA]],"mmmm")</f>
        <v>janeiro</v>
      </c>
      <c r="C192" s="2"/>
      <c r="D192" s="2"/>
      <c r="E192" s="2"/>
      <c r="F192" s="2"/>
      <c r="G192" s="173"/>
      <c r="H192" s="174"/>
      <c r="I192" s="173" t="e">
        <f>Tabela22[[#This Row],[PESO TOTAL]]/Tabela22[[#This Row],[QUANTIDADE]]</f>
        <v>#DIV/0!</v>
      </c>
      <c r="J192" s="2"/>
      <c r="K192" s="193"/>
      <c r="L192" s="8"/>
      <c r="M192" s="8"/>
      <c r="N192" s="8"/>
      <c r="O192" s="194"/>
      <c r="P192" s="195"/>
    </row>
    <row r="193" spans="1:16">
      <c r="A193" s="3"/>
      <c r="B193" s="3" t="str">
        <f>TEXT(Tabela22[[#This Row],[DATA]],"mmmm")</f>
        <v>janeiro</v>
      </c>
      <c r="C193" s="2"/>
      <c r="D193" s="2"/>
      <c r="E193" s="2"/>
      <c r="F193" s="2"/>
      <c r="G193" s="173"/>
      <c r="H193" s="174"/>
      <c r="I193" s="173" t="e">
        <f>Tabela22[[#This Row],[PESO TOTAL]]/Tabela22[[#This Row],[QUANTIDADE]]</f>
        <v>#DIV/0!</v>
      </c>
      <c r="J193" s="2"/>
      <c r="K193" s="193"/>
      <c r="L193" s="8"/>
      <c r="M193" s="8"/>
      <c r="N193" s="8"/>
      <c r="O193" s="194"/>
      <c r="P193" s="195"/>
    </row>
    <row r="194" spans="1:16">
      <c r="A194" s="3"/>
      <c r="B194" s="3" t="str">
        <f>TEXT(Tabela22[[#This Row],[DATA]],"mmmm")</f>
        <v>janeiro</v>
      </c>
      <c r="C194" s="2"/>
      <c r="D194" s="2"/>
      <c r="E194" s="2"/>
      <c r="F194" s="2"/>
      <c r="G194" s="173"/>
      <c r="H194" s="174"/>
      <c r="I194" s="173" t="e">
        <f>Tabela22[[#This Row],[PESO TOTAL]]/Tabela22[[#This Row],[QUANTIDADE]]</f>
        <v>#DIV/0!</v>
      </c>
      <c r="J194" s="2"/>
      <c r="K194" s="193"/>
      <c r="L194" s="8"/>
      <c r="M194" s="8"/>
      <c r="N194" s="8"/>
      <c r="O194" s="194"/>
      <c r="P194" s="195"/>
    </row>
    <row r="195" spans="1:16">
      <c r="A195" s="3"/>
      <c r="B195" s="3" t="str">
        <f>TEXT(Tabela22[[#This Row],[DATA]],"mmmm")</f>
        <v>janeiro</v>
      </c>
      <c r="C195" s="2"/>
      <c r="D195" s="2"/>
      <c r="E195" s="2"/>
      <c r="F195" s="2"/>
      <c r="G195" s="173"/>
      <c r="H195" s="174"/>
      <c r="I195" s="173" t="e">
        <f>Tabela22[[#This Row],[PESO TOTAL]]/Tabela22[[#This Row],[QUANTIDADE]]</f>
        <v>#DIV/0!</v>
      </c>
      <c r="J195" s="2"/>
      <c r="K195" s="193"/>
      <c r="L195" s="8"/>
      <c r="M195" s="8"/>
      <c r="N195" s="8"/>
      <c r="O195" s="194"/>
      <c r="P195" s="195"/>
    </row>
    <row r="196" spans="1:16">
      <c r="A196" s="3"/>
      <c r="B196" s="3" t="str">
        <f>TEXT(Tabela22[[#This Row],[DATA]],"mmmm")</f>
        <v>janeiro</v>
      </c>
      <c r="C196" s="2"/>
      <c r="D196" s="2"/>
      <c r="E196" s="2"/>
      <c r="F196" s="2"/>
      <c r="G196" s="173"/>
      <c r="H196" s="174"/>
      <c r="I196" s="173" t="e">
        <f>Tabela22[[#This Row],[PESO TOTAL]]/Tabela22[[#This Row],[QUANTIDADE]]</f>
        <v>#DIV/0!</v>
      </c>
      <c r="J196" s="2"/>
      <c r="K196" s="193"/>
      <c r="L196" s="8"/>
      <c r="M196" s="8"/>
      <c r="N196" s="8"/>
      <c r="O196" s="194"/>
      <c r="P196" s="195"/>
    </row>
    <row r="197" spans="1:16">
      <c r="A197" s="3"/>
      <c r="B197" s="3" t="str">
        <f>TEXT(Tabela22[[#This Row],[DATA]],"mmmm")</f>
        <v>janeiro</v>
      </c>
      <c r="C197" s="2"/>
      <c r="D197" s="2"/>
      <c r="E197" s="2"/>
      <c r="F197" s="2"/>
      <c r="G197" s="173"/>
      <c r="H197" s="174"/>
      <c r="I197" s="173" t="e">
        <f>Tabela22[[#This Row],[PESO TOTAL]]/Tabela22[[#This Row],[QUANTIDADE]]</f>
        <v>#DIV/0!</v>
      </c>
      <c r="J197" s="2"/>
      <c r="K197" s="193"/>
      <c r="L197" s="8"/>
      <c r="M197" s="8"/>
      <c r="N197" s="8"/>
      <c r="O197" s="194"/>
      <c r="P197" s="195"/>
    </row>
    <row r="198" spans="1:16">
      <c r="A198" s="3"/>
      <c r="B198" s="3" t="str">
        <f>TEXT(Tabela22[[#This Row],[DATA]],"mmmm")</f>
        <v>janeiro</v>
      </c>
      <c r="C198" s="2"/>
      <c r="D198" s="2"/>
      <c r="E198" s="2"/>
      <c r="F198" s="2"/>
      <c r="G198" s="173"/>
      <c r="H198" s="174"/>
      <c r="I198" s="173" t="e">
        <f>Tabela22[[#This Row],[PESO TOTAL]]/Tabela22[[#This Row],[QUANTIDADE]]</f>
        <v>#DIV/0!</v>
      </c>
      <c r="J198" s="2"/>
      <c r="K198" s="193"/>
      <c r="L198" s="8"/>
      <c r="M198" s="8"/>
      <c r="N198" s="8"/>
      <c r="O198" s="194"/>
      <c r="P198" s="195"/>
    </row>
    <row r="199" spans="1:16">
      <c r="A199" s="3"/>
      <c r="B199" s="3" t="str">
        <f>TEXT(Tabela22[[#This Row],[DATA]],"mmmm")</f>
        <v>janeiro</v>
      </c>
      <c r="C199" s="2"/>
      <c r="D199" s="2"/>
      <c r="E199" s="2"/>
      <c r="F199" s="2"/>
      <c r="G199" s="173"/>
      <c r="H199" s="174"/>
      <c r="I199" s="173" t="e">
        <f>Tabela22[[#This Row],[PESO TOTAL]]/Tabela22[[#This Row],[QUANTIDADE]]</f>
        <v>#DIV/0!</v>
      </c>
      <c r="J199" s="2"/>
      <c r="K199" s="193"/>
      <c r="L199" s="8"/>
      <c r="M199" s="8"/>
      <c r="N199" s="8"/>
      <c r="O199" s="194"/>
      <c r="P199" s="195"/>
    </row>
    <row r="200" spans="1:16">
      <c r="A200" s="3"/>
      <c r="B200" s="3" t="str">
        <f>TEXT(Tabela22[[#This Row],[DATA]],"mmmm")</f>
        <v>janeiro</v>
      </c>
      <c r="C200" s="2"/>
      <c r="D200" s="2"/>
      <c r="E200" s="2"/>
      <c r="F200" s="2"/>
      <c r="G200" s="173"/>
      <c r="H200" s="174"/>
      <c r="I200" s="173" t="e">
        <f>Tabela22[[#This Row],[PESO TOTAL]]/Tabela22[[#This Row],[QUANTIDADE]]</f>
        <v>#DIV/0!</v>
      </c>
      <c r="J200" s="2"/>
      <c r="K200" s="193"/>
      <c r="L200" s="8"/>
      <c r="M200" s="8"/>
      <c r="N200" s="8"/>
      <c r="O200" s="194"/>
      <c r="P200" s="195"/>
    </row>
    <row r="201" spans="1:16">
      <c r="A201" s="3"/>
      <c r="B201" s="3" t="str">
        <f>TEXT(Tabela22[[#This Row],[DATA]],"mmmm")</f>
        <v>janeiro</v>
      </c>
      <c r="C201" s="2"/>
      <c r="D201" s="2"/>
      <c r="E201" s="2"/>
      <c r="F201" s="2"/>
      <c r="G201" s="173"/>
      <c r="H201" s="174"/>
      <c r="I201" s="173" t="e">
        <f>Tabela22[[#This Row],[PESO TOTAL]]/Tabela22[[#This Row],[QUANTIDADE]]</f>
        <v>#DIV/0!</v>
      </c>
      <c r="J201" s="2"/>
      <c r="K201" s="193"/>
      <c r="L201" s="8"/>
      <c r="M201" s="8"/>
      <c r="N201" s="8"/>
      <c r="O201" s="194"/>
      <c r="P201" s="195"/>
    </row>
    <row r="202" spans="1:16">
      <c r="A202" s="3"/>
      <c r="B202" s="3" t="str">
        <f>TEXT(Tabela22[[#This Row],[DATA]],"mmmm")</f>
        <v>janeiro</v>
      </c>
      <c r="C202" s="2"/>
      <c r="D202" s="2"/>
      <c r="E202" s="2"/>
      <c r="F202" s="2"/>
      <c r="G202" s="173"/>
      <c r="H202" s="174"/>
      <c r="I202" s="173" t="e">
        <f>Tabela22[[#This Row],[PESO TOTAL]]/Tabela22[[#This Row],[QUANTIDADE]]</f>
        <v>#DIV/0!</v>
      </c>
      <c r="J202" s="2"/>
      <c r="K202" s="193"/>
      <c r="L202" s="8"/>
      <c r="M202" s="8"/>
      <c r="N202" s="8"/>
      <c r="O202" s="194"/>
      <c r="P202" s="195"/>
    </row>
    <row r="203" spans="1:16">
      <c r="A203" s="3"/>
      <c r="B203" s="3" t="str">
        <f>TEXT(Tabela22[[#This Row],[DATA]],"mmmm")</f>
        <v>janeiro</v>
      </c>
      <c r="C203" s="2"/>
      <c r="D203" s="2"/>
      <c r="E203" s="2"/>
      <c r="F203" s="2"/>
      <c r="G203" s="173"/>
      <c r="H203" s="174"/>
      <c r="I203" s="173" t="e">
        <f>Tabela22[[#This Row],[PESO TOTAL]]/Tabela22[[#This Row],[QUANTIDADE]]</f>
        <v>#DIV/0!</v>
      </c>
      <c r="J203" s="2"/>
      <c r="K203" s="193"/>
      <c r="L203" s="8"/>
      <c r="M203" s="8"/>
      <c r="N203" s="8"/>
      <c r="O203" s="194"/>
      <c r="P203" s="195"/>
    </row>
    <row r="204" spans="1:16">
      <c r="A204" s="3"/>
      <c r="B204" s="3" t="str">
        <f>TEXT(Tabela22[[#This Row],[DATA]],"mmmm")</f>
        <v>janeiro</v>
      </c>
      <c r="C204" s="2"/>
      <c r="D204" s="2"/>
      <c r="E204" s="2"/>
      <c r="F204" s="2"/>
      <c r="G204" s="173"/>
      <c r="H204" s="174"/>
      <c r="I204" s="173" t="e">
        <f>Tabela22[[#This Row],[PESO TOTAL]]/Tabela22[[#This Row],[QUANTIDADE]]</f>
        <v>#DIV/0!</v>
      </c>
      <c r="J204" s="2"/>
      <c r="K204" s="193"/>
      <c r="L204" s="8"/>
      <c r="M204" s="8"/>
      <c r="N204" s="8"/>
      <c r="O204" s="194"/>
      <c r="P204" s="195"/>
    </row>
    <row r="205" spans="1:16">
      <c r="A205" s="3"/>
      <c r="B205" s="3" t="str">
        <f>TEXT(Tabela22[[#This Row],[DATA]],"mmmm")</f>
        <v>janeiro</v>
      </c>
      <c r="C205" s="2"/>
      <c r="D205" s="2"/>
      <c r="E205" s="2"/>
      <c r="F205" s="2"/>
      <c r="G205" s="173"/>
      <c r="H205" s="174"/>
      <c r="I205" s="173" t="e">
        <f>Tabela22[[#This Row],[PESO TOTAL]]/Tabela22[[#This Row],[QUANTIDADE]]</f>
        <v>#DIV/0!</v>
      </c>
      <c r="J205" s="2"/>
      <c r="K205" s="193"/>
      <c r="L205" s="8"/>
      <c r="M205" s="8"/>
      <c r="N205" s="8"/>
      <c r="O205" s="194"/>
      <c r="P205" s="195"/>
    </row>
    <row r="206" spans="1:16">
      <c r="A206" s="3"/>
      <c r="B206" s="3" t="str">
        <f>TEXT(Tabela22[[#This Row],[DATA]],"mmmm")</f>
        <v>janeiro</v>
      </c>
      <c r="C206" s="2"/>
      <c r="D206" s="2"/>
      <c r="E206" s="2"/>
      <c r="F206" s="2"/>
      <c r="G206" s="173"/>
      <c r="H206" s="174"/>
      <c r="I206" s="173" t="e">
        <f>Tabela22[[#This Row],[PESO TOTAL]]/Tabela22[[#This Row],[QUANTIDADE]]</f>
        <v>#DIV/0!</v>
      </c>
      <c r="J206" s="2"/>
      <c r="K206" s="193"/>
      <c r="L206" s="8"/>
      <c r="M206" s="8"/>
      <c r="N206" s="8"/>
      <c r="O206" s="194"/>
      <c r="P206" s="195"/>
    </row>
    <row r="207" spans="1:16">
      <c r="A207" s="3"/>
      <c r="B207" s="3" t="str">
        <f>TEXT(Tabela22[[#This Row],[DATA]],"mmmm")</f>
        <v>janeiro</v>
      </c>
      <c r="C207" s="2"/>
      <c r="D207" s="2"/>
      <c r="E207" s="2"/>
      <c r="F207" s="2"/>
      <c r="G207" s="173"/>
      <c r="H207" s="174"/>
      <c r="I207" s="173" t="e">
        <f>Tabela22[[#This Row],[PESO TOTAL]]/Tabela22[[#This Row],[QUANTIDADE]]</f>
        <v>#DIV/0!</v>
      </c>
      <c r="J207" s="2"/>
      <c r="K207" s="193"/>
      <c r="L207" s="8"/>
      <c r="M207" s="8"/>
      <c r="N207" s="8"/>
      <c r="O207" s="194"/>
      <c r="P207" s="195"/>
    </row>
    <row r="208" spans="1:16">
      <c r="A208" s="3"/>
      <c r="B208" s="3" t="str">
        <f>TEXT(Tabela22[[#This Row],[DATA]],"mmmm")</f>
        <v>janeiro</v>
      </c>
      <c r="C208" s="2"/>
      <c r="D208" s="2"/>
      <c r="E208" s="2"/>
      <c r="F208" s="2"/>
      <c r="G208" s="173"/>
      <c r="H208" s="174"/>
      <c r="I208" s="173" t="e">
        <f>Tabela22[[#This Row],[PESO TOTAL]]/Tabela22[[#This Row],[QUANTIDADE]]</f>
        <v>#DIV/0!</v>
      </c>
      <c r="J208" s="2"/>
      <c r="K208" s="193"/>
      <c r="L208" s="8"/>
      <c r="M208" s="8"/>
      <c r="N208" s="8"/>
      <c r="O208" s="194"/>
      <c r="P208" s="195"/>
    </row>
    <row r="209" spans="1:16">
      <c r="A209" s="3"/>
      <c r="B209" s="3" t="str">
        <f>TEXT(Tabela22[[#This Row],[DATA]],"mmmm")</f>
        <v>janeiro</v>
      </c>
      <c r="C209" s="2"/>
      <c r="D209" s="2"/>
      <c r="E209" s="2"/>
      <c r="F209" s="2"/>
      <c r="G209" s="173"/>
      <c r="H209" s="174"/>
      <c r="I209" s="173" t="e">
        <f>Tabela22[[#This Row],[PESO TOTAL]]/Tabela22[[#This Row],[QUANTIDADE]]</f>
        <v>#DIV/0!</v>
      </c>
      <c r="J209" s="2"/>
      <c r="K209" s="193"/>
      <c r="L209" s="8"/>
      <c r="M209" s="8"/>
      <c r="N209" s="8"/>
      <c r="O209" s="194"/>
      <c r="P209" s="195"/>
    </row>
    <row r="210" spans="1:16">
      <c r="A210" s="3"/>
      <c r="B210" s="3" t="str">
        <f>TEXT(Tabela22[[#This Row],[DATA]],"mmmm")</f>
        <v>janeiro</v>
      </c>
      <c r="C210" s="2"/>
      <c r="D210" s="2"/>
      <c r="E210" s="2"/>
      <c r="F210" s="2"/>
      <c r="G210" s="173"/>
      <c r="H210" s="174"/>
      <c r="I210" s="173" t="e">
        <f>Tabela22[[#This Row],[PESO TOTAL]]/Tabela22[[#This Row],[QUANTIDADE]]</f>
        <v>#DIV/0!</v>
      </c>
      <c r="J210" s="2"/>
      <c r="K210" s="193"/>
      <c r="L210" s="8"/>
      <c r="M210" s="8"/>
      <c r="N210" s="8"/>
      <c r="O210" s="194"/>
      <c r="P210" s="195"/>
    </row>
    <row r="211" spans="1:16">
      <c r="A211" s="3"/>
      <c r="B211" s="3" t="str">
        <f>TEXT(Tabela22[[#This Row],[DATA]],"mmmm")</f>
        <v>janeiro</v>
      </c>
      <c r="C211" s="2"/>
      <c r="D211" s="2"/>
      <c r="E211" s="2"/>
      <c r="F211" s="2"/>
      <c r="G211" s="173"/>
      <c r="H211" s="174"/>
      <c r="I211" s="173" t="e">
        <f>Tabela22[[#This Row],[PESO TOTAL]]/Tabela22[[#This Row],[QUANTIDADE]]</f>
        <v>#DIV/0!</v>
      </c>
      <c r="J211" s="2"/>
      <c r="K211" s="193"/>
      <c r="L211" s="8"/>
      <c r="M211" s="8"/>
      <c r="N211" s="8"/>
      <c r="O211" s="194"/>
      <c r="P211" s="195"/>
    </row>
    <row r="212" spans="1:16">
      <c r="A212" s="3"/>
      <c r="B212" s="3" t="str">
        <f>TEXT(Tabela22[[#This Row],[DATA]],"mmmm")</f>
        <v>janeiro</v>
      </c>
      <c r="C212" s="2"/>
      <c r="D212" s="2"/>
      <c r="E212" s="2"/>
      <c r="F212" s="2"/>
      <c r="G212" s="173"/>
      <c r="H212" s="174"/>
      <c r="I212" s="173" t="e">
        <f>Tabela22[[#This Row],[PESO TOTAL]]/Tabela22[[#This Row],[QUANTIDADE]]</f>
        <v>#DIV/0!</v>
      </c>
      <c r="J212" s="2"/>
      <c r="K212" s="193"/>
      <c r="L212" s="8"/>
      <c r="M212" s="8"/>
      <c r="N212" s="8"/>
      <c r="O212" s="194"/>
      <c r="P212" s="195"/>
    </row>
    <row r="213" spans="1:16">
      <c r="A213" s="3"/>
      <c r="B213" s="3" t="str">
        <f>TEXT(Tabela22[[#This Row],[DATA]],"mmmm")</f>
        <v>janeiro</v>
      </c>
      <c r="C213" s="2"/>
      <c r="D213" s="2"/>
      <c r="E213" s="2"/>
      <c r="F213" s="2"/>
      <c r="G213" s="173"/>
      <c r="H213" s="174"/>
      <c r="I213" s="173" t="e">
        <f>Tabela22[[#This Row],[PESO TOTAL]]/Tabela22[[#This Row],[QUANTIDADE]]</f>
        <v>#DIV/0!</v>
      </c>
      <c r="J213" s="2"/>
      <c r="K213" s="193"/>
      <c r="L213" s="8"/>
      <c r="M213" s="8"/>
      <c r="N213" s="8"/>
      <c r="O213" s="194"/>
      <c r="P213" s="195"/>
    </row>
    <row r="214" spans="1:16">
      <c r="A214" s="3"/>
      <c r="B214" s="3" t="str">
        <f>TEXT(Tabela22[[#This Row],[DATA]],"mmmm")</f>
        <v>janeiro</v>
      </c>
      <c r="C214" s="2"/>
      <c r="D214" s="2"/>
      <c r="E214" s="2"/>
      <c r="F214" s="2"/>
      <c r="G214" s="173"/>
      <c r="H214" s="174"/>
      <c r="I214" s="173" t="e">
        <f>Tabela22[[#This Row],[PESO TOTAL]]/Tabela22[[#This Row],[QUANTIDADE]]</f>
        <v>#DIV/0!</v>
      </c>
      <c r="J214" s="2"/>
      <c r="K214" s="193"/>
      <c r="L214" s="8"/>
      <c r="M214" s="8"/>
      <c r="N214" s="8"/>
      <c r="O214" s="194"/>
      <c r="P214" s="195"/>
    </row>
    <row r="215" spans="1:16">
      <c r="A215" s="3"/>
      <c r="B215" s="3" t="str">
        <f>TEXT(Tabela22[[#This Row],[DATA]],"mmmm")</f>
        <v>janeiro</v>
      </c>
      <c r="C215" s="2"/>
      <c r="D215" s="2"/>
      <c r="E215" s="2"/>
      <c r="F215" s="2"/>
      <c r="G215" s="173"/>
      <c r="H215" s="174"/>
      <c r="I215" s="173" t="e">
        <f>Tabela22[[#This Row],[PESO TOTAL]]/Tabela22[[#This Row],[QUANTIDADE]]</f>
        <v>#DIV/0!</v>
      </c>
      <c r="J215" s="2"/>
      <c r="K215" s="193"/>
      <c r="L215" s="8"/>
      <c r="M215" s="8"/>
      <c r="N215" s="8"/>
      <c r="O215" s="194"/>
      <c r="P215" s="195"/>
    </row>
    <row r="216" spans="1:16">
      <c r="A216" s="3"/>
      <c r="B216" s="3" t="str">
        <f>TEXT(Tabela22[[#This Row],[DATA]],"mmmm")</f>
        <v>janeiro</v>
      </c>
      <c r="C216" s="2"/>
      <c r="D216" s="2"/>
      <c r="E216" s="2"/>
      <c r="F216" s="2"/>
      <c r="G216" s="173"/>
      <c r="H216" s="174"/>
      <c r="I216" s="173" t="e">
        <f>Tabela22[[#This Row],[PESO TOTAL]]/Tabela22[[#This Row],[QUANTIDADE]]</f>
        <v>#DIV/0!</v>
      </c>
      <c r="J216" s="2"/>
      <c r="K216" s="193"/>
      <c r="L216" s="8"/>
      <c r="M216" s="8"/>
      <c r="N216" s="8"/>
      <c r="O216" s="194"/>
      <c r="P216" s="195"/>
    </row>
    <row r="217" spans="1:16">
      <c r="A217" s="3"/>
      <c r="B217" s="3" t="str">
        <f>TEXT(Tabela22[[#This Row],[DATA]],"mmmm")</f>
        <v>janeiro</v>
      </c>
      <c r="C217" s="2"/>
      <c r="D217" s="2"/>
      <c r="E217" s="2"/>
      <c r="F217" s="2"/>
      <c r="G217" s="173"/>
      <c r="H217" s="174"/>
      <c r="I217" s="173" t="e">
        <f>Tabela22[[#This Row],[PESO TOTAL]]/Tabela22[[#This Row],[QUANTIDADE]]</f>
        <v>#DIV/0!</v>
      </c>
      <c r="J217" s="2"/>
      <c r="K217" s="193"/>
      <c r="L217" s="8"/>
      <c r="M217" s="8"/>
      <c r="N217" s="8"/>
      <c r="O217" s="194"/>
      <c r="P217" s="195"/>
    </row>
    <row r="218" spans="1:16">
      <c r="A218" s="3"/>
      <c r="B218" s="3" t="str">
        <f>TEXT(Tabela22[[#This Row],[DATA]],"mmmm")</f>
        <v>janeiro</v>
      </c>
      <c r="C218" s="2"/>
      <c r="D218" s="2"/>
      <c r="E218" s="2"/>
      <c r="F218" s="2"/>
      <c r="G218" s="173"/>
      <c r="H218" s="174"/>
      <c r="I218" s="173" t="e">
        <f>Tabela22[[#This Row],[PESO TOTAL]]/Tabela22[[#This Row],[QUANTIDADE]]</f>
        <v>#DIV/0!</v>
      </c>
      <c r="J218" s="2"/>
      <c r="K218" s="193"/>
      <c r="L218" s="8"/>
      <c r="M218" s="8"/>
      <c r="N218" s="8"/>
      <c r="O218" s="194"/>
      <c r="P218" s="195"/>
    </row>
    <row r="219" spans="1:16">
      <c r="A219" s="3"/>
      <c r="B219" s="3" t="str">
        <f>TEXT(Tabela22[[#This Row],[DATA]],"mmmm")</f>
        <v>janeiro</v>
      </c>
      <c r="C219" s="2"/>
      <c r="D219" s="2"/>
      <c r="E219" s="2"/>
      <c r="F219" s="2"/>
      <c r="G219" s="173"/>
      <c r="H219" s="174"/>
      <c r="I219" s="173" t="e">
        <f>Tabela22[[#This Row],[PESO TOTAL]]/Tabela22[[#This Row],[QUANTIDADE]]</f>
        <v>#DIV/0!</v>
      </c>
      <c r="J219" s="2"/>
      <c r="K219" s="193"/>
      <c r="L219" s="8"/>
      <c r="M219" s="8"/>
      <c r="N219" s="8"/>
      <c r="O219" s="194"/>
      <c r="P219" s="195"/>
    </row>
    <row r="220" spans="1:16">
      <c r="A220" s="3"/>
      <c r="B220" s="3" t="str">
        <f>TEXT(Tabela22[[#This Row],[DATA]],"mmmm")</f>
        <v>janeiro</v>
      </c>
      <c r="C220" s="2"/>
      <c r="D220" s="2"/>
      <c r="E220" s="2"/>
      <c r="F220" s="2"/>
      <c r="G220" s="173"/>
      <c r="H220" s="174"/>
      <c r="I220" s="173" t="e">
        <f>Tabela22[[#This Row],[PESO TOTAL]]/Tabela22[[#This Row],[QUANTIDADE]]</f>
        <v>#DIV/0!</v>
      </c>
      <c r="J220" s="2"/>
      <c r="K220" s="193"/>
      <c r="L220" s="8"/>
      <c r="M220" s="8"/>
      <c r="N220" s="8"/>
      <c r="O220" s="194"/>
      <c r="P220" s="195"/>
    </row>
    <row r="221" spans="1:16">
      <c r="A221" s="3"/>
      <c r="B221" s="3" t="str">
        <f>TEXT(Tabela22[[#This Row],[DATA]],"mmmm")</f>
        <v>janeiro</v>
      </c>
      <c r="C221" s="2"/>
      <c r="D221" s="2"/>
      <c r="E221" s="2"/>
      <c r="F221" s="2"/>
      <c r="G221" s="173"/>
      <c r="H221" s="174"/>
      <c r="I221" s="173" t="e">
        <f>Tabela22[[#This Row],[PESO TOTAL]]/Tabela22[[#This Row],[QUANTIDADE]]</f>
        <v>#DIV/0!</v>
      </c>
      <c r="J221" s="2"/>
      <c r="K221" s="193"/>
      <c r="L221" s="8"/>
      <c r="M221" s="8"/>
      <c r="N221" s="8"/>
      <c r="O221" s="194"/>
      <c r="P221" s="195"/>
    </row>
    <row r="222" spans="1:16">
      <c r="A222" s="3"/>
      <c r="B222" s="3" t="str">
        <f>TEXT(Tabela22[[#This Row],[DATA]],"mmmm")</f>
        <v>janeiro</v>
      </c>
      <c r="C222" s="2"/>
      <c r="D222" s="2"/>
      <c r="E222" s="2"/>
      <c r="F222" s="2"/>
      <c r="G222" s="173"/>
      <c r="H222" s="174"/>
      <c r="I222" s="173" t="e">
        <f>Tabela22[[#This Row],[PESO TOTAL]]/Tabela22[[#This Row],[QUANTIDADE]]</f>
        <v>#DIV/0!</v>
      </c>
      <c r="J222" s="2"/>
      <c r="K222" s="193"/>
      <c r="L222" s="8"/>
      <c r="M222" s="8"/>
      <c r="N222" s="8"/>
      <c r="O222" s="194"/>
      <c r="P222" s="195"/>
    </row>
    <row r="223" spans="1:16">
      <c r="A223" s="3"/>
      <c r="B223" s="3" t="str">
        <f>TEXT(Tabela22[[#This Row],[DATA]],"mmmm")</f>
        <v>janeiro</v>
      </c>
      <c r="C223" s="2"/>
      <c r="D223" s="2"/>
      <c r="E223" s="2"/>
      <c r="F223" s="2"/>
      <c r="G223" s="173"/>
      <c r="H223" s="174"/>
      <c r="I223" s="173" t="e">
        <f>Tabela22[[#This Row],[PESO TOTAL]]/Tabela22[[#This Row],[QUANTIDADE]]</f>
        <v>#DIV/0!</v>
      </c>
      <c r="J223" s="2"/>
      <c r="K223" s="193"/>
      <c r="L223" s="8"/>
      <c r="M223" s="8"/>
      <c r="N223" s="8"/>
      <c r="O223" s="194"/>
      <c r="P223" s="195"/>
    </row>
    <row r="224" spans="1:16">
      <c r="A224" s="3"/>
      <c r="B224" s="3" t="str">
        <f>TEXT(Tabela22[[#This Row],[DATA]],"mmmm")</f>
        <v>janeiro</v>
      </c>
      <c r="C224" s="2"/>
      <c r="D224" s="2"/>
      <c r="E224" s="2"/>
      <c r="F224" s="2"/>
      <c r="G224" s="173"/>
      <c r="H224" s="174"/>
      <c r="I224" s="173" t="e">
        <f>Tabela22[[#This Row],[PESO TOTAL]]/Tabela22[[#This Row],[QUANTIDADE]]</f>
        <v>#DIV/0!</v>
      </c>
      <c r="J224" s="2"/>
      <c r="K224" s="193"/>
      <c r="L224" s="8"/>
      <c r="M224" s="8"/>
      <c r="N224" s="8"/>
      <c r="O224" s="194"/>
      <c r="P224" s="195"/>
    </row>
    <row r="225" spans="1:16">
      <c r="A225" s="3"/>
      <c r="B225" s="3" t="str">
        <f>TEXT(Tabela22[[#This Row],[DATA]],"mmmm")</f>
        <v>janeiro</v>
      </c>
      <c r="C225" s="2"/>
      <c r="D225" s="2"/>
      <c r="E225" s="2"/>
      <c r="F225" s="2"/>
      <c r="G225" s="173"/>
      <c r="H225" s="174"/>
      <c r="I225" s="173" t="e">
        <f>Tabela22[[#This Row],[PESO TOTAL]]/Tabela22[[#This Row],[QUANTIDADE]]</f>
        <v>#DIV/0!</v>
      </c>
      <c r="J225" s="2"/>
      <c r="K225" s="193"/>
      <c r="L225" s="8"/>
      <c r="M225" s="8"/>
      <c r="N225" s="8"/>
      <c r="O225" s="194"/>
      <c r="P225" s="195"/>
    </row>
    <row r="226" spans="1:16">
      <c r="A226" s="3"/>
      <c r="B226" s="3" t="str">
        <f>TEXT(Tabela22[[#This Row],[DATA]],"mmmm")</f>
        <v>janeiro</v>
      </c>
      <c r="C226" s="2"/>
      <c r="D226" s="2"/>
      <c r="E226" s="2"/>
      <c r="F226" s="2"/>
      <c r="G226" s="173"/>
      <c r="H226" s="174"/>
      <c r="I226" s="173" t="e">
        <f>Tabela22[[#This Row],[PESO TOTAL]]/Tabela22[[#This Row],[QUANTIDADE]]</f>
        <v>#DIV/0!</v>
      </c>
      <c r="J226" s="2"/>
      <c r="K226" s="193"/>
      <c r="L226" s="8"/>
      <c r="M226" s="8"/>
      <c r="N226" s="8"/>
      <c r="O226" s="194"/>
      <c r="P226" s="195"/>
    </row>
    <row r="227" spans="1:16">
      <c r="A227" s="3"/>
      <c r="B227" s="3" t="str">
        <f>TEXT(Tabela22[[#This Row],[DATA]],"mmmm")</f>
        <v>janeiro</v>
      </c>
      <c r="C227" s="2"/>
      <c r="D227" s="2"/>
      <c r="E227" s="2"/>
      <c r="F227" s="2"/>
      <c r="G227" s="173"/>
      <c r="H227" s="174"/>
      <c r="I227" s="173" t="e">
        <f>Tabela22[[#This Row],[PESO TOTAL]]/Tabela22[[#This Row],[QUANTIDADE]]</f>
        <v>#DIV/0!</v>
      </c>
      <c r="J227" s="2"/>
      <c r="K227" s="193"/>
      <c r="L227" s="8"/>
      <c r="M227" s="8"/>
      <c r="N227" s="8"/>
      <c r="O227" s="194"/>
      <c r="P227" s="195"/>
    </row>
    <row r="228" spans="1:16">
      <c r="A228" s="3"/>
      <c r="B228" s="3" t="str">
        <f>TEXT(Tabela22[[#This Row],[DATA]],"mmmm")</f>
        <v>janeiro</v>
      </c>
      <c r="C228" s="2"/>
      <c r="D228" s="2"/>
      <c r="E228" s="2"/>
      <c r="F228" s="2"/>
      <c r="G228" s="173"/>
      <c r="H228" s="174"/>
      <c r="I228" s="173" t="e">
        <f>Tabela22[[#This Row],[PESO TOTAL]]/Tabela22[[#This Row],[QUANTIDADE]]</f>
        <v>#DIV/0!</v>
      </c>
      <c r="J228" s="2"/>
      <c r="K228" s="193"/>
      <c r="L228" s="8"/>
      <c r="M228" s="8"/>
      <c r="N228" s="8"/>
      <c r="O228" s="194"/>
      <c r="P228" s="195"/>
    </row>
    <row r="229" spans="1:16">
      <c r="A229" s="3"/>
      <c r="B229" s="3" t="str">
        <f>TEXT(Tabela22[[#This Row],[DATA]],"mmmm")</f>
        <v>janeiro</v>
      </c>
      <c r="C229" s="2"/>
      <c r="D229" s="2"/>
      <c r="E229" s="2"/>
      <c r="F229" s="2"/>
      <c r="G229" s="173"/>
      <c r="H229" s="174"/>
      <c r="I229" s="173" t="e">
        <f>Tabela22[[#This Row],[PESO TOTAL]]/Tabela22[[#This Row],[QUANTIDADE]]</f>
        <v>#DIV/0!</v>
      </c>
      <c r="J229" s="2"/>
      <c r="K229" s="193"/>
      <c r="L229" s="8"/>
      <c r="M229" s="8"/>
      <c r="N229" s="8"/>
      <c r="O229" s="194"/>
      <c r="P229" s="195"/>
    </row>
    <row r="230" spans="1:16">
      <c r="A230" s="3"/>
      <c r="B230" s="3" t="str">
        <f>TEXT(Tabela22[[#This Row],[DATA]],"mmmm")</f>
        <v>janeiro</v>
      </c>
      <c r="C230" s="2"/>
      <c r="D230" s="2"/>
      <c r="E230" s="2"/>
      <c r="F230" s="2"/>
      <c r="G230" s="173"/>
      <c r="H230" s="174"/>
      <c r="I230" s="173" t="e">
        <f>Tabela22[[#This Row],[PESO TOTAL]]/Tabela22[[#This Row],[QUANTIDADE]]</f>
        <v>#DIV/0!</v>
      </c>
      <c r="J230" s="2"/>
      <c r="K230" s="193"/>
      <c r="L230" s="8"/>
      <c r="M230" s="8"/>
      <c r="N230" s="8"/>
      <c r="O230" s="194"/>
      <c r="P230" s="195"/>
    </row>
    <row r="231" spans="1:16">
      <c r="A231" s="3"/>
      <c r="B231" s="3" t="str">
        <f>TEXT(Tabela22[[#This Row],[DATA]],"mmmm")</f>
        <v>janeiro</v>
      </c>
      <c r="C231" s="2"/>
      <c r="D231" s="2"/>
      <c r="E231" s="2"/>
      <c r="F231" s="2"/>
      <c r="G231" s="173"/>
      <c r="H231" s="174"/>
      <c r="I231" s="173" t="e">
        <f>Tabela22[[#This Row],[PESO TOTAL]]/Tabela22[[#This Row],[QUANTIDADE]]</f>
        <v>#DIV/0!</v>
      </c>
      <c r="J231" s="2"/>
      <c r="K231" s="193"/>
      <c r="L231" s="8"/>
      <c r="M231" s="8"/>
      <c r="N231" s="8"/>
      <c r="O231" s="194"/>
      <c r="P231" s="195"/>
    </row>
    <row r="232" spans="1:16">
      <c r="A232" s="3"/>
      <c r="B232" s="3" t="str">
        <f>TEXT(Tabela22[[#This Row],[DATA]],"mmmm")</f>
        <v>janeiro</v>
      </c>
      <c r="C232" s="2"/>
      <c r="D232" s="2"/>
      <c r="E232" s="2"/>
      <c r="F232" s="2"/>
      <c r="G232" s="173"/>
      <c r="H232" s="174"/>
      <c r="I232" s="173" t="e">
        <f>Tabela22[[#This Row],[PESO TOTAL]]/Tabela22[[#This Row],[QUANTIDADE]]</f>
        <v>#DIV/0!</v>
      </c>
      <c r="J232" s="2"/>
      <c r="K232" s="193"/>
      <c r="L232" s="8"/>
      <c r="M232" s="8"/>
      <c r="N232" s="8"/>
      <c r="O232" s="194"/>
      <c r="P232" s="195"/>
    </row>
    <row r="233" spans="1:16">
      <c r="A233" s="3"/>
      <c r="B233" s="3" t="str">
        <f>TEXT(Tabela22[[#This Row],[DATA]],"mmmm")</f>
        <v>janeiro</v>
      </c>
      <c r="C233" s="2"/>
      <c r="D233" s="2"/>
      <c r="E233" s="2"/>
      <c r="F233" s="2"/>
      <c r="G233" s="173"/>
      <c r="H233" s="174"/>
      <c r="I233" s="173" t="e">
        <f>Tabela22[[#This Row],[PESO TOTAL]]/Tabela22[[#This Row],[QUANTIDADE]]</f>
        <v>#DIV/0!</v>
      </c>
      <c r="J233" s="2"/>
      <c r="K233" s="193"/>
      <c r="L233" s="8"/>
      <c r="M233" s="8"/>
      <c r="N233" s="8"/>
      <c r="O233" s="194"/>
      <c r="P233" s="195"/>
    </row>
    <row r="234" spans="1:16">
      <c r="A234" s="3"/>
      <c r="B234" s="3" t="str">
        <f>TEXT(Tabela22[[#This Row],[DATA]],"mmmm")</f>
        <v>janeiro</v>
      </c>
      <c r="C234" s="2"/>
      <c r="D234" s="2"/>
      <c r="E234" s="2"/>
      <c r="F234" s="2"/>
      <c r="G234" s="173"/>
      <c r="H234" s="174"/>
      <c r="I234" s="173" t="e">
        <f>Tabela22[[#This Row],[PESO TOTAL]]/Tabela22[[#This Row],[QUANTIDADE]]</f>
        <v>#DIV/0!</v>
      </c>
      <c r="J234" s="2"/>
      <c r="K234" s="193"/>
      <c r="L234" s="8"/>
      <c r="M234" s="8"/>
      <c r="N234" s="8"/>
      <c r="O234" s="194"/>
      <c r="P234" s="195"/>
    </row>
    <row r="235" spans="1:16">
      <c r="A235" s="3"/>
      <c r="B235" s="3" t="str">
        <f>TEXT(Tabela22[[#This Row],[DATA]],"mmmm")</f>
        <v>janeiro</v>
      </c>
      <c r="C235" s="2"/>
      <c r="D235" s="2"/>
      <c r="E235" s="2"/>
      <c r="F235" s="2"/>
      <c r="G235" s="173"/>
      <c r="H235" s="174"/>
      <c r="I235" s="173" t="e">
        <f>Tabela22[[#This Row],[PESO TOTAL]]/Tabela22[[#This Row],[QUANTIDADE]]</f>
        <v>#DIV/0!</v>
      </c>
      <c r="J235" s="2"/>
      <c r="K235" s="193"/>
      <c r="L235" s="8"/>
      <c r="M235" s="8"/>
      <c r="N235" s="8"/>
      <c r="O235" s="194"/>
      <c r="P235" s="195"/>
    </row>
    <row r="236" spans="1:16">
      <c r="A236" s="3"/>
      <c r="B236" s="3" t="str">
        <f>TEXT(Tabela22[[#This Row],[DATA]],"mmmm")</f>
        <v>janeiro</v>
      </c>
      <c r="C236" s="2"/>
      <c r="D236" s="2"/>
      <c r="E236" s="2"/>
      <c r="F236" s="2"/>
      <c r="G236" s="173"/>
      <c r="H236" s="174"/>
      <c r="I236" s="173" t="e">
        <f>Tabela22[[#This Row],[PESO TOTAL]]/Tabela22[[#This Row],[QUANTIDADE]]</f>
        <v>#DIV/0!</v>
      </c>
      <c r="J236" s="2"/>
      <c r="K236" s="193"/>
      <c r="L236" s="8"/>
      <c r="M236" s="8"/>
      <c r="N236" s="8"/>
      <c r="O236" s="194"/>
      <c r="P236" s="195"/>
    </row>
    <row r="237" spans="1:16">
      <c r="A237" s="3"/>
      <c r="B237" s="3" t="str">
        <f>TEXT(Tabela22[[#This Row],[DATA]],"mmmm")</f>
        <v>janeiro</v>
      </c>
      <c r="C237" s="2"/>
      <c r="D237" s="2"/>
      <c r="E237" s="2"/>
      <c r="F237" s="2"/>
      <c r="G237" s="173"/>
      <c r="H237" s="174"/>
      <c r="I237" s="173" t="e">
        <f>Tabela22[[#This Row],[PESO TOTAL]]/Tabela22[[#This Row],[QUANTIDADE]]</f>
        <v>#DIV/0!</v>
      </c>
      <c r="J237" s="2"/>
      <c r="K237" s="193"/>
      <c r="L237" s="8"/>
      <c r="M237" s="8"/>
      <c r="N237" s="8"/>
      <c r="O237" s="194"/>
      <c r="P237" s="195"/>
    </row>
    <row r="238" spans="1:16">
      <c r="A238" s="3"/>
      <c r="B238" s="3" t="str">
        <f>TEXT(Tabela22[[#This Row],[DATA]],"mmmm")</f>
        <v>janeiro</v>
      </c>
      <c r="C238" s="2"/>
      <c r="D238" s="2"/>
      <c r="E238" s="2"/>
      <c r="F238" s="2"/>
      <c r="G238" s="173"/>
      <c r="H238" s="174"/>
      <c r="I238" s="173" t="e">
        <f>Tabela22[[#This Row],[PESO TOTAL]]/Tabela22[[#This Row],[QUANTIDADE]]</f>
        <v>#DIV/0!</v>
      </c>
      <c r="J238" s="2"/>
      <c r="K238" s="193"/>
      <c r="L238" s="8"/>
      <c r="M238" s="8"/>
      <c r="N238" s="8"/>
      <c r="O238" s="194"/>
      <c r="P238" s="195"/>
    </row>
    <row r="239" spans="1:16">
      <c r="A239" s="3"/>
      <c r="B239" s="3" t="str">
        <f>TEXT(Tabela22[[#This Row],[DATA]],"mmmm")</f>
        <v>janeiro</v>
      </c>
      <c r="C239" s="2"/>
      <c r="D239" s="2"/>
      <c r="E239" s="2"/>
      <c r="F239" s="2"/>
      <c r="G239" s="173"/>
      <c r="H239" s="174"/>
      <c r="I239" s="173" t="e">
        <f>Tabela22[[#This Row],[PESO TOTAL]]/Tabela22[[#This Row],[QUANTIDADE]]</f>
        <v>#DIV/0!</v>
      </c>
      <c r="J239" s="2"/>
      <c r="K239" s="193"/>
      <c r="L239" s="8"/>
      <c r="M239" s="8"/>
      <c r="N239" s="8"/>
      <c r="O239" s="194"/>
      <c r="P239" s="195"/>
    </row>
    <row r="240" spans="1:16">
      <c r="A240" s="3"/>
      <c r="B240" s="3" t="str">
        <f>TEXT(Tabela22[[#This Row],[DATA]],"mmmm")</f>
        <v>janeiro</v>
      </c>
      <c r="C240" s="2"/>
      <c r="D240" s="2"/>
      <c r="E240" s="2"/>
      <c r="F240" s="2"/>
      <c r="G240" s="173"/>
      <c r="H240" s="174"/>
      <c r="I240" s="173" t="e">
        <f>Tabela22[[#This Row],[PESO TOTAL]]/Tabela22[[#This Row],[QUANTIDADE]]</f>
        <v>#DIV/0!</v>
      </c>
      <c r="J240" s="2"/>
      <c r="K240" s="193"/>
      <c r="L240" s="8"/>
      <c r="M240" s="8"/>
      <c r="N240" s="8"/>
      <c r="O240" s="194"/>
      <c r="P240" s="195"/>
    </row>
    <row r="241" spans="1:16">
      <c r="A241" s="3"/>
      <c r="B241" s="3" t="str">
        <f>TEXT(Tabela22[[#This Row],[DATA]],"mmmm")</f>
        <v>janeiro</v>
      </c>
      <c r="C241" s="2"/>
      <c r="D241" s="2"/>
      <c r="E241" s="2"/>
      <c r="F241" s="2"/>
      <c r="G241" s="173"/>
      <c r="H241" s="174"/>
      <c r="I241" s="173" t="e">
        <f>Tabela22[[#This Row],[PESO TOTAL]]/Tabela22[[#This Row],[QUANTIDADE]]</f>
        <v>#DIV/0!</v>
      </c>
      <c r="J241" s="2"/>
      <c r="K241" s="193"/>
      <c r="L241" s="8"/>
      <c r="M241" s="8"/>
      <c r="N241" s="8"/>
      <c r="O241" s="194"/>
      <c r="P241" s="195"/>
    </row>
    <row r="242" spans="1:16">
      <c r="A242" s="3"/>
      <c r="B242" s="3" t="str">
        <f>TEXT(Tabela22[[#This Row],[DATA]],"mmmm")</f>
        <v>janeiro</v>
      </c>
      <c r="C242" s="2"/>
      <c r="D242" s="2"/>
      <c r="E242" s="2"/>
      <c r="F242" s="2"/>
      <c r="G242" s="173"/>
      <c r="H242" s="174"/>
      <c r="I242" s="173" t="e">
        <f>Tabela22[[#This Row],[PESO TOTAL]]/Tabela22[[#This Row],[QUANTIDADE]]</f>
        <v>#DIV/0!</v>
      </c>
      <c r="J242" s="2"/>
      <c r="K242" s="193"/>
      <c r="L242" s="8"/>
      <c r="M242" s="8"/>
      <c r="N242" s="8"/>
      <c r="O242" s="194"/>
      <c r="P242" s="195"/>
    </row>
    <row r="243" spans="1:16">
      <c r="A243" s="3"/>
      <c r="B243" s="3" t="str">
        <f>TEXT(Tabela22[[#This Row],[DATA]],"mmmm")</f>
        <v>janeiro</v>
      </c>
      <c r="C243" s="2"/>
      <c r="D243" s="2"/>
      <c r="E243" s="2"/>
      <c r="F243" s="2"/>
      <c r="G243" s="173"/>
      <c r="H243" s="174"/>
      <c r="I243" s="173" t="e">
        <f>Tabela22[[#This Row],[PESO TOTAL]]/Tabela22[[#This Row],[QUANTIDADE]]</f>
        <v>#DIV/0!</v>
      </c>
      <c r="J243" s="2"/>
      <c r="K243" s="193"/>
      <c r="L243" s="8"/>
      <c r="M243" s="8"/>
      <c r="N243" s="8"/>
      <c r="O243" s="194"/>
      <c r="P243" s="195"/>
    </row>
    <row r="244" spans="1:16">
      <c r="A244" s="3"/>
      <c r="B244" s="3" t="str">
        <f>TEXT(Tabela22[[#This Row],[DATA]],"mmmm")</f>
        <v>janeiro</v>
      </c>
      <c r="C244" s="2"/>
      <c r="D244" s="2"/>
      <c r="E244" s="2"/>
      <c r="F244" s="2"/>
      <c r="G244" s="173"/>
      <c r="H244" s="174"/>
      <c r="I244" s="173" t="e">
        <f>Tabela22[[#This Row],[PESO TOTAL]]/Tabela22[[#This Row],[QUANTIDADE]]</f>
        <v>#DIV/0!</v>
      </c>
      <c r="J244" s="2"/>
      <c r="K244" s="193"/>
      <c r="L244" s="8"/>
      <c r="M244" s="8"/>
      <c r="N244" s="8"/>
      <c r="O244" s="194"/>
      <c r="P244" s="195"/>
    </row>
    <row r="245" spans="1:16">
      <c r="A245" s="3"/>
      <c r="B245" s="3" t="str">
        <f>TEXT(Tabela22[[#This Row],[DATA]],"mmmm")</f>
        <v>janeiro</v>
      </c>
      <c r="C245" s="2"/>
      <c r="D245" s="2"/>
      <c r="E245" s="2"/>
      <c r="F245" s="2"/>
      <c r="G245" s="173"/>
      <c r="H245" s="174"/>
      <c r="I245" s="173" t="e">
        <f>Tabela22[[#This Row],[PESO TOTAL]]/Tabela22[[#This Row],[QUANTIDADE]]</f>
        <v>#DIV/0!</v>
      </c>
      <c r="J245" s="2"/>
      <c r="K245" s="193"/>
      <c r="L245" s="8"/>
      <c r="M245" s="8"/>
      <c r="N245" s="8"/>
      <c r="O245" s="194"/>
      <c r="P245" s="195"/>
    </row>
    <row r="246" spans="1:16">
      <c r="A246" s="3"/>
      <c r="B246" s="3" t="str">
        <f>TEXT(Tabela22[[#This Row],[DATA]],"mmmm")</f>
        <v>janeiro</v>
      </c>
      <c r="C246" s="2"/>
      <c r="D246" s="2"/>
      <c r="E246" s="2"/>
      <c r="F246" s="2"/>
      <c r="G246" s="173"/>
      <c r="H246" s="174"/>
      <c r="I246" s="173" t="e">
        <f>Tabela22[[#This Row],[PESO TOTAL]]/Tabela22[[#This Row],[QUANTIDADE]]</f>
        <v>#DIV/0!</v>
      </c>
      <c r="J246" s="2"/>
      <c r="K246" s="193"/>
      <c r="L246" s="8"/>
      <c r="M246" s="8"/>
      <c r="N246" s="8"/>
      <c r="O246" s="194"/>
      <c r="P246" s="195"/>
    </row>
    <row r="247" spans="1:16">
      <c r="A247" s="3"/>
      <c r="B247" s="3" t="str">
        <f>TEXT(Tabela22[[#This Row],[DATA]],"mmmm")</f>
        <v>janeiro</v>
      </c>
      <c r="C247" s="2"/>
      <c r="D247" s="2"/>
      <c r="E247" s="2"/>
      <c r="F247" s="2"/>
      <c r="G247" s="173"/>
      <c r="H247" s="174"/>
      <c r="I247" s="173" t="e">
        <f>Tabela22[[#This Row],[PESO TOTAL]]/Tabela22[[#This Row],[QUANTIDADE]]</f>
        <v>#DIV/0!</v>
      </c>
      <c r="J247" s="2"/>
      <c r="K247" s="193"/>
      <c r="L247" s="8"/>
      <c r="M247" s="8"/>
      <c r="N247" s="8"/>
      <c r="O247" s="194"/>
      <c r="P247" s="195"/>
    </row>
    <row r="248" spans="1:16">
      <c r="A248" s="3"/>
      <c r="B248" s="3" t="str">
        <f>TEXT(Tabela22[[#This Row],[DATA]],"mmmm")</f>
        <v>janeiro</v>
      </c>
      <c r="C248" s="2"/>
      <c r="D248" s="2"/>
      <c r="E248" s="2"/>
      <c r="F248" s="2"/>
      <c r="G248" s="173"/>
      <c r="H248" s="174"/>
      <c r="I248" s="173" t="e">
        <f>Tabela22[[#This Row],[PESO TOTAL]]/Tabela22[[#This Row],[QUANTIDADE]]</f>
        <v>#DIV/0!</v>
      </c>
      <c r="J248" s="2"/>
      <c r="K248" s="193"/>
      <c r="L248" s="8"/>
      <c r="M248" s="8"/>
      <c r="N248" s="8"/>
      <c r="O248" s="194"/>
      <c r="P248" s="195"/>
    </row>
    <row r="249" spans="1:16">
      <c r="A249" s="3"/>
      <c r="B249" s="3" t="str">
        <f>TEXT(Tabela22[[#This Row],[DATA]],"mmmm")</f>
        <v>janeiro</v>
      </c>
      <c r="C249" s="2"/>
      <c r="D249" s="2"/>
      <c r="E249" s="2"/>
      <c r="F249" s="2"/>
      <c r="G249" s="173"/>
      <c r="H249" s="174"/>
      <c r="I249" s="173" t="e">
        <f>Tabela22[[#This Row],[PESO TOTAL]]/Tabela22[[#This Row],[QUANTIDADE]]</f>
        <v>#DIV/0!</v>
      </c>
      <c r="J249" s="2"/>
      <c r="K249" s="193"/>
      <c r="L249" s="8"/>
      <c r="M249" s="8"/>
      <c r="N249" s="8"/>
      <c r="O249" s="194"/>
      <c r="P249" s="195"/>
    </row>
    <row r="250" spans="1:16">
      <c r="A250" s="3"/>
      <c r="B250" s="3" t="str">
        <f>TEXT(Tabela22[[#This Row],[DATA]],"mmmm")</f>
        <v>janeiro</v>
      </c>
      <c r="C250" s="2"/>
      <c r="D250" s="2"/>
      <c r="E250" s="2"/>
      <c r="F250" s="2"/>
      <c r="G250" s="173"/>
      <c r="H250" s="174"/>
      <c r="I250" s="173" t="e">
        <f>Tabela22[[#This Row],[PESO TOTAL]]/Tabela22[[#This Row],[QUANTIDADE]]</f>
        <v>#DIV/0!</v>
      </c>
      <c r="J250" s="2"/>
      <c r="K250" s="193"/>
      <c r="L250" s="8"/>
      <c r="M250" s="8"/>
      <c r="N250" s="8"/>
      <c r="O250" s="194"/>
      <c r="P250" s="195"/>
    </row>
    <row r="251" spans="1:16">
      <c r="A251" s="3"/>
      <c r="B251" s="3" t="str">
        <f>TEXT(Tabela22[[#This Row],[DATA]],"mmmm")</f>
        <v>janeiro</v>
      </c>
      <c r="C251" s="2"/>
      <c r="D251" s="2"/>
      <c r="E251" s="2"/>
      <c r="F251" s="2"/>
      <c r="G251" s="173"/>
      <c r="H251" s="174"/>
      <c r="I251" s="173" t="e">
        <f>Tabela22[[#This Row],[PESO TOTAL]]/Tabela22[[#This Row],[QUANTIDADE]]</f>
        <v>#DIV/0!</v>
      </c>
      <c r="J251" s="2"/>
      <c r="K251" s="193"/>
      <c r="L251" s="8"/>
      <c r="M251" s="8"/>
      <c r="N251" s="8"/>
      <c r="O251" s="194"/>
      <c r="P251" s="195"/>
    </row>
    <row r="252" spans="1:16">
      <c r="A252" s="3"/>
      <c r="B252" s="3" t="str">
        <f>TEXT(Tabela22[[#This Row],[DATA]],"mmmm")</f>
        <v>janeiro</v>
      </c>
      <c r="C252" s="2"/>
      <c r="D252" s="2"/>
      <c r="E252" s="2"/>
      <c r="F252" s="2"/>
      <c r="G252" s="173"/>
      <c r="H252" s="174"/>
      <c r="I252" s="173" t="e">
        <f>Tabela22[[#This Row],[PESO TOTAL]]/Tabela22[[#This Row],[QUANTIDADE]]</f>
        <v>#DIV/0!</v>
      </c>
      <c r="J252" s="2"/>
      <c r="K252" s="193"/>
      <c r="L252" s="8"/>
      <c r="M252" s="8"/>
      <c r="N252" s="8"/>
      <c r="O252" s="194"/>
      <c r="P252" s="195"/>
    </row>
    <row r="253" spans="1:16">
      <c r="A253" s="3"/>
      <c r="B253" s="3" t="str">
        <f>TEXT(Tabela22[[#This Row],[DATA]],"mmmm")</f>
        <v>janeiro</v>
      </c>
      <c r="C253" s="2"/>
      <c r="D253" s="2"/>
      <c r="E253" s="2"/>
      <c r="F253" s="2"/>
      <c r="G253" s="173"/>
      <c r="H253" s="174"/>
      <c r="I253" s="173" t="e">
        <f>Tabela22[[#This Row],[PESO TOTAL]]/Tabela22[[#This Row],[QUANTIDADE]]</f>
        <v>#DIV/0!</v>
      </c>
      <c r="J253" s="2"/>
      <c r="K253" s="193"/>
      <c r="L253" s="8"/>
      <c r="M253" s="8"/>
      <c r="N253" s="8"/>
      <c r="O253" s="194"/>
      <c r="P253" s="195"/>
    </row>
    <row r="254" spans="1:16">
      <c r="A254" s="3"/>
      <c r="B254" s="3" t="str">
        <f>TEXT(Tabela22[[#This Row],[DATA]],"mmmm")</f>
        <v>janeiro</v>
      </c>
      <c r="C254" s="2"/>
      <c r="D254" s="2"/>
      <c r="E254" s="2"/>
      <c r="F254" s="2"/>
      <c r="G254" s="173"/>
      <c r="H254" s="174"/>
      <c r="I254" s="173" t="e">
        <f>Tabela22[[#This Row],[PESO TOTAL]]/Tabela22[[#This Row],[QUANTIDADE]]</f>
        <v>#DIV/0!</v>
      </c>
      <c r="J254" s="2"/>
      <c r="K254" s="193"/>
      <c r="L254" s="8"/>
      <c r="M254" s="8"/>
      <c r="N254" s="8"/>
      <c r="O254" s="194"/>
      <c r="P254" s="195"/>
    </row>
    <row r="255" spans="1:16">
      <c r="A255" s="3"/>
      <c r="B255" s="3" t="str">
        <f>TEXT(Tabela22[[#This Row],[DATA]],"mmmm")</f>
        <v>janeiro</v>
      </c>
      <c r="C255" s="2"/>
      <c r="D255" s="2"/>
      <c r="E255" s="2"/>
      <c r="F255" s="2"/>
      <c r="G255" s="173"/>
      <c r="H255" s="174"/>
      <c r="I255" s="173" t="e">
        <f>Tabela22[[#This Row],[PESO TOTAL]]/Tabela22[[#This Row],[QUANTIDADE]]</f>
        <v>#DIV/0!</v>
      </c>
      <c r="J255" s="2"/>
      <c r="K255" s="193"/>
      <c r="L255" s="8"/>
      <c r="M255" s="8"/>
      <c r="N255" s="8"/>
      <c r="O255" s="194"/>
      <c r="P255" s="195"/>
    </row>
    <row r="256" spans="1:16">
      <c r="A256" s="3"/>
      <c r="B256" s="3" t="str">
        <f>TEXT(Tabela22[[#This Row],[DATA]],"mmmm")</f>
        <v>janeiro</v>
      </c>
      <c r="C256" s="2"/>
      <c r="D256" s="2"/>
      <c r="E256" s="2"/>
      <c r="F256" s="2"/>
      <c r="G256" s="173"/>
      <c r="H256" s="174"/>
      <c r="I256" s="173" t="e">
        <f>Tabela22[[#This Row],[PESO TOTAL]]/Tabela22[[#This Row],[QUANTIDADE]]</f>
        <v>#DIV/0!</v>
      </c>
      <c r="J256" s="2"/>
      <c r="K256" s="193"/>
      <c r="L256" s="8"/>
      <c r="M256" s="8"/>
      <c r="N256" s="8"/>
      <c r="O256" s="194"/>
      <c r="P256" s="195"/>
    </row>
    <row r="257" spans="1:16">
      <c r="A257" s="3"/>
      <c r="B257" s="3" t="str">
        <f>TEXT(Tabela22[[#This Row],[DATA]],"mmmm")</f>
        <v>janeiro</v>
      </c>
      <c r="C257" s="2"/>
      <c r="D257" s="2"/>
      <c r="E257" s="2"/>
      <c r="F257" s="2"/>
      <c r="G257" s="173"/>
      <c r="H257" s="174"/>
      <c r="I257" s="173" t="e">
        <f>Tabela22[[#This Row],[PESO TOTAL]]/Tabela22[[#This Row],[QUANTIDADE]]</f>
        <v>#DIV/0!</v>
      </c>
      <c r="J257" s="2"/>
      <c r="K257" s="193"/>
      <c r="L257" s="8"/>
      <c r="M257" s="8"/>
      <c r="N257" s="8"/>
      <c r="O257" s="194"/>
      <c r="P257" s="195"/>
    </row>
    <row r="258" spans="1:16">
      <c r="A258" s="3"/>
      <c r="B258" s="3" t="str">
        <f>TEXT(Tabela22[[#This Row],[DATA]],"mmmm")</f>
        <v>janeiro</v>
      </c>
      <c r="C258" s="2"/>
      <c r="D258" s="2"/>
      <c r="E258" s="2"/>
      <c r="F258" s="2"/>
      <c r="G258" s="173"/>
      <c r="H258" s="174"/>
      <c r="I258" s="173" t="e">
        <f>Tabela22[[#This Row],[PESO TOTAL]]/Tabela22[[#This Row],[QUANTIDADE]]</f>
        <v>#DIV/0!</v>
      </c>
      <c r="J258" s="2"/>
      <c r="K258" s="193"/>
      <c r="L258" s="8"/>
      <c r="M258" s="8"/>
      <c r="N258" s="8"/>
      <c r="O258" s="194"/>
      <c r="P258" s="195"/>
    </row>
    <row r="259" spans="1:16">
      <c r="A259" s="3"/>
      <c r="B259" s="3" t="str">
        <f>TEXT(Tabela22[[#This Row],[DATA]],"mmmm")</f>
        <v>janeiro</v>
      </c>
      <c r="C259" s="2"/>
      <c r="D259" s="2"/>
      <c r="E259" s="2"/>
      <c r="F259" s="2"/>
      <c r="G259" s="173"/>
      <c r="H259" s="174"/>
      <c r="I259" s="173" t="e">
        <f>Tabela22[[#This Row],[PESO TOTAL]]/Tabela22[[#This Row],[QUANTIDADE]]</f>
        <v>#DIV/0!</v>
      </c>
      <c r="J259" s="2"/>
      <c r="K259" s="193"/>
      <c r="L259" s="8"/>
      <c r="M259" s="8"/>
      <c r="N259" s="8"/>
      <c r="O259" s="194"/>
      <c r="P259" s="195"/>
    </row>
    <row r="260" spans="1:16">
      <c r="A260" s="3"/>
      <c r="B260" s="3" t="str">
        <f>TEXT(Tabela22[[#This Row],[DATA]],"mmmm")</f>
        <v>janeiro</v>
      </c>
      <c r="C260" s="2"/>
      <c r="D260" s="2"/>
      <c r="E260" s="2"/>
      <c r="F260" s="2"/>
      <c r="G260" s="173"/>
      <c r="H260" s="174"/>
      <c r="I260" s="173" t="e">
        <f>Tabela22[[#This Row],[PESO TOTAL]]/Tabela22[[#This Row],[QUANTIDADE]]</f>
        <v>#DIV/0!</v>
      </c>
      <c r="J260" s="2"/>
      <c r="K260" s="193"/>
      <c r="L260" s="8"/>
      <c r="M260" s="8"/>
      <c r="N260" s="8"/>
      <c r="O260" s="194"/>
      <c r="P260" s="195"/>
    </row>
    <row r="261" spans="1:16">
      <c r="A261" s="3"/>
      <c r="B261" s="3" t="str">
        <f>TEXT(Tabela22[[#This Row],[DATA]],"mmmm")</f>
        <v>janeiro</v>
      </c>
      <c r="C261" s="2"/>
      <c r="D261" s="2"/>
      <c r="E261" s="2"/>
      <c r="F261" s="2"/>
      <c r="G261" s="173"/>
      <c r="H261" s="174"/>
      <c r="I261" s="173" t="e">
        <f>Tabela22[[#This Row],[PESO TOTAL]]/Tabela22[[#This Row],[QUANTIDADE]]</f>
        <v>#DIV/0!</v>
      </c>
      <c r="J261" s="2"/>
      <c r="K261" s="193"/>
      <c r="L261" s="8"/>
      <c r="M261" s="8"/>
      <c r="N261" s="8"/>
      <c r="O261" s="194"/>
      <c r="P261" s="195"/>
    </row>
    <row r="262" spans="1:16">
      <c r="A262" s="3"/>
      <c r="B262" s="3" t="str">
        <f>TEXT(Tabela22[[#This Row],[DATA]],"mmmm")</f>
        <v>janeiro</v>
      </c>
      <c r="C262" s="2"/>
      <c r="D262" s="2"/>
      <c r="E262" s="2"/>
      <c r="F262" s="2"/>
      <c r="G262" s="173"/>
      <c r="H262" s="174"/>
      <c r="I262" s="173" t="e">
        <f>Tabela22[[#This Row],[PESO TOTAL]]/Tabela22[[#This Row],[QUANTIDADE]]</f>
        <v>#DIV/0!</v>
      </c>
      <c r="J262" s="2"/>
      <c r="K262" s="193"/>
      <c r="L262" s="8"/>
      <c r="M262" s="8"/>
      <c r="N262" s="8"/>
      <c r="O262" s="194"/>
      <c r="P262" s="195"/>
    </row>
    <row r="263" spans="1:16">
      <c r="A263" s="3"/>
      <c r="B263" s="3" t="str">
        <f>TEXT(Tabela22[[#This Row],[DATA]],"mmmm")</f>
        <v>janeiro</v>
      </c>
      <c r="C263" s="2"/>
      <c r="D263" s="2"/>
      <c r="E263" s="2"/>
      <c r="F263" s="2"/>
      <c r="G263" s="173"/>
      <c r="H263" s="174"/>
      <c r="I263" s="173" t="e">
        <f>Tabela22[[#This Row],[PESO TOTAL]]/Tabela22[[#This Row],[QUANTIDADE]]</f>
        <v>#DIV/0!</v>
      </c>
      <c r="J263" s="2"/>
      <c r="K263" s="193"/>
      <c r="L263" s="8"/>
      <c r="M263" s="8"/>
      <c r="N263" s="8"/>
      <c r="O263" s="194"/>
      <c r="P263" s="195"/>
    </row>
    <row r="264" spans="1:16">
      <c r="A264" s="3"/>
      <c r="B264" s="3" t="str">
        <f>TEXT(Tabela22[[#This Row],[DATA]],"mmmm")</f>
        <v>janeiro</v>
      </c>
      <c r="C264" s="2"/>
      <c r="D264" s="2"/>
      <c r="E264" s="2"/>
      <c r="F264" s="2"/>
      <c r="G264" s="173"/>
      <c r="H264" s="174"/>
      <c r="I264" s="173" t="e">
        <f>Tabela22[[#This Row],[PESO TOTAL]]/Tabela22[[#This Row],[QUANTIDADE]]</f>
        <v>#DIV/0!</v>
      </c>
      <c r="J264" s="2"/>
      <c r="K264" s="193"/>
      <c r="L264" s="8"/>
      <c r="M264" s="8"/>
      <c r="N264" s="8"/>
      <c r="O264" s="194"/>
      <c r="P264" s="195"/>
    </row>
    <row r="265" spans="1:16">
      <c r="A265" s="3"/>
      <c r="B265" s="3" t="str">
        <f>TEXT(Tabela22[[#This Row],[DATA]],"mmmm")</f>
        <v>janeiro</v>
      </c>
      <c r="C265" s="2"/>
      <c r="D265" s="2"/>
      <c r="E265" s="2"/>
      <c r="F265" s="2"/>
      <c r="G265" s="173"/>
      <c r="H265" s="174"/>
      <c r="I265" s="173" t="e">
        <f>Tabela22[[#This Row],[PESO TOTAL]]/Tabela22[[#This Row],[QUANTIDADE]]</f>
        <v>#DIV/0!</v>
      </c>
      <c r="J265" s="2"/>
      <c r="K265" s="193"/>
      <c r="L265" s="8"/>
      <c r="M265" s="8"/>
      <c r="N265" s="8"/>
      <c r="O265" s="194"/>
      <c r="P265" s="195"/>
    </row>
    <row r="266" spans="1:16">
      <c r="A266" s="3"/>
      <c r="B266" s="3" t="str">
        <f>TEXT(Tabela22[[#This Row],[DATA]],"mmmm")</f>
        <v>janeiro</v>
      </c>
      <c r="C266" s="2"/>
      <c r="D266" s="2"/>
      <c r="E266" s="2"/>
      <c r="F266" s="2"/>
      <c r="G266" s="173"/>
      <c r="H266" s="174"/>
      <c r="I266" s="173" t="e">
        <f>Tabela22[[#This Row],[PESO TOTAL]]/Tabela22[[#This Row],[QUANTIDADE]]</f>
        <v>#DIV/0!</v>
      </c>
      <c r="J266" s="2"/>
      <c r="K266" s="193"/>
      <c r="L266" s="8"/>
      <c r="M266" s="8"/>
      <c r="N266" s="8"/>
      <c r="O266" s="194"/>
      <c r="P266" s="195"/>
    </row>
    <row r="267" spans="1:16">
      <c r="A267" s="3"/>
      <c r="B267" s="3" t="str">
        <f>TEXT(Tabela22[[#This Row],[DATA]],"mmmm")</f>
        <v>janeiro</v>
      </c>
      <c r="C267" s="2"/>
      <c r="D267" s="2"/>
      <c r="E267" s="2"/>
      <c r="F267" s="2"/>
      <c r="G267" s="173"/>
      <c r="H267" s="174"/>
      <c r="I267" s="173" t="e">
        <f>Tabela22[[#This Row],[PESO TOTAL]]/Tabela22[[#This Row],[QUANTIDADE]]</f>
        <v>#DIV/0!</v>
      </c>
      <c r="J267" s="2"/>
      <c r="K267" s="193"/>
      <c r="L267" s="8"/>
      <c r="M267" s="8"/>
      <c r="N267" s="8"/>
      <c r="O267" s="194"/>
      <c r="P267" s="195"/>
    </row>
    <row r="268" spans="1:16">
      <c r="A268" s="3"/>
      <c r="B268" s="3" t="str">
        <f>TEXT(Tabela22[[#This Row],[DATA]],"mmmm")</f>
        <v>janeiro</v>
      </c>
      <c r="C268" s="2"/>
      <c r="D268" s="2"/>
      <c r="E268" s="2"/>
      <c r="F268" s="2"/>
      <c r="G268" s="173"/>
      <c r="H268" s="174"/>
      <c r="I268" s="173" t="e">
        <f>Tabela22[[#This Row],[PESO TOTAL]]/Tabela22[[#This Row],[QUANTIDADE]]</f>
        <v>#DIV/0!</v>
      </c>
      <c r="J268" s="2"/>
      <c r="K268" s="193"/>
      <c r="L268" s="8"/>
      <c r="M268" s="8"/>
      <c r="N268" s="8"/>
      <c r="O268" s="194"/>
      <c r="P268" s="195"/>
    </row>
    <row r="269" spans="1:16">
      <c r="A269" s="3"/>
      <c r="B269" s="3" t="str">
        <f>TEXT(Tabela22[[#This Row],[DATA]],"mmmm")</f>
        <v>janeiro</v>
      </c>
      <c r="C269" s="2"/>
      <c r="D269" s="2"/>
      <c r="E269" s="2"/>
      <c r="F269" s="2"/>
      <c r="G269" s="173"/>
      <c r="H269" s="174"/>
      <c r="I269" s="173" t="e">
        <f>Tabela22[[#This Row],[PESO TOTAL]]/Tabela22[[#This Row],[QUANTIDADE]]</f>
        <v>#DIV/0!</v>
      </c>
      <c r="J269" s="2"/>
      <c r="K269" s="193"/>
      <c r="L269" s="8"/>
      <c r="M269" s="8"/>
      <c r="N269" s="8"/>
      <c r="O269" s="194"/>
      <c r="P269" s="195"/>
    </row>
    <row r="270" spans="1:16">
      <c r="A270" s="3"/>
      <c r="B270" s="3" t="str">
        <f>TEXT(Tabela22[[#This Row],[DATA]],"mmmm")</f>
        <v>janeiro</v>
      </c>
      <c r="C270" s="2"/>
      <c r="D270" s="2"/>
      <c r="E270" s="2"/>
      <c r="F270" s="2"/>
      <c r="G270" s="173"/>
      <c r="H270" s="174"/>
      <c r="I270" s="173" t="e">
        <f>Tabela22[[#This Row],[PESO TOTAL]]/Tabela22[[#This Row],[QUANTIDADE]]</f>
        <v>#DIV/0!</v>
      </c>
      <c r="J270" s="2"/>
      <c r="K270" s="193"/>
      <c r="L270" s="8"/>
      <c r="M270" s="8"/>
      <c r="N270" s="8"/>
      <c r="O270" s="194"/>
      <c r="P270" s="195"/>
    </row>
    <row r="271" spans="1:16">
      <c r="A271" s="3"/>
      <c r="B271" s="3" t="str">
        <f>TEXT(Tabela22[[#This Row],[DATA]],"mmmm")</f>
        <v>janeiro</v>
      </c>
      <c r="C271" s="2"/>
      <c r="D271" s="2"/>
      <c r="E271" s="2"/>
      <c r="F271" s="2"/>
      <c r="G271" s="173"/>
      <c r="H271" s="174"/>
      <c r="I271" s="173" t="e">
        <f>Tabela22[[#This Row],[PESO TOTAL]]/Tabela22[[#This Row],[QUANTIDADE]]</f>
        <v>#DIV/0!</v>
      </c>
      <c r="J271" s="2"/>
      <c r="K271" s="193"/>
      <c r="L271" s="8"/>
      <c r="M271" s="8"/>
      <c r="N271" s="8"/>
      <c r="O271" s="194"/>
      <c r="P271" s="195"/>
    </row>
    <row r="272" spans="1:16">
      <c r="A272" s="3"/>
      <c r="B272" s="3" t="str">
        <f>TEXT(Tabela22[[#This Row],[DATA]],"mmmm")</f>
        <v>janeiro</v>
      </c>
      <c r="C272" s="2"/>
      <c r="D272" s="2"/>
      <c r="E272" s="2"/>
      <c r="F272" s="2"/>
      <c r="G272" s="173"/>
      <c r="H272" s="174"/>
      <c r="I272" s="173" t="e">
        <f>Tabela22[[#This Row],[PESO TOTAL]]/Tabela22[[#This Row],[QUANTIDADE]]</f>
        <v>#DIV/0!</v>
      </c>
      <c r="J272" s="2"/>
      <c r="K272" s="193"/>
      <c r="L272" s="8"/>
      <c r="M272" s="8"/>
      <c r="N272" s="8"/>
      <c r="O272" s="194"/>
      <c r="P272" s="195"/>
    </row>
    <row r="273" spans="1:16">
      <c r="A273" s="3"/>
      <c r="B273" s="3" t="str">
        <f>TEXT(Tabela22[[#This Row],[DATA]],"mmmm")</f>
        <v>janeiro</v>
      </c>
      <c r="C273" s="2"/>
      <c r="D273" s="2"/>
      <c r="E273" s="2"/>
      <c r="F273" s="2"/>
      <c r="G273" s="173"/>
      <c r="H273" s="174"/>
      <c r="I273" s="173" t="e">
        <f>Tabela22[[#This Row],[PESO TOTAL]]/Tabela22[[#This Row],[QUANTIDADE]]</f>
        <v>#DIV/0!</v>
      </c>
      <c r="J273" s="2"/>
      <c r="K273" s="193"/>
      <c r="L273" s="8"/>
      <c r="M273" s="8"/>
      <c r="N273" s="8"/>
      <c r="O273" s="194"/>
      <c r="P273" s="195"/>
    </row>
    <row r="274" spans="1:16">
      <c r="A274" s="3"/>
      <c r="B274" s="3" t="str">
        <f>TEXT(Tabela22[[#This Row],[DATA]],"mmmm")</f>
        <v>janeiro</v>
      </c>
      <c r="C274" s="2"/>
      <c r="D274" s="2"/>
      <c r="E274" s="2"/>
      <c r="F274" s="2"/>
      <c r="G274" s="173"/>
      <c r="H274" s="174"/>
      <c r="I274" s="173" t="e">
        <f>Tabela22[[#This Row],[PESO TOTAL]]/Tabela22[[#This Row],[QUANTIDADE]]</f>
        <v>#DIV/0!</v>
      </c>
      <c r="J274" s="2"/>
      <c r="K274" s="193"/>
      <c r="L274" s="8"/>
      <c r="M274" s="8"/>
      <c r="N274" s="8"/>
      <c r="O274" s="194"/>
      <c r="P274" s="195"/>
    </row>
    <row r="275" spans="1:16">
      <c r="A275" s="3"/>
      <c r="B275" s="3" t="str">
        <f>TEXT(Tabela22[[#This Row],[DATA]],"mmmm")</f>
        <v>janeiro</v>
      </c>
      <c r="C275" s="2"/>
      <c r="D275" s="2"/>
      <c r="E275" s="2"/>
      <c r="F275" s="2"/>
      <c r="G275" s="173"/>
      <c r="H275" s="174"/>
      <c r="I275" s="173" t="e">
        <f>Tabela22[[#This Row],[PESO TOTAL]]/Tabela22[[#This Row],[QUANTIDADE]]</f>
        <v>#DIV/0!</v>
      </c>
      <c r="J275" s="2"/>
      <c r="K275" s="193"/>
      <c r="L275" s="8"/>
      <c r="M275" s="8"/>
      <c r="N275" s="8"/>
      <c r="O275" s="194"/>
      <c r="P275" s="195"/>
    </row>
    <row r="276" spans="1:16">
      <c r="A276" s="3"/>
      <c r="B276" s="3" t="str">
        <f>TEXT(Tabela22[[#This Row],[DATA]],"mmmm")</f>
        <v>janeiro</v>
      </c>
      <c r="C276" s="2"/>
      <c r="D276" s="2"/>
      <c r="E276" s="2"/>
      <c r="F276" s="2"/>
      <c r="G276" s="173"/>
      <c r="H276" s="174"/>
      <c r="I276" s="173" t="e">
        <f>Tabela22[[#This Row],[PESO TOTAL]]/Tabela22[[#This Row],[QUANTIDADE]]</f>
        <v>#DIV/0!</v>
      </c>
      <c r="J276" s="2"/>
      <c r="K276" s="193"/>
      <c r="L276" s="8"/>
      <c r="M276" s="8"/>
      <c r="N276" s="8"/>
      <c r="O276" s="194"/>
      <c r="P276" s="195"/>
    </row>
    <row r="277" spans="1:16">
      <c r="A277" s="3"/>
      <c r="B277" s="3" t="str">
        <f>TEXT(Tabela22[[#This Row],[DATA]],"mmmm")</f>
        <v>janeiro</v>
      </c>
      <c r="C277" s="2"/>
      <c r="D277" s="2"/>
      <c r="E277" s="2"/>
      <c r="F277" s="2"/>
      <c r="G277" s="173"/>
      <c r="H277" s="174"/>
      <c r="I277" s="173" t="e">
        <f>Tabela22[[#This Row],[PESO TOTAL]]/Tabela22[[#This Row],[QUANTIDADE]]</f>
        <v>#DIV/0!</v>
      </c>
      <c r="J277" s="2"/>
      <c r="K277" s="193"/>
      <c r="L277" s="8"/>
      <c r="M277" s="8"/>
      <c r="N277" s="8"/>
      <c r="O277" s="194"/>
      <c r="P277" s="195"/>
    </row>
    <row r="278" spans="1:16">
      <c r="A278" s="3"/>
      <c r="B278" s="3" t="str">
        <f>TEXT(Tabela22[[#This Row],[DATA]],"mmmm")</f>
        <v>janeiro</v>
      </c>
      <c r="C278" s="2"/>
      <c r="D278" s="2"/>
      <c r="E278" s="2"/>
      <c r="F278" s="2"/>
      <c r="G278" s="173"/>
      <c r="H278" s="174"/>
      <c r="I278" s="173" t="e">
        <f>Tabela22[[#This Row],[PESO TOTAL]]/Tabela22[[#This Row],[QUANTIDADE]]</f>
        <v>#DIV/0!</v>
      </c>
      <c r="J278" s="2"/>
      <c r="K278" s="193"/>
      <c r="L278" s="8"/>
      <c r="M278" s="8"/>
      <c r="N278" s="8"/>
      <c r="O278" s="194"/>
      <c r="P278" s="195"/>
    </row>
    <row r="279" spans="1:16">
      <c r="A279" s="3"/>
      <c r="B279" s="3" t="str">
        <f>TEXT(Tabela22[[#This Row],[DATA]],"mmmm")</f>
        <v>janeiro</v>
      </c>
      <c r="C279" s="2"/>
      <c r="D279" s="2"/>
      <c r="E279" s="2"/>
      <c r="F279" s="2"/>
      <c r="G279" s="173"/>
      <c r="H279" s="174"/>
      <c r="I279" s="173" t="e">
        <f>Tabela22[[#This Row],[PESO TOTAL]]/Tabela22[[#This Row],[QUANTIDADE]]</f>
        <v>#DIV/0!</v>
      </c>
      <c r="J279" s="2"/>
      <c r="K279" s="193"/>
      <c r="L279" s="8"/>
      <c r="M279" s="8"/>
      <c r="N279" s="8"/>
      <c r="O279" s="194"/>
      <c r="P279" s="195"/>
    </row>
    <row r="280" spans="1:16">
      <c r="A280" s="3"/>
      <c r="B280" s="3" t="str">
        <f>TEXT(Tabela22[[#This Row],[DATA]],"mmmm")</f>
        <v>janeiro</v>
      </c>
      <c r="C280" s="2"/>
      <c r="D280" s="2"/>
      <c r="E280" s="2"/>
      <c r="F280" s="2"/>
      <c r="G280" s="173"/>
      <c r="H280" s="174"/>
      <c r="I280" s="173" t="e">
        <f>Tabela22[[#This Row],[PESO TOTAL]]/Tabela22[[#This Row],[QUANTIDADE]]</f>
        <v>#DIV/0!</v>
      </c>
      <c r="J280" s="2"/>
      <c r="K280" s="193"/>
      <c r="L280" s="8"/>
      <c r="M280" s="8"/>
      <c r="N280" s="8"/>
      <c r="O280" s="194"/>
      <c r="P280" s="195"/>
    </row>
    <row r="281" spans="1:16">
      <c r="A281" s="3"/>
      <c r="B281" s="3" t="str">
        <f>TEXT(Tabela22[[#This Row],[DATA]],"mmmm")</f>
        <v>janeiro</v>
      </c>
      <c r="C281" s="2"/>
      <c r="D281" s="2"/>
      <c r="E281" s="2"/>
      <c r="F281" s="2"/>
      <c r="G281" s="173"/>
      <c r="H281" s="174"/>
      <c r="I281" s="173" t="e">
        <f>Tabela22[[#This Row],[PESO TOTAL]]/Tabela22[[#This Row],[QUANTIDADE]]</f>
        <v>#DIV/0!</v>
      </c>
      <c r="J281" s="2"/>
      <c r="K281" s="193"/>
      <c r="L281" s="8"/>
      <c r="M281" s="8"/>
      <c r="N281" s="8"/>
      <c r="O281" s="194"/>
      <c r="P281" s="195"/>
    </row>
    <row r="282" spans="1:16">
      <c r="A282" s="3"/>
      <c r="B282" s="3" t="str">
        <f>TEXT(Tabela22[[#This Row],[DATA]],"mmmm")</f>
        <v>janeiro</v>
      </c>
      <c r="C282" s="2"/>
      <c r="D282" s="2"/>
      <c r="E282" s="2"/>
      <c r="F282" s="2"/>
      <c r="G282" s="173"/>
      <c r="H282" s="174"/>
      <c r="I282" s="173" t="e">
        <f>Tabela22[[#This Row],[PESO TOTAL]]/Tabela22[[#This Row],[QUANTIDADE]]</f>
        <v>#DIV/0!</v>
      </c>
      <c r="J282" s="2"/>
      <c r="K282" s="193"/>
      <c r="L282" s="8"/>
      <c r="M282" s="8"/>
      <c r="N282" s="8"/>
      <c r="O282" s="194"/>
      <c r="P282" s="195"/>
    </row>
    <row r="283" spans="1:16">
      <c r="A283" s="3"/>
      <c r="B283" s="3" t="str">
        <f>TEXT(Tabela22[[#This Row],[DATA]],"mmmm")</f>
        <v>janeiro</v>
      </c>
      <c r="C283" s="2"/>
      <c r="D283" s="2"/>
      <c r="E283" s="2"/>
      <c r="F283" s="2"/>
      <c r="G283" s="173"/>
      <c r="H283" s="174"/>
      <c r="I283" s="173" t="e">
        <f>Tabela22[[#This Row],[PESO TOTAL]]/Tabela22[[#This Row],[QUANTIDADE]]</f>
        <v>#DIV/0!</v>
      </c>
      <c r="J283" s="2"/>
      <c r="K283" s="193"/>
      <c r="L283" s="8"/>
      <c r="M283" s="8"/>
      <c r="N283" s="8"/>
      <c r="O283" s="194"/>
      <c r="P283" s="195"/>
    </row>
    <row r="284" spans="1:16">
      <c r="A284" s="3"/>
      <c r="B284" s="3" t="str">
        <f>TEXT(Tabela22[[#This Row],[DATA]],"mmmm")</f>
        <v>janeiro</v>
      </c>
      <c r="C284" s="2"/>
      <c r="D284" s="2"/>
      <c r="E284" s="2"/>
      <c r="F284" s="2"/>
      <c r="G284" s="173"/>
      <c r="H284" s="174"/>
      <c r="I284" s="173" t="e">
        <f>Tabela22[[#This Row],[PESO TOTAL]]/Tabela22[[#This Row],[QUANTIDADE]]</f>
        <v>#DIV/0!</v>
      </c>
      <c r="J284" s="2"/>
      <c r="K284" s="193"/>
      <c r="L284" s="8"/>
      <c r="M284" s="8"/>
      <c r="N284" s="8"/>
      <c r="O284" s="194"/>
      <c r="P284" s="195"/>
    </row>
    <row r="285" spans="1:16">
      <c r="A285" s="3"/>
      <c r="B285" s="3" t="str">
        <f>TEXT(Tabela22[[#This Row],[DATA]],"mmmm")</f>
        <v>janeiro</v>
      </c>
      <c r="C285" s="2"/>
      <c r="D285" s="2"/>
      <c r="E285" s="2"/>
      <c r="F285" s="2"/>
      <c r="G285" s="173"/>
      <c r="H285" s="174"/>
      <c r="I285" s="173" t="e">
        <f>Tabela22[[#This Row],[PESO TOTAL]]/Tabela22[[#This Row],[QUANTIDADE]]</f>
        <v>#DIV/0!</v>
      </c>
      <c r="J285" s="2"/>
      <c r="K285" s="193"/>
      <c r="L285" s="8"/>
      <c r="M285" s="8"/>
      <c r="N285" s="8"/>
      <c r="O285" s="194"/>
      <c r="P285" s="195"/>
    </row>
    <row r="286" spans="1:16">
      <c r="A286" s="3"/>
      <c r="B286" s="3" t="str">
        <f>TEXT(Tabela22[[#This Row],[DATA]],"mmmm")</f>
        <v>janeiro</v>
      </c>
      <c r="C286" s="2"/>
      <c r="D286" s="2"/>
      <c r="E286" s="2"/>
      <c r="F286" s="2"/>
      <c r="G286" s="173"/>
      <c r="H286" s="174"/>
      <c r="I286" s="173" t="e">
        <f>Tabela22[[#This Row],[PESO TOTAL]]/Tabela22[[#This Row],[QUANTIDADE]]</f>
        <v>#DIV/0!</v>
      </c>
      <c r="J286" s="2"/>
      <c r="K286" s="193"/>
      <c r="L286" s="8"/>
      <c r="M286" s="8"/>
      <c r="N286" s="8"/>
      <c r="O286" s="194"/>
      <c r="P286" s="195"/>
    </row>
    <row r="287" spans="1:16">
      <c r="A287" s="3"/>
      <c r="B287" s="3" t="str">
        <f>TEXT(Tabela22[[#This Row],[DATA]],"mmmm")</f>
        <v>janeiro</v>
      </c>
      <c r="C287" s="2"/>
      <c r="D287" s="2"/>
      <c r="E287" s="2"/>
      <c r="F287" s="2"/>
      <c r="G287" s="173"/>
      <c r="H287" s="174"/>
      <c r="I287" s="173" t="e">
        <f>Tabela22[[#This Row],[PESO TOTAL]]/Tabela22[[#This Row],[QUANTIDADE]]</f>
        <v>#DIV/0!</v>
      </c>
      <c r="J287" s="2"/>
      <c r="K287" s="193"/>
      <c r="L287" s="8"/>
      <c r="M287" s="8"/>
      <c r="N287" s="8"/>
      <c r="O287" s="194"/>
      <c r="P287" s="195"/>
    </row>
    <row r="288" spans="1:16">
      <c r="A288" s="3"/>
      <c r="B288" s="3" t="str">
        <f>TEXT(Tabela22[[#This Row],[DATA]],"mmmm")</f>
        <v>janeiro</v>
      </c>
      <c r="C288" s="2"/>
      <c r="D288" s="2"/>
      <c r="E288" s="2"/>
      <c r="F288" s="2"/>
      <c r="G288" s="173"/>
      <c r="H288" s="174"/>
      <c r="I288" s="173" t="e">
        <f>Tabela22[[#This Row],[PESO TOTAL]]/Tabela22[[#This Row],[QUANTIDADE]]</f>
        <v>#DIV/0!</v>
      </c>
      <c r="J288" s="2"/>
      <c r="K288" s="193"/>
      <c r="L288" s="8"/>
      <c r="M288" s="8"/>
      <c r="N288" s="8"/>
      <c r="O288" s="194"/>
      <c r="P288" s="195"/>
    </row>
    <row r="289" spans="1:16">
      <c r="A289" s="3"/>
      <c r="B289" s="3" t="str">
        <f>TEXT(Tabela22[[#This Row],[DATA]],"mmmm")</f>
        <v>janeiro</v>
      </c>
      <c r="C289" s="2"/>
      <c r="D289" s="2"/>
      <c r="E289" s="2"/>
      <c r="F289" s="2"/>
      <c r="G289" s="173"/>
      <c r="H289" s="174"/>
      <c r="I289" s="173" t="e">
        <f>Tabela22[[#This Row],[PESO TOTAL]]/Tabela22[[#This Row],[QUANTIDADE]]</f>
        <v>#DIV/0!</v>
      </c>
      <c r="J289" s="2"/>
      <c r="K289" s="193"/>
      <c r="L289" s="8"/>
      <c r="M289" s="8"/>
      <c r="N289" s="8"/>
      <c r="O289" s="194"/>
      <c r="P289" s="195"/>
    </row>
    <row r="290" spans="1:16">
      <c r="A290" s="3"/>
      <c r="B290" s="3" t="str">
        <f>TEXT(Tabela22[[#This Row],[DATA]],"mmmm")</f>
        <v>janeiro</v>
      </c>
      <c r="C290" s="2"/>
      <c r="D290" s="2"/>
      <c r="E290" s="2"/>
      <c r="F290" s="2"/>
      <c r="G290" s="173"/>
      <c r="H290" s="174"/>
      <c r="I290" s="173" t="e">
        <f>Tabela22[[#This Row],[PESO TOTAL]]/Tabela22[[#This Row],[QUANTIDADE]]</f>
        <v>#DIV/0!</v>
      </c>
      <c r="J290" s="2"/>
      <c r="K290" s="193"/>
      <c r="L290" s="8"/>
      <c r="M290" s="8"/>
      <c r="N290" s="8"/>
      <c r="O290" s="194"/>
      <c r="P290" s="195"/>
    </row>
    <row r="291" spans="1:16">
      <c r="A291" s="3"/>
      <c r="B291" s="3" t="str">
        <f>TEXT(Tabela22[[#This Row],[DATA]],"mmmm")</f>
        <v>janeiro</v>
      </c>
      <c r="C291" s="2"/>
      <c r="D291" s="2"/>
      <c r="E291" s="2"/>
      <c r="F291" s="2"/>
      <c r="G291" s="173"/>
      <c r="H291" s="174"/>
      <c r="I291" s="173" t="e">
        <f>Tabela22[[#This Row],[PESO TOTAL]]/Tabela22[[#This Row],[QUANTIDADE]]</f>
        <v>#DIV/0!</v>
      </c>
      <c r="J291" s="2"/>
      <c r="K291" s="193"/>
      <c r="L291" s="8"/>
      <c r="M291" s="8"/>
      <c r="N291" s="8"/>
      <c r="O291" s="194"/>
      <c r="P291" s="195"/>
    </row>
    <row r="292" spans="1:16">
      <c r="A292" s="3"/>
      <c r="B292" s="3" t="str">
        <f>TEXT(Tabela22[[#This Row],[DATA]],"mmmm")</f>
        <v>janeiro</v>
      </c>
      <c r="C292" s="2"/>
      <c r="D292" s="2"/>
      <c r="E292" s="2"/>
      <c r="F292" s="2"/>
      <c r="G292" s="173"/>
      <c r="H292" s="174"/>
      <c r="I292" s="173" t="e">
        <f>Tabela22[[#This Row],[PESO TOTAL]]/Tabela22[[#This Row],[QUANTIDADE]]</f>
        <v>#DIV/0!</v>
      </c>
      <c r="J292" s="2"/>
      <c r="K292" s="193"/>
      <c r="L292" s="8"/>
      <c r="M292" s="8"/>
      <c r="N292" s="8"/>
      <c r="O292" s="194"/>
      <c r="P292" s="195"/>
    </row>
    <row r="293" spans="1:16">
      <c r="A293" s="3"/>
      <c r="B293" s="3" t="str">
        <f>TEXT(Tabela22[[#This Row],[DATA]],"mmmm")</f>
        <v>janeiro</v>
      </c>
      <c r="C293" s="2"/>
      <c r="D293" s="2"/>
      <c r="E293" s="2"/>
      <c r="F293" s="2"/>
      <c r="G293" s="173"/>
      <c r="H293" s="174"/>
      <c r="I293" s="173" t="e">
        <f>Tabela22[[#This Row],[PESO TOTAL]]/Tabela22[[#This Row],[QUANTIDADE]]</f>
        <v>#DIV/0!</v>
      </c>
      <c r="J293" s="2"/>
      <c r="K293" s="193"/>
      <c r="L293" s="8"/>
      <c r="M293" s="8"/>
      <c r="N293" s="8"/>
      <c r="O293" s="194"/>
      <c r="P293" s="195"/>
    </row>
    <row r="294" spans="1:16">
      <c r="A294" s="3"/>
      <c r="B294" s="3" t="str">
        <f>TEXT(Tabela22[[#This Row],[DATA]],"mmmm")</f>
        <v>janeiro</v>
      </c>
      <c r="C294" s="2"/>
      <c r="D294" s="2"/>
      <c r="E294" s="2"/>
      <c r="F294" s="2"/>
      <c r="G294" s="173"/>
      <c r="H294" s="174"/>
      <c r="I294" s="173" t="e">
        <f>Tabela22[[#This Row],[PESO TOTAL]]/Tabela22[[#This Row],[QUANTIDADE]]</f>
        <v>#DIV/0!</v>
      </c>
      <c r="J294" s="2"/>
      <c r="K294" s="193"/>
      <c r="L294" s="8"/>
      <c r="M294" s="8"/>
      <c r="N294" s="8"/>
      <c r="O294" s="194"/>
      <c r="P294" s="195"/>
    </row>
    <row r="295" spans="1:16">
      <c r="A295" s="3"/>
      <c r="B295" s="3" t="str">
        <f>TEXT(Tabela22[[#This Row],[DATA]],"mmmm")</f>
        <v>janeiro</v>
      </c>
      <c r="C295" s="2"/>
      <c r="D295" s="2"/>
      <c r="E295" s="2"/>
      <c r="F295" s="2"/>
      <c r="G295" s="173"/>
      <c r="H295" s="174"/>
      <c r="I295" s="173" t="e">
        <f>Tabela22[[#This Row],[PESO TOTAL]]/Tabela22[[#This Row],[QUANTIDADE]]</f>
        <v>#DIV/0!</v>
      </c>
      <c r="J295" s="2"/>
      <c r="K295" s="193"/>
      <c r="L295" s="8"/>
      <c r="M295" s="8"/>
      <c r="N295" s="8"/>
      <c r="O295" s="194"/>
      <c r="P295" s="195"/>
    </row>
    <row r="296" spans="1:16">
      <c r="A296" s="3"/>
      <c r="B296" s="3" t="str">
        <f>TEXT(Tabela22[[#This Row],[DATA]],"mmmm")</f>
        <v>janeiro</v>
      </c>
      <c r="C296" s="2"/>
      <c r="D296" s="2"/>
      <c r="E296" s="2"/>
      <c r="F296" s="2"/>
      <c r="G296" s="173"/>
      <c r="H296" s="174"/>
      <c r="I296" s="173" t="e">
        <f>Tabela22[[#This Row],[PESO TOTAL]]/Tabela22[[#This Row],[QUANTIDADE]]</f>
        <v>#DIV/0!</v>
      </c>
      <c r="J296" s="2"/>
      <c r="K296" s="193"/>
      <c r="L296" s="8"/>
      <c r="M296" s="8"/>
      <c r="N296" s="8"/>
      <c r="O296" s="194"/>
      <c r="P296" s="195"/>
    </row>
    <row r="297" spans="1:16">
      <c r="A297" s="3"/>
      <c r="B297" s="3" t="str">
        <f>TEXT(Tabela22[[#This Row],[DATA]],"mmmm")</f>
        <v>janeiro</v>
      </c>
      <c r="C297" s="2"/>
      <c r="D297" s="2"/>
      <c r="E297" s="2"/>
      <c r="F297" s="2"/>
      <c r="G297" s="173"/>
      <c r="H297" s="174"/>
      <c r="I297" s="173" t="e">
        <f>Tabela22[[#This Row],[PESO TOTAL]]/Tabela22[[#This Row],[QUANTIDADE]]</f>
        <v>#DIV/0!</v>
      </c>
      <c r="J297" s="2"/>
      <c r="K297" s="193"/>
      <c r="L297" s="8"/>
      <c r="M297" s="8"/>
      <c r="N297" s="8"/>
      <c r="O297" s="194"/>
      <c r="P297" s="195"/>
    </row>
    <row r="298" spans="1:16">
      <c r="A298" s="3"/>
      <c r="B298" s="3" t="str">
        <f>TEXT(Tabela22[[#This Row],[DATA]],"mmmm")</f>
        <v>janeiro</v>
      </c>
      <c r="C298" s="2"/>
      <c r="D298" s="2"/>
      <c r="E298" s="2"/>
      <c r="F298" s="2"/>
      <c r="G298" s="173"/>
      <c r="H298" s="174"/>
      <c r="I298" s="173" t="e">
        <f>Tabela22[[#This Row],[PESO TOTAL]]/Tabela22[[#This Row],[QUANTIDADE]]</f>
        <v>#DIV/0!</v>
      </c>
      <c r="J298" s="2"/>
      <c r="K298" s="193"/>
      <c r="L298" s="8"/>
      <c r="M298" s="8"/>
      <c r="N298" s="8"/>
      <c r="O298" s="194"/>
      <c r="P298" s="195"/>
    </row>
    <row r="299" spans="1:16">
      <c r="A299" s="3"/>
      <c r="B299" s="3" t="str">
        <f>TEXT(Tabela22[[#This Row],[DATA]],"mmmm")</f>
        <v>janeiro</v>
      </c>
      <c r="C299" s="2"/>
      <c r="D299" s="2"/>
      <c r="E299" s="2"/>
      <c r="F299" s="2"/>
      <c r="G299" s="173"/>
      <c r="H299" s="174"/>
      <c r="I299" s="173" t="e">
        <f>Tabela22[[#This Row],[PESO TOTAL]]/Tabela22[[#This Row],[QUANTIDADE]]</f>
        <v>#DIV/0!</v>
      </c>
      <c r="J299" s="2"/>
      <c r="K299" s="193"/>
      <c r="L299" s="8"/>
      <c r="M299" s="8"/>
      <c r="N299" s="8"/>
      <c r="O299" s="194"/>
      <c r="P299" s="195"/>
    </row>
    <row r="300" spans="1:16">
      <c r="A300" s="3"/>
      <c r="B300" s="3" t="str">
        <f>TEXT(Tabela22[[#This Row],[DATA]],"mmmm")</f>
        <v>janeiro</v>
      </c>
      <c r="C300" s="2"/>
      <c r="D300" s="2"/>
      <c r="E300" s="2"/>
      <c r="F300" s="2"/>
      <c r="G300" s="173"/>
      <c r="H300" s="174"/>
      <c r="I300" s="173" t="e">
        <f>Tabela22[[#This Row],[PESO TOTAL]]/Tabela22[[#This Row],[QUANTIDADE]]</f>
        <v>#DIV/0!</v>
      </c>
      <c r="J300" s="2"/>
      <c r="K300" s="193"/>
      <c r="L300" s="8"/>
      <c r="M300" s="8"/>
      <c r="N300" s="8"/>
      <c r="O300" s="194"/>
      <c r="P300" s="195"/>
    </row>
    <row r="301" spans="1:16">
      <c r="A301" s="3"/>
      <c r="B301" s="3" t="str">
        <f>TEXT(Tabela22[[#This Row],[DATA]],"mmmm")</f>
        <v>janeiro</v>
      </c>
      <c r="C301" s="2"/>
      <c r="D301" s="2"/>
      <c r="E301" s="2"/>
      <c r="F301" s="2"/>
      <c r="G301" s="173"/>
      <c r="H301" s="174"/>
      <c r="I301" s="173" t="e">
        <f>Tabela22[[#This Row],[PESO TOTAL]]/Tabela22[[#This Row],[QUANTIDADE]]</f>
        <v>#DIV/0!</v>
      </c>
      <c r="J301" s="2"/>
      <c r="K301" s="193"/>
      <c r="L301" s="8"/>
      <c r="M301" s="8"/>
      <c r="N301" s="8"/>
      <c r="O301" s="194"/>
      <c r="P301" s="195"/>
    </row>
    <row r="302" spans="1:16">
      <c r="A302" s="3"/>
      <c r="B302" s="3" t="str">
        <f>TEXT(Tabela22[[#This Row],[DATA]],"mmmm")</f>
        <v>janeiro</v>
      </c>
      <c r="C302" s="2"/>
      <c r="D302" s="2"/>
      <c r="E302" s="2"/>
      <c r="F302" s="2"/>
      <c r="G302" s="173"/>
      <c r="H302" s="174"/>
      <c r="I302" s="173" t="e">
        <f>Tabela22[[#This Row],[PESO TOTAL]]/Tabela22[[#This Row],[QUANTIDADE]]</f>
        <v>#DIV/0!</v>
      </c>
      <c r="J302" s="2"/>
      <c r="K302" s="193"/>
      <c r="L302" s="8"/>
      <c r="M302" s="8"/>
      <c r="N302" s="8"/>
      <c r="O302" s="194"/>
      <c r="P302" s="195"/>
    </row>
    <row r="303" spans="1:16">
      <c r="A303" s="3"/>
      <c r="B303" s="3" t="str">
        <f>TEXT(Tabela22[[#This Row],[DATA]],"mmmm")</f>
        <v>janeiro</v>
      </c>
      <c r="C303" s="2"/>
      <c r="D303" s="2"/>
      <c r="E303" s="2"/>
      <c r="F303" s="2"/>
      <c r="G303" s="173"/>
      <c r="H303" s="174"/>
      <c r="I303" s="173" t="e">
        <f>Tabela22[[#This Row],[PESO TOTAL]]/Tabela22[[#This Row],[QUANTIDADE]]</f>
        <v>#DIV/0!</v>
      </c>
      <c r="J303" s="2"/>
      <c r="K303" s="193"/>
      <c r="L303" s="8"/>
      <c r="M303" s="8"/>
      <c r="N303" s="8"/>
      <c r="O303" s="194"/>
      <c r="P303" s="195"/>
    </row>
    <row r="304" spans="1:16">
      <c r="A304" s="3"/>
      <c r="B304" s="3" t="str">
        <f>TEXT(Tabela22[[#This Row],[DATA]],"mmmm")</f>
        <v>janeiro</v>
      </c>
      <c r="C304" s="2"/>
      <c r="D304" s="2"/>
      <c r="E304" s="2"/>
      <c r="F304" s="2"/>
      <c r="G304" s="173"/>
      <c r="H304" s="174"/>
      <c r="I304" s="173" t="e">
        <f>Tabela22[[#This Row],[PESO TOTAL]]/Tabela22[[#This Row],[QUANTIDADE]]</f>
        <v>#DIV/0!</v>
      </c>
      <c r="J304" s="2"/>
      <c r="K304" s="193"/>
      <c r="L304" s="8"/>
      <c r="M304" s="8"/>
      <c r="N304" s="8"/>
      <c r="O304" s="194"/>
      <c r="P304" s="195"/>
    </row>
    <row r="305" spans="1:16">
      <c r="A305" s="3"/>
      <c r="B305" s="3" t="str">
        <f>TEXT(Tabela22[[#This Row],[DATA]],"mmmm")</f>
        <v>janeiro</v>
      </c>
      <c r="C305" s="2"/>
      <c r="D305" s="2"/>
      <c r="E305" s="2"/>
      <c r="F305" s="2"/>
      <c r="G305" s="173"/>
      <c r="H305" s="174"/>
      <c r="I305" s="173" t="e">
        <f>Tabela22[[#This Row],[PESO TOTAL]]/Tabela22[[#This Row],[QUANTIDADE]]</f>
        <v>#DIV/0!</v>
      </c>
      <c r="J305" s="2"/>
      <c r="K305" s="193"/>
      <c r="L305" s="8"/>
      <c r="M305" s="8"/>
      <c r="N305" s="8"/>
      <c r="O305" s="194"/>
      <c r="P305" s="195"/>
    </row>
    <row r="306" spans="1:16">
      <c r="A306" s="3"/>
      <c r="B306" s="3" t="str">
        <f>TEXT(Tabela22[[#This Row],[DATA]],"mmmm")</f>
        <v>janeiro</v>
      </c>
      <c r="C306" s="2"/>
      <c r="D306" s="2"/>
      <c r="E306" s="2"/>
      <c r="F306" s="2"/>
      <c r="G306" s="173"/>
      <c r="H306" s="174"/>
      <c r="I306" s="173" t="e">
        <f>Tabela22[[#This Row],[PESO TOTAL]]/Tabela22[[#This Row],[QUANTIDADE]]</f>
        <v>#DIV/0!</v>
      </c>
      <c r="J306" s="2"/>
      <c r="K306" s="193"/>
      <c r="L306" s="8"/>
      <c r="M306" s="8"/>
      <c r="N306" s="8"/>
      <c r="O306" s="194"/>
      <c r="P306" s="195"/>
    </row>
    <row r="307" spans="1:16">
      <c r="A307" s="3"/>
      <c r="B307" s="3" t="str">
        <f>TEXT(Tabela22[[#This Row],[DATA]],"mmmm")</f>
        <v>janeiro</v>
      </c>
      <c r="C307" s="2"/>
      <c r="D307" s="2"/>
      <c r="E307" s="2"/>
      <c r="F307" s="2"/>
      <c r="G307" s="173"/>
      <c r="H307" s="174"/>
      <c r="I307" s="173" t="e">
        <f>Tabela22[[#This Row],[PESO TOTAL]]/Tabela22[[#This Row],[QUANTIDADE]]</f>
        <v>#DIV/0!</v>
      </c>
      <c r="J307" s="2"/>
      <c r="K307" s="193"/>
      <c r="L307" s="8"/>
      <c r="M307" s="8"/>
      <c r="N307" s="8"/>
      <c r="O307" s="194"/>
      <c r="P307" s="195"/>
    </row>
    <row r="308" spans="1:16">
      <c r="A308" s="3"/>
      <c r="B308" s="3" t="str">
        <f>TEXT(Tabela22[[#This Row],[DATA]],"mmmm")</f>
        <v>janeiro</v>
      </c>
      <c r="C308" s="2"/>
      <c r="D308" s="2"/>
      <c r="E308" s="2"/>
      <c r="F308" s="2"/>
      <c r="G308" s="173"/>
      <c r="H308" s="174"/>
      <c r="I308" s="173" t="e">
        <f>Tabela22[[#This Row],[PESO TOTAL]]/Tabela22[[#This Row],[QUANTIDADE]]</f>
        <v>#DIV/0!</v>
      </c>
      <c r="J308" s="2"/>
      <c r="K308" s="193"/>
      <c r="L308" s="8"/>
      <c r="M308" s="8"/>
      <c r="N308" s="8"/>
      <c r="O308" s="194"/>
      <c r="P308" s="195"/>
    </row>
    <row r="309" spans="1:16">
      <c r="A309" s="3"/>
      <c r="B309" s="3" t="str">
        <f>TEXT(Tabela22[[#This Row],[DATA]],"mmmm")</f>
        <v>janeiro</v>
      </c>
      <c r="C309" s="2"/>
      <c r="D309" s="2"/>
      <c r="E309" s="2"/>
      <c r="F309" s="2"/>
      <c r="G309" s="173"/>
      <c r="H309" s="174"/>
      <c r="I309" s="173" t="e">
        <f>Tabela22[[#This Row],[PESO TOTAL]]/Tabela22[[#This Row],[QUANTIDADE]]</f>
        <v>#DIV/0!</v>
      </c>
      <c r="J309" s="2"/>
      <c r="K309" s="193"/>
      <c r="L309" s="8"/>
      <c r="M309" s="8"/>
      <c r="N309" s="8"/>
      <c r="O309" s="194"/>
      <c r="P309" s="195"/>
    </row>
    <row r="310" spans="1:16">
      <c r="A310" s="3"/>
      <c r="B310" s="3" t="str">
        <f>TEXT(Tabela22[[#This Row],[DATA]],"mmmm")</f>
        <v>janeiro</v>
      </c>
      <c r="C310" s="2"/>
      <c r="D310" s="2"/>
      <c r="E310" s="2"/>
      <c r="F310" s="2"/>
      <c r="G310" s="173"/>
      <c r="H310" s="174"/>
      <c r="I310" s="173" t="e">
        <f>Tabela22[[#This Row],[PESO TOTAL]]/Tabela22[[#This Row],[QUANTIDADE]]</f>
        <v>#DIV/0!</v>
      </c>
      <c r="J310" s="2"/>
      <c r="K310" s="193"/>
      <c r="L310" s="8"/>
      <c r="M310" s="8"/>
      <c r="N310" s="8"/>
      <c r="O310" s="194"/>
      <c r="P310" s="195"/>
    </row>
    <row r="311" spans="1:16">
      <c r="A311" s="3"/>
      <c r="B311" s="3" t="str">
        <f>TEXT(Tabela22[[#This Row],[DATA]],"mmmm")</f>
        <v>janeiro</v>
      </c>
      <c r="C311" s="2"/>
      <c r="D311" s="2"/>
      <c r="E311" s="2"/>
      <c r="F311" s="2"/>
      <c r="G311" s="173"/>
      <c r="H311" s="174"/>
      <c r="I311" s="173" t="e">
        <f>Tabela22[[#This Row],[PESO TOTAL]]/Tabela22[[#This Row],[QUANTIDADE]]</f>
        <v>#DIV/0!</v>
      </c>
      <c r="J311" s="2"/>
      <c r="K311" s="193"/>
      <c r="L311" s="8"/>
      <c r="M311" s="8"/>
      <c r="N311" s="8"/>
      <c r="O311" s="194"/>
      <c r="P311" s="195"/>
    </row>
    <row r="312" spans="1:16">
      <c r="A312" s="3"/>
      <c r="B312" s="3" t="str">
        <f>TEXT(Tabela22[[#This Row],[DATA]],"mmmm")</f>
        <v>janeiro</v>
      </c>
      <c r="C312" s="2"/>
      <c r="D312" s="2"/>
      <c r="E312" s="2"/>
      <c r="F312" s="2"/>
      <c r="G312" s="173"/>
      <c r="H312" s="174"/>
      <c r="I312" s="173" t="e">
        <f>Tabela22[[#This Row],[PESO TOTAL]]/Tabela22[[#This Row],[QUANTIDADE]]</f>
        <v>#DIV/0!</v>
      </c>
      <c r="J312" s="2"/>
      <c r="K312" s="193"/>
      <c r="L312" s="8"/>
      <c r="M312" s="8"/>
      <c r="N312" s="8"/>
      <c r="O312" s="194"/>
      <c r="P312" s="195"/>
    </row>
    <row r="313" spans="1:16">
      <c r="A313" s="3"/>
      <c r="B313" s="3" t="str">
        <f>TEXT(Tabela22[[#This Row],[DATA]],"mmmm")</f>
        <v>janeiro</v>
      </c>
      <c r="C313" s="2"/>
      <c r="D313" s="2"/>
      <c r="E313" s="2"/>
      <c r="F313" s="2"/>
      <c r="G313" s="173"/>
      <c r="H313" s="174"/>
      <c r="I313" s="173" t="e">
        <f>Tabela22[[#This Row],[PESO TOTAL]]/Tabela22[[#This Row],[QUANTIDADE]]</f>
        <v>#DIV/0!</v>
      </c>
      <c r="J313" s="2"/>
      <c r="K313" s="193"/>
      <c r="L313" s="8"/>
      <c r="M313" s="8"/>
      <c r="N313" s="8"/>
      <c r="O313" s="194"/>
      <c r="P313" s="195"/>
    </row>
    <row r="314" spans="1:16">
      <c r="A314" s="3"/>
      <c r="B314" s="3" t="str">
        <f>TEXT(Tabela22[[#This Row],[DATA]],"mmmm")</f>
        <v>janeiro</v>
      </c>
      <c r="C314" s="2"/>
      <c r="D314" s="2"/>
      <c r="E314" s="2"/>
      <c r="F314" s="2"/>
      <c r="G314" s="173"/>
      <c r="H314" s="174"/>
      <c r="I314" s="173" t="e">
        <f>Tabela22[[#This Row],[PESO TOTAL]]/Tabela22[[#This Row],[QUANTIDADE]]</f>
        <v>#DIV/0!</v>
      </c>
      <c r="J314" s="2"/>
      <c r="K314" s="193"/>
      <c r="L314" s="8"/>
      <c r="M314" s="8"/>
      <c r="N314" s="8"/>
      <c r="O314" s="194"/>
      <c r="P314" s="195"/>
    </row>
    <row r="315" spans="1:16">
      <c r="A315" s="3"/>
      <c r="B315" s="3" t="str">
        <f>TEXT(Tabela22[[#This Row],[DATA]],"mmmm")</f>
        <v>janeiro</v>
      </c>
      <c r="C315" s="2"/>
      <c r="D315" s="2"/>
      <c r="E315" s="2"/>
      <c r="F315" s="2"/>
      <c r="G315" s="173"/>
      <c r="H315" s="174"/>
      <c r="I315" s="173" t="e">
        <f>Tabela22[[#This Row],[PESO TOTAL]]/Tabela22[[#This Row],[QUANTIDADE]]</f>
        <v>#DIV/0!</v>
      </c>
      <c r="J315" s="2"/>
      <c r="K315" s="193"/>
      <c r="L315" s="8"/>
      <c r="M315" s="8"/>
      <c r="N315" s="8"/>
      <c r="O315" s="194"/>
      <c r="P315" s="195"/>
    </row>
    <row r="316" spans="1:16">
      <c r="A316" s="3"/>
      <c r="B316" s="3" t="str">
        <f>TEXT(Tabela22[[#This Row],[DATA]],"mmmm")</f>
        <v>janeiro</v>
      </c>
      <c r="C316" s="2"/>
      <c r="D316" s="2"/>
      <c r="E316" s="2"/>
      <c r="F316" s="2"/>
      <c r="G316" s="173"/>
      <c r="H316" s="174"/>
      <c r="I316" s="173" t="e">
        <f>Tabela22[[#This Row],[PESO TOTAL]]/Tabela22[[#This Row],[QUANTIDADE]]</f>
        <v>#DIV/0!</v>
      </c>
      <c r="J316" s="2"/>
      <c r="K316" s="193"/>
      <c r="L316" s="8"/>
      <c r="M316" s="8"/>
      <c r="N316" s="8"/>
      <c r="O316" s="194"/>
      <c r="P316" s="195"/>
    </row>
    <row r="317" spans="1:16">
      <c r="A317" s="3"/>
      <c r="B317" s="3" t="str">
        <f>TEXT(Tabela22[[#This Row],[DATA]],"mmmm")</f>
        <v>janeiro</v>
      </c>
      <c r="C317" s="2"/>
      <c r="D317" s="2"/>
      <c r="E317" s="2"/>
      <c r="F317" s="2"/>
      <c r="G317" s="173"/>
      <c r="H317" s="174"/>
      <c r="I317" s="173" t="e">
        <f>Tabela22[[#This Row],[PESO TOTAL]]/Tabela22[[#This Row],[QUANTIDADE]]</f>
        <v>#DIV/0!</v>
      </c>
      <c r="J317" s="2"/>
      <c r="K317" s="193"/>
      <c r="L317" s="8"/>
      <c r="M317" s="8"/>
      <c r="N317" s="8"/>
      <c r="O317" s="194"/>
      <c r="P317" s="195"/>
    </row>
    <row r="318" spans="1:16">
      <c r="A318" s="3"/>
      <c r="B318" s="3" t="str">
        <f>TEXT(Tabela22[[#This Row],[DATA]],"mmmm")</f>
        <v>janeiro</v>
      </c>
      <c r="C318" s="2"/>
      <c r="D318" s="2"/>
      <c r="E318" s="2"/>
      <c r="F318" s="2"/>
      <c r="G318" s="173"/>
      <c r="H318" s="174"/>
      <c r="I318" s="173" t="e">
        <f>Tabela22[[#This Row],[PESO TOTAL]]/Tabela22[[#This Row],[QUANTIDADE]]</f>
        <v>#DIV/0!</v>
      </c>
      <c r="J318" s="2"/>
      <c r="K318" s="193"/>
      <c r="L318" s="8"/>
      <c r="M318" s="8"/>
      <c r="N318" s="8"/>
      <c r="O318" s="194"/>
      <c r="P318" s="195"/>
    </row>
    <row r="319" spans="1:16">
      <c r="A319" s="3"/>
      <c r="B319" s="3" t="str">
        <f>TEXT(Tabela22[[#This Row],[DATA]],"mmmm")</f>
        <v>janeiro</v>
      </c>
      <c r="C319" s="2"/>
      <c r="D319" s="2"/>
      <c r="E319" s="2"/>
      <c r="F319" s="2"/>
      <c r="G319" s="173"/>
      <c r="H319" s="174"/>
      <c r="I319" s="173" t="e">
        <f>Tabela22[[#This Row],[PESO TOTAL]]/Tabela22[[#This Row],[QUANTIDADE]]</f>
        <v>#DIV/0!</v>
      </c>
      <c r="J319" s="2"/>
      <c r="K319" s="193"/>
      <c r="L319" s="8"/>
      <c r="M319" s="8"/>
      <c r="N319" s="8"/>
      <c r="O319" s="194"/>
      <c r="P319" s="195"/>
    </row>
    <row r="320" spans="1:16">
      <c r="A320" s="3"/>
      <c r="B320" s="3" t="str">
        <f>TEXT(Tabela22[[#This Row],[DATA]],"mmmm")</f>
        <v>janeiro</v>
      </c>
      <c r="C320" s="2"/>
      <c r="D320" s="2"/>
      <c r="E320" s="2"/>
      <c r="F320" s="2"/>
      <c r="G320" s="173"/>
      <c r="H320" s="174"/>
      <c r="I320" s="173" t="e">
        <f>Tabela22[[#This Row],[PESO TOTAL]]/Tabela22[[#This Row],[QUANTIDADE]]</f>
        <v>#DIV/0!</v>
      </c>
      <c r="J320" s="2"/>
      <c r="K320" s="193"/>
      <c r="L320" s="8"/>
      <c r="M320" s="8"/>
      <c r="N320" s="8"/>
      <c r="O320" s="194"/>
      <c r="P320" s="195"/>
    </row>
    <row r="321" spans="1:16">
      <c r="A321" s="3"/>
      <c r="B321" s="3" t="str">
        <f>TEXT(Tabela22[[#This Row],[DATA]],"mmmm")</f>
        <v>janeiro</v>
      </c>
      <c r="C321" s="2"/>
      <c r="D321" s="2"/>
      <c r="E321" s="2"/>
      <c r="F321" s="2"/>
      <c r="G321" s="173"/>
      <c r="H321" s="174"/>
      <c r="I321" s="173" t="e">
        <f>Tabela22[[#This Row],[PESO TOTAL]]/Tabela22[[#This Row],[QUANTIDADE]]</f>
        <v>#DIV/0!</v>
      </c>
      <c r="J321" s="2"/>
      <c r="K321" s="193"/>
      <c r="L321" s="8"/>
      <c r="M321" s="8"/>
      <c r="N321" s="8"/>
      <c r="O321" s="194"/>
      <c r="P321" s="195"/>
    </row>
    <row r="322" spans="1:16">
      <c r="A322" s="3"/>
      <c r="B322" s="3" t="str">
        <f>TEXT(Tabela22[[#This Row],[DATA]],"mmmm")</f>
        <v>janeiro</v>
      </c>
      <c r="C322" s="2"/>
      <c r="D322" s="2"/>
      <c r="E322" s="2"/>
      <c r="F322" s="2"/>
      <c r="G322" s="173"/>
      <c r="H322" s="174"/>
      <c r="I322" s="173" t="e">
        <f>Tabela22[[#This Row],[PESO TOTAL]]/Tabela22[[#This Row],[QUANTIDADE]]</f>
        <v>#DIV/0!</v>
      </c>
      <c r="J322" s="2"/>
      <c r="K322" s="193"/>
      <c r="L322" s="8"/>
      <c r="M322" s="8"/>
      <c r="N322" s="8"/>
      <c r="O322" s="194"/>
      <c r="P322" s="195"/>
    </row>
    <row r="323" spans="1:16">
      <c r="A323" s="3"/>
      <c r="B323" s="3" t="str">
        <f>TEXT(Tabela22[[#This Row],[DATA]],"mmmm")</f>
        <v>janeiro</v>
      </c>
      <c r="C323" s="2"/>
      <c r="D323" s="2"/>
      <c r="E323" s="2"/>
      <c r="F323" s="2"/>
      <c r="G323" s="173"/>
      <c r="H323" s="174"/>
      <c r="I323" s="173" t="e">
        <f>Tabela22[[#This Row],[PESO TOTAL]]/Tabela22[[#This Row],[QUANTIDADE]]</f>
        <v>#DIV/0!</v>
      </c>
      <c r="J323" s="2"/>
      <c r="K323" s="193"/>
      <c r="L323" s="8"/>
      <c r="M323" s="8"/>
      <c r="N323" s="8"/>
      <c r="O323" s="194"/>
      <c r="P323" s="195"/>
    </row>
    <row r="324" spans="1:16">
      <c r="A324" s="3"/>
      <c r="B324" s="3" t="str">
        <f>TEXT(Tabela22[[#This Row],[DATA]],"mmmm")</f>
        <v>janeiro</v>
      </c>
      <c r="C324" s="2"/>
      <c r="D324" s="2"/>
      <c r="E324" s="2"/>
      <c r="F324" s="2"/>
      <c r="G324" s="173"/>
      <c r="H324" s="174"/>
      <c r="I324" s="173" t="e">
        <f>Tabela22[[#This Row],[PESO TOTAL]]/Tabela22[[#This Row],[QUANTIDADE]]</f>
        <v>#DIV/0!</v>
      </c>
      <c r="J324" s="2"/>
      <c r="K324" s="193"/>
      <c r="L324" s="8"/>
      <c r="M324" s="8"/>
      <c r="N324" s="8"/>
      <c r="O324" s="194"/>
      <c r="P324" s="195"/>
    </row>
    <row r="325" spans="1:16">
      <c r="A325" s="3"/>
      <c r="B325" s="3" t="str">
        <f>TEXT(Tabela22[[#This Row],[DATA]],"mmmm")</f>
        <v>janeiro</v>
      </c>
      <c r="C325" s="2"/>
      <c r="D325" s="2"/>
      <c r="E325" s="2"/>
      <c r="F325" s="2"/>
      <c r="G325" s="173"/>
      <c r="H325" s="174"/>
      <c r="I325" s="173" t="e">
        <f>Tabela22[[#This Row],[PESO TOTAL]]/Tabela22[[#This Row],[QUANTIDADE]]</f>
        <v>#DIV/0!</v>
      </c>
      <c r="J325" s="2"/>
      <c r="K325" s="193"/>
      <c r="L325" s="8"/>
      <c r="M325" s="8"/>
      <c r="N325" s="8"/>
      <c r="O325" s="194"/>
      <c r="P325" s="195"/>
    </row>
    <row r="326" spans="1:16">
      <c r="A326" s="3"/>
      <c r="B326" s="3" t="str">
        <f>TEXT(Tabela22[[#This Row],[DATA]],"mmmm")</f>
        <v>janeiro</v>
      </c>
      <c r="C326" s="2"/>
      <c r="D326" s="2"/>
      <c r="E326" s="2"/>
      <c r="F326" s="2"/>
      <c r="G326" s="173"/>
      <c r="H326" s="174"/>
      <c r="I326" s="173" t="e">
        <f>Tabela22[[#This Row],[PESO TOTAL]]/Tabela22[[#This Row],[QUANTIDADE]]</f>
        <v>#DIV/0!</v>
      </c>
      <c r="J326" s="2"/>
      <c r="K326" s="193"/>
      <c r="L326" s="8"/>
      <c r="M326" s="8"/>
      <c r="N326" s="8"/>
      <c r="O326" s="194"/>
      <c r="P326" s="195"/>
    </row>
    <row r="327" spans="1:16">
      <c r="A327" s="3"/>
      <c r="B327" s="3" t="str">
        <f>TEXT(Tabela22[[#This Row],[DATA]],"mmmm")</f>
        <v>janeiro</v>
      </c>
      <c r="C327" s="2"/>
      <c r="D327" s="2"/>
      <c r="E327" s="2"/>
      <c r="F327" s="2"/>
      <c r="G327" s="173"/>
      <c r="H327" s="174"/>
      <c r="I327" s="173" t="e">
        <f>Tabela22[[#This Row],[PESO TOTAL]]/Tabela22[[#This Row],[QUANTIDADE]]</f>
        <v>#DIV/0!</v>
      </c>
      <c r="J327" s="2"/>
      <c r="K327" s="193"/>
      <c r="L327" s="8"/>
      <c r="M327" s="8"/>
      <c r="N327" s="8"/>
      <c r="O327" s="194"/>
      <c r="P327" s="195"/>
    </row>
    <row r="328" spans="1:16">
      <c r="A328" s="3"/>
      <c r="B328" s="3" t="str">
        <f>TEXT(Tabela22[[#This Row],[DATA]],"mmmm")</f>
        <v>janeiro</v>
      </c>
      <c r="C328" s="2"/>
      <c r="D328" s="2"/>
      <c r="E328" s="2"/>
      <c r="F328" s="2"/>
      <c r="G328" s="173"/>
      <c r="H328" s="174"/>
      <c r="I328" s="173" t="e">
        <f>Tabela22[[#This Row],[PESO TOTAL]]/Tabela22[[#This Row],[QUANTIDADE]]</f>
        <v>#DIV/0!</v>
      </c>
      <c r="J328" s="2"/>
      <c r="K328" s="193"/>
      <c r="L328" s="8"/>
      <c r="M328" s="8"/>
      <c r="N328" s="8"/>
      <c r="O328" s="194"/>
      <c r="P328" s="195"/>
    </row>
    <row r="329" spans="1:16">
      <c r="A329" s="3"/>
      <c r="B329" s="3" t="str">
        <f>TEXT(Tabela22[[#This Row],[DATA]],"mmmm")</f>
        <v>janeiro</v>
      </c>
      <c r="C329" s="2"/>
      <c r="D329" s="2"/>
      <c r="E329" s="2"/>
      <c r="F329" s="2"/>
      <c r="G329" s="173"/>
      <c r="H329" s="174"/>
      <c r="I329" s="173" t="e">
        <f>Tabela22[[#This Row],[PESO TOTAL]]/Tabela22[[#This Row],[QUANTIDADE]]</f>
        <v>#DIV/0!</v>
      </c>
      <c r="J329" s="2"/>
      <c r="K329" s="193"/>
      <c r="L329" s="8"/>
      <c r="M329" s="8"/>
      <c r="N329" s="8"/>
      <c r="O329" s="194"/>
      <c r="P329" s="195"/>
    </row>
    <row r="330" spans="1:16">
      <c r="A330" s="3"/>
      <c r="B330" s="3" t="str">
        <f>TEXT(Tabela22[[#This Row],[DATA]],"mmmm")</f>
        <v>janeiro</v>
      </c>
      <c r="C330" s="2"/>
      <c r="D330" s="2"/>
      <c r="E330" s="2"/>
      <c r="F330" s="2"/>
      <c r="G330" s="173"/>
      <c r="H330" s="174"/>
      <c r="I330" s="173" t="e">
        <f>Tabela22[[#This Row],[PESO TOTAL]]/Tabela22[[#This Row],[QUANTIDADE]]</f>
        <v>#DIV/0!</v>
      </c>
      <c r="J330" s="2"/>
      <c r="K330" s="193"/>
      <c r="L330" s="8"/>
      <c r="M330" s="8"/>
      <c r="N330" s="8"/>
      <c r="O330" s="194"/>
      <c r="P330" s="195"/>
    </row>
    <row r="331" spans="1:16">
      <c r="A331" s="3"/>
      <c r="B331" s="3" t="str">
        <f>TEXT(Tabela22[[#This Row],[DATA]],"mmmm")</f>
        <v>janeiro</v>
      </c>
      <c r="C331" s="2"/>
      <c r="D331" s="2"/>
      <c r="E331" s="2"/>
      <c r="F331" s="2"/>
      <c r="G331" s="173"/>
      <c r="H331" s="174"/>
      <c r="I331" s="173" t="e">
        <f>Tabela22[[#This Row],[PESO TOTAL]]/Tabela22[[#This Row],[QUANTIDADE]]</f>
        <v>#DIV/0!</v>
      </c>
      <c r="J331" s="2"/>
      <c r="K331" s="193"/>
      <c r="L331" s="8"/>
      <c r="M331" s="8"/>
      <c r="N331" s="8"/>
      <c r="O331" s="194"/>
      <c r="P331" s="195"/>
    </row>
    <row r="332" spans="1:16">
      <c r="A332" s="3"/>
      <c r="B332" s="3" t="str">
        <f>TEXT(Tabela22[[#This Row],[DATA]],"mmmm")</f>
        <v>janeiro</v>
      </c>
      <c r="C332" s="2"/>
      <c r="D332" s="2"/>
      <c r="E332" s="2"/>
      <c r="F332" s="2"/>
      <c r="G332" s="173"/>
      <c r="H332" s="174"/>
      <c r="I332" s="173" t="e">
        <f>Tabela22[[#This Row],[PESO TOTAL]]/Tabela22[[#This Row],[QUANTIDADE]]</f>
        <v>#DIV/0!</v>
      </c>
      <c r="J332" s="2"/>
      <c r="K332" s="193"/>
      <c r="L332" s="8"/>
      <c r="M332" s="8"/>
      <c r="N332" s="8"/>
      <c r="O332" s="194"/>
      <c r="P332" s="195"/>
    </row>
    <row r="333" spans="1:16">
      <c r="A333" s="3"/>
      <c r="B333" s="3" t="str">
        <f>TEXT(Tabela22[[#This Row],[DATA]],"mmmm")</f>
        <v>janeiro</v>
      </c>
      <c r="C333" s="2"/>
      <c r="D333" s="2"/>
      <c r="E333" s="2"/>
      <c r="F333" s="2"/>
      <c r="G333" s="173"/>
      <c r="H333" s="174"/>
      <c r="I333" s="173" t="e">
        <f>Tabela22[[#This Row],[PESO TOTAL]]/Tabela22[[#This Row],[QUANTIDADE]]</f>
        <v>#DIV/0!</v>
      </c>
      <c r="J333" s="2"/>
      <c r="K333" s="193"/>
      <c r="L333" s="8"/>
      <c r="M333" s="8"/>
      <c r="N333" s="8"/>
      <c r="O333" s="194"/>
      <c r="P333" s="195"/>
    </row>
    <row r="334" spans="1:16">
      <c r="A334" s="3"/>
      <c r="B334" s="3" t="str">
        <f>TEXT(Tabela22[[#This Row],[DATA]],"mmmm")</f>
        <v>janeiro</v>
      </c>
      <c r="C334" s="2"/>
      <c r="D334" s="2"/>
      <c r="E334" s="2"/>
      <c r="F334" s="2"/>
      <c r="G334" s="173"/>
      <c r="H334" s="174"/>
      <c r="I334" s="173" t="e">
        <f>Tabela22[[#This Row],[PESO TOTAL]]/Tabela22[[#This Row],[QUANTIDADE]]</f>
        <v>#DIV/0!</v>
      </c>
      <c r="J334" s="2"/>
      <c r="K334" s="193"/>
      <c r="L334" s="8"/>
      <c r="M334" s="8"/>
      <c r="N334" s="8"/>
      <c r="O334" s="194"/>
      <c r="P334" s="195"/>
    </row>
    <row r="335" spans="1:16">
      <c r="A335" s="3"/>
      <c r="B335" s="3" t="str">
        <f>TEXT(Tabela22[[#This Row],[DATA]],"mmmm")</f>
        <v>janeiro</v>
      </c>
      <c r="C335" s="2"/>
      <c r="D335" s="2"/>
      <c r="E335" s="2"/>
      <c r="F335" s="2"/>
      <c r="G335" s="173"/>
      <c r="H335" s="174"/>
      <c r="I335" s="173" t="e">
        <f>Tabela22[[#This Row],[PESO TOTAL]]/Tabela22[[#This Row],[QUANTIDADE]]</f>
        <v>#DIV/0!</v>
      </c>
      <c r="J335" s="2"/>
      <c r="K335" s="193"/>
      <c r="L335" s="8"/>
      <c r="M335" s="8"/>
      <c r="N335" s="8"/>
      <c r="O335" s="194"/>
      <c r="P335" s="195"/>
    </row>
    <row r="336" spans="1:16">
      <c r="A336" s="3"/>
      <c r="B336" s="3" t="str">
        <f>TEXT(Tabela22[[#This Row],[DATA]],"mmmm")</f>
        <v>janeiro</v>
      </c>
      <c r="C336" s="2"/>
      <c r="D336" s="2"/>
      <c r="E336" s="2"/>
      <c r="F336" s="2"/>
      <c r="G336" s="173"/>
      <c r="H336" s="174"/>
      <c r="I336" s="173" t="e">
        <f>Tabela22[[#This Row],[PESO TOTAL]]/Tabela22[[#This Row],[QUANTIDADE]]</f>
        <v>#DIV/0!</v>
      </c>
      <c r="J336" s="2"/>
      <c r="K336" s="193"/>
      <c r="L336" s="8"/>
      <c r="M336" s="8"/>
      <c r="N336" s="8"/>
      <c r="O336" s="194"/>
      <c r="P336" s="195"/>
    </row>
    <row r="337" spans="1:16">
      <c r="A337" s="3"/>
      <c r="B337" s="3" t="str">
        <f>TEXT(Tabela22[[#This Row],[DATA]],"mmmm")</f>
        <v>janeiro</v>
      </c>
      <c r="C337" s="2"/>
      <c r="D337" s="2"/>
      <c r="E337" s="2"/>
      <c r="F337" s="2"/>
      <c r="G337" s="173"/>
      <c r="H337" s="174"/>
      <c r="I337" s="173" t="e">
        <f>Tabela22[[#This Row],[PESO TOTAL]]/Tabela22[[#This Row],[QUANTIDADE]]</f>
        <v>#DIV/0!</v>
      </c>
      <c r="J337" s="2"/>
      <c r="K337" s="193"/>
      <c r="L337" s="8"/>
      <c r="M337" s="8"/>
      <c r="N337" s="8"/>
      <c r="O337" s="194"/>
      <c r="P337" s="195"/>
    </row>
    <row r="338" spans="1:16">
      <c r="A338" s="3"/>
      <c r="B338" s="3" t="str">
        <f>TEXT(Tabela22[[#This Row],[DATA]],"mmmm")</f>
        <v>janeiro</v>
      </c>
      <c r="C338" s="2"/>
      <c r="D338" s="2"/>
      <c r="E338" s="2"/>
      <c r="F338" s="2"/>
      <c r="G338" s="173"/>
      <c r="H338" s="174"/>
      <c r="I338" s="173" t="e">
        <f>Tabela22[[#This Row],[PESO TOTAL]]/Tabela22[[#This Row],[QUANTIDADE]]</f>
        <v>#DIV/0!</v>
      </c>
      <c r="J338" s="2"/>
      <c r="K338" s="193"/>
      <c r="L338" s="8"/>
      <c r="M338" s="8"/>
      <c r="N338" s="8"/>
      <c r="O338" s="194"/>
      <c r="P338" s="195"/>
    </row>
    <row r="339" spans="1:16">
      <c r="A339" s="3"/>
      <c r="B339" s="3" t="str">
        <f>TEXT(Tabela22[[#This Row],[DATA]],"mmmm")</f>
        <v>janeiro</v>
      </c>
      <c r="C339" s="2"/>
      <c r="D339" s="2"/>
      <c r="E339" s="2"/>
      <c r="F339" s="2"/>
      <c r="G339" s="173"/>
      <c r="H339" s="174"/>
      <c r="I339" s="173" t="e">
        <f>Tabela22[[#This Row],[PESO TOTAL]]/Tabela22[[#This Row],[QUANTIDADE]]</f>
        <v>#DIV/0!</v>
      </c>
      <c r="J339" s="2"/>
      <c r="K339" s="193"/>
      <c r="L339" s="8"/>
      <c r="M339" s="8"/>
      <c r="N339" s="8"/>
      <c r="O339" s="194"/>
      <c r="P339" s="195"/>
    </row>
    <row r="340" spans="1:16">
      <c r="A340" s="3"/>
      <c r="B340" s="3" t="str">
        <f>TEXT(Tabela22[[#This Row],[DATA]],"mmmm")</f>
        <v>janeiro</v>
      </c>
      <c r="C340" s="2"/>
      <c r="D340" s="2"/>
      <c r="E340" s="2"/>
      <c r="F340" s="2"/>
      <c r="G340" s="173"/>
      <c r="H340" s="174"/>
      <c r="I340" s="173" t="e">
        <f>Tabela22[[#This Row],[PESO TOTAL]]/Tabela22[[#This Row],[QUANTIDADE]]</f>
        <v>#DIV/0!</v>
      </c>
      <c r="J340" s="2"/>
      <c r="K340" s="193"/>
      <c r="L340" s="8"/>
      <c r="M340" s="8"/>
      <c r="N340" s="8"/>
      <c r="O340" s="194"/>
      <c r="P340" s="195"/>
    </row>
    <row r="341" spans="1:16">
      <c r="A341" s="3"/>
      <c r="B341" s="3" t="str">
        <f>TEXT(Tabela22[[#This Row],[DATA]],"mmmm")</f>
        <v>janeiro</v>
      </c>
      <c r="C341" s="2"/>
      <c r="D341" s="2"/>
      <c r="E341" s="2"/>
      <c r="F341" s="2"/>
      <c r="G341" s="173"/>
      <c r="H341" s="174"/>
      <c r="I341" s="173" t="e">
        <f>Tabela22[[#This Row],[PESO TOTAL]]/Tabela22[[#This Row],[QUANTIDADE]]</f>
        <v>#DIV/0!</v>
      </c>
      <c r="J341" s="2"/>
      <c r="K341" s="193"/>
      <c r="L341" s="8"/>
      <c r="M341" s="8"/>
      <c r="N341" s="8"/>
      <c r="O341" s="194"/>
      <c r="P341" s="195"/>
    </row>
    <row r="342" spans="1:16">
      <c r="A342" s="3"/>
      <c r="B342" s="3" t="str">
        <f>TEXT(Tabela22[[#This Row],[DATA]],"mmmm")</f>
        <v>janeiro</v>
      </c>
      <c r="C342" s="2"/>
      <c r="D342" s="2"/>
      <c r="E342" s="2"/>
      <c r="F342" s="2"/>
      <c r="G342" s="173"/>
      <c r="H342" s="174"/>
      <c r="I342" s="173" t="e">
        <f>Tabela22[[#This Row],[PESO TOTAL]]/Tabela22[[#This Row],[QUANTIDADE]]</f>
        <v>#DIV/0!</v>
      </c>
      <c r="J342" s="2"/>
      <c r="K342" s="193"/>
      <c r="L342" s="8"/>
      <c r="M342" s="8"/>
      <c r="N342" s="8"/>
      <c r="O342" s="194"/>
      <c r="P342" s="195"/>
    </row>
    <row r="343" spans="1:16">
      <c r="A343" s="3"/>
      <c r="B343" s="3" t="str">
        <f>TEXT(Tabela22[[#This Row],[DATA]],"mmmm")</f>
        <v>janeiro</v>
      </c>
      <c r="C343" s="2"/>
      <c r="D343" s="2"/>
      <c r="E343" s="2"/>
      <c r="F343" s="2"/>
      <c r="G343" s="173"/>
      <c r="H343" s="174"/>
      <c r="I343" s="173" t="e">
        <f>Tabela22[[#This Row],[PESO TOTAL]]/Tabela22[[#This Row],[QUANTIDADE]]</f>
        <v>#DIV/0!</v>
      </c>
      <c r="J343" s="2"/>
      <c r="K343" s="193"/>
      <c r="L343" s="8"/>
      <c r="M343" s="8"/>
      <c r="N343" s="8"/>
      <c r="O343" s="194"/>
      <c r="P343" s="195"/>
    </row>
    <row r="344" spans="1:16">
      <c r="A344" s="3"/>
      <c r="B344" s="3" t="str">
        <f>TEXT(Tabela22[[#This Row],[DATA]],"mmmm")</f>
        <v>janeiro</v>
      </c>
      <c r="C344" s="2"/>
      <c r="D344" s="2"/>
      <c r="E344" s="2"/>
      <c r="F344" s="2"/>
      <c r="G344" s="173"/>
      <c r="H344" s="174"/>
      <c r="I344" s="173" t="e">
        <f>Tabela22[[#This Row],[PESO TOTAL]]/Tabela22[[#This Row],[QUANTIDADE]]</f>
        <v>#DIV/0!</v>
      </c>
      <c r="J344" s="2"/>
      <c r="K344" s="193"/>
      <c r="L344" s="8"/>
      <c r="M344" s="8"/>
      <c r="N344" s="8"/>
      <c r="O344" s="194"/>
      <c r="P344" s="195"/>
    </row>
    <row r="345" spans="1:16">
      <c r="A345" s="3"/>
      <c r="B345" s="3" t="str">
        <f>TEXT(Tabela22[[#This Row],[DATA]],"mmmm")</f>
        <v>janeiro</v>
      </c>
      <c r="C345" s="2"/>
      <c r="D345" s="2"/>
      <c r="E345" s="2"/>
      <c r="F345" s="2"/>
      <c r="G345" s="173"/>
      <c r="H345" s="174"/>
      <c r="I345" s="173" t="e">
        <f>Tabela22[[#This Row],[PESO TOTAL]]/Tabela22[[#This Row],[QUANTIDADE]]</f>
        <v>#DIV/0!</v>
      </c>
      <c r="J345" s="2"/>
      <c r="K345" s="193"/>
      <c r="L345" s="8"/>
      <c r="M345" s="8"/>
      <c r="N345" s="8"/>
      <c r="O345" s="194"/>
      <c r="P345" s="195"/>
    </row>
    <row r="346" spans="1:16">
      <c r="A346" s="3"/>
      <c r="B346" s="3" t="str">
        <f>TEXT(Tabela22[[#This Row],[DATA]],"mmmm")</f>
        <v>janeiro</v>
      </c>
      <c r="C346" s="2"/>
      <c r="D346" s="2"/>
      <c r="E346" s="2"/>
      <c r="F346" s="2"/>
      <c r="G346" s="173"/>
      <c r="H346" s="174"/>
      <c r="I346" s="173" t="e">
        <f>Tabela22[[#This Row],[PESO TOTAL]]/Tabela22[[#This Row],[QUANTIDADE]]</f>
        <v>#DIV/0!</v>
      </c>
      <c r="J346" s="2"/>
      <c r="K346" s="193"/>
      <c r="L346" s="8"/>
      <c r="M346" s="8"/>
      <c r="N346" s="8"/>
      <c r="O346" s="194"/>
      <c r="P346" s="195"/>
    </row>
    <row r="347" spans="1:16">
      <c r="A347" s="3"/>
      <c r="B347" s="3" t="str">
        <f>TEXT(Tabela22[[#This Row],[DATA]],"mmmm")</f>
        <v>janeiro</v>
      </c>
      <c r="C347" s="2"/>
      <c r="D347" s="2"/>
      <c r="E347" s="2"/>
      <c r="F347" s="2"/>
      <c r="G347" s="173"/>
      <c r="H347" s="174"/>
      <c r="I347" s="173" t="e">
        <f>Tabela22[[#This Row],[PESO TOTAL]]/Tabela22[[#This Row],[QUANTIDADE]]</f>
        <v>#DIV/0!</v>
      </c>
      <c r="J347" s="2"/>
      <c r="K347" s="193"/>
      <c r="L347" s="8"/>
      <c r="M347" s="8"/>
      <c r="N347" s="8"/>
      <c r="O347" s="194"/>
      <c r="P347" s="195"/>
    </row>
    <row r="348" spans="1:16">
      <c r="A348" s="3"/>
      <c r="B348" s="3" t="str">
        <f>TEXT(Tabela22[[#This Row],[DATA]],"mmmm")</f>
        <v>janeiro</v>
      </c>
      <c r="C348" s="2"/>
      <c r="D348" s="2"/>
      <c r="E348" s="2"/>
      <c r="F348" s="2"/>
      <c r="G348" s="173"/>
      <c r="H348" s="174"/>
      <c r="I348" s="173" t="e">
        <f>Tabela22[[#This Row],[PESO TOTAL]]/Tabela22[[#This Row],[QUANTIDADE]]</f>
        <v>#DIV/0!</v>
      </c>
      <c r="J348" s="2"/>
      <c r="K348" s="193"/>
      <c r="L348" s="8"/>
      <c r="M348" s="8"/>
      <c r="N348" s="8"/>
      <c r="O348" s="194"/>
      <c r="P348" s="195"/>
    </row>
    <row r="349" spans="1:16">
      <c r="A349" s="3"/>
      <c r="B349" s="3" t="str">
        <f>TEXT(Tabela22[[#This Row],[DATA]],"mmmm")</f>
        <v>janeiro</v>
      </c>
      <c r="C349" s="2"/>
      <c r="D349" s="2"/>
      <c r="E349" s="2"/>
      <c r="F349" s="2"/>
      <c r="G349" s="173"/>
      <c r="H349" s="174"/>
      <c r="I349" s="173" t="e">
        <f>Tabela22[[#This Row],[PESO TOTAL]]/Tabela22[[#This Row],[QUANTIDADE]]</f>
        <v>#DIV/0!</v>
      </c>
      <c r="J349" s="2"/>
      <c r="K349" s="193"/>
      <c r="L349" s="8"/>
      <c r="M349" s="8"/>
      <c r="N349" s="8"/>
      <c r="O349" s="194"/>
      <c r="P349" s="195"/>
    </row>
    <row r="350" spans="1:16">
      <c r="A350" s="3"/>
      <c r="B350" s="3" t="str">
        <f>TEXT(Tabela22[[#This Row],[DATA]],"mmmm")</f>
        <v>janeiro</v>
      </c>
      <c r="C350" s="2"/>
      <c r="D350" s="2"/>
      <c r="E350" s="2"/>
      <c r="F350" s="2"/>
      <c r="G350" s="173"/>
      <c r="H350" s="174"/>
      <c r="I350" s="173" t="e">
        <f>Tabela22[[#This Row],[PESO TOTAL]]/Tabela22[[#This Row],[QUANTIDADE]]</f>
        <v>#DIV/0!</v>
      </c>
      <c r="J350" s="2"/>
      <c r="K350" s="193"/>
      <c r="L350" s="8"/>
      <c r="M350" s="8"/>
      <c r="N350" s="8"/>
      <c r="O350" s="194"/>
      <c r="P350" s="195"/>
    </row>
    <row r="351" spans="1:16">
      <c r="A351" s="3"/>
      <c r="B351" s="3" t="str">
        <f>TEXT(Tabela22[[#This Row],[DATA]],"mmmm")</f>
        <v>janeiro</v>
      </c>
      <c r="C351" s="2"/>
      <c r="D351" s="2"/>
      <c r="E351" s="2"/>
      <c r="F351" s="2"/>
      <c r="G351" s="173"/>
      <c r="H351" s="174"/>
      <c r="I351" s="173" t="e">
        <f>Tabela22[[#This Row],[PESO TOTAL]]/Tabela22[[#This Row],[QUANTIDADE]]</f>
        <v>#DIV/0!</v>
      </c>
      <c r="J351" s="2"/>
      <c r="K351" s="193"/>
      <c r="L351" s="8"/>
      <c r="M351" s="8"/>
      <c r="N351" s="8"/>
      <c r="O351" s="194"/>
      <c r="P351" s="195"/>
    </row>
    <row r="352" spans="1:16">
      <c r="A352" s="3"/>
      <c r="B352" s="3" t="str">
        <f>TEXT(Tabela22[[#This Row],[DATA]],"mmmm")</f>
        <v>janeiro</v>
      </c>
      <c r="C352" s="2"/>
      <c r="D352" s="2"/>
      <c r="E352" s="2"/>
      <c r="F352" s="2"/>
      <c r="G352" s="173"/>
      <c r="H352" s="174"/>
      <c r="I352" s="173" t="e">
        <f>Tabela22[[#This Row],[PESO TOTAL]]/Tabela22[[#This Row],[QUANTIDADE]]</f>
        <v>#DIV/0!</v>
      </c>
      <c r="J352" s="2"/>
      <c r="K352" s="193"/>
      <c r="L352" s="8"/>
      <c r="M352" s="8"/>
      <c r="N352" s="8"/>
      <c r="O352" s="194"/>
      <c r="P352" s="195"/>
    </row>
    <row r="353" spans="1:16">
      <c r="A353" s="3"/>
      <c r="B353" s="3" t="str">
        <f>TEXT(Tabela22[[#This Row],[DATA]],"mmmm")</f>
        <v>janeiro</v>
      </c>
      <c r="C353" s="2"/>
      <c r="D353" s="2"/>
      <c r="E353" s="2"/>
      <c r="F353" s="2"/>
      <c r="G353" s="173"/>
      <c r="H353" s="174"/>
      <c r="I353" s="173" t="e">
        <f>Tabela22[[#This Row],[PESO TOTAL]]/Tabela22[[#This Row],[QUANTIDADE]]</f>
        <v>#DIV/0!</v>
      </c>
      <c r="J353" s="2"/>
      <c r="K353" s="193"/>
      <c r="L353" s="8"/>
      <c r="M353" s="8"/>
      <c r="N353" s="8"/>
      <c r="O353" s="194"/>
      <c r="P353" s="195"/>
    </row>
    <row r="354" spans="1:16">
      <c r="A354" s="3"/>
      <c r="B354" s="3" t="str">
        <f>TEXT(Tabela22[[#This Row],[DATA]],"mmmm")</f>
        <v>janeiro</v>
      </c>
      <c r="C354" s="2"/>
      <c r="D354" s="2"/>
      <c r="E354" s="2"/>
      <c r="F354" s="2"/>
      <c r="G354" s="173"/>
      <c r="H354" s="174"/>
      <c r="I354" s="173" t="e">
        <f>Tabela22[[#This Row],[PESO TOTAL]]/Tabela22[[#This Row],[QUANTIDADE]]</f>
        <v>#DIV/0!</v>
      </c>
      <c r="J354" s="2"/>
      <c r="K354" s="193"/>
      <c r="L354" s="8"/>
      <c r="M354" s="8"/>
      <c r="N354" s="8"/>
      <c r="O354" s="194"/>
      <c r="P354" s="195"/>
    </row>
    <row r="355" spans="1:16">
      <c r="A355" s="3"/>
      <c r="B355" s="3" t="str">
        <f>TEXT(Tabela22[[#This Row],[DATA]],"mmmm")</f>
        <v>janeiro</v>
      </c>
      <c r="C355" s="2"/>
      <c r="D355" s="2"/>
      <c r="E355" s="2"/>
      <c r="F355" s="2"/>
      <c r="G355" s="173"/>
      <c r="H355" s="174"/>
      <c r="I355" s="173" t="e">
        <f>Tabela22[[#This Row],[PESO TOTAL]]/Tabela22[[#This Row],[QUANTIDADE]]</f>
        <v>#DIV/0!</v>
      </c>
      <c r="J355" s="2"/>
      <c r="K355" s="193"/>
      <c r="L355" s="8"/>
      <c r="M355" s="8"/>
      <c r="N355" s="8"/>
      <c r="O355" s="194"/>
      <c r="P355" s="195"/>
    </row>
    <row r="356" spans="1:16">
      <c r="A356" s="3"/>
      <c r="B356" s="3" t="str">
        <f>TEXT(Tabela22[[#This Row],[DATA]],"mmmm")</f>
        <v>janeiro</v>
      </c>
      <c r="C356" s="2"/>
      <c r="D356" s="2"/>
      <c r="E356" s="2"/>
      <c r="F356" s="2"/>
      <c r="G356" s="173"/>
      <c r="H356" s="174"/>
      <c r="I356" s="173" t="e">
        <f>Tabela22[[#This Row],[PESO TOTAL]]/Tabela22[[#This Row],[QUANTIDADE]]</f>
        <v>#DIV/0!</v>
      </c>
      <c r="J356" s="2"/>
      <c r="K356" s="193"/>
      <c r="L356" s="8"/>
      <c r="M356" s="8"/>
      <c r="N356" s="8"/>
      <c r="O356" s="194"/>
      <c r="P356" s="195"/>
    </row>
    <row r="357" spans="1:16">
      <c r="A357" s="3"/>
      <c r="B357" s="3" t="str">
        <f>TEXT(Tabela22[[#This Row],[DATA]],"mmmm")</f>
        <v>janeiro</v>
      </c>
      <c r="C357" s="2"/>
      <c r="D357" s="2"/>
      <c r="E357" s="2"/>
      <c r="F357" s="2"/>
      <c r="G357" s="173"/>
      <c r="H357" s="174"/>
      <c r="I357" s="173" t="e">
        <f>Tabela22[[#This Row],[PESO TOTAL]]/Tabela22[[#This Row],[QUANTIDADE]]</f>
        <v>#DIV/0!</v>
      </c>
      <c r="J357" s="2"/>
      <c r="K357" s="193"/>
      <c r="L357" s="8"/>
      <c r="M357" s="8"/>
      <c r="N357" s="8"/>
      <c r="O357" s="194"/>
      <c r="P357" s="195"/>
    </row>
    <row r="358" spans="1:16">
      <c r="A358" s="3"/>
      <c r="B358" s="3" t="str">
        <f>TEXT(Tabela22[[#This Row],[DATA]],"mmmm")</f>
        <v>janeiro</v>
      </c>
      <c r="C358" s="2"/>
      <c r="D358" s="2"/>
      <c r="E358" s="2"/>
      <c r="F358" s="2"/>
      <c r="G358" s="173"/>
      <c r="H358" s="174"/>
      <c r="I358" s="173" t="e">
        <f>Tabela22[[#This Row],[PESO TOTAL]]/Tabela22[[#This Row],[QUANTIDADE]]</f>
        <v>#DIV/0!</v>
      </c>
      <c r="J358" s="2"/>
      <c r="K358" s="193"/>
      <c r="L358" s="8"/>
      <c r="M358" s="8"/>
      <c r="N358" s="8"/>
      <c r="O358" s="194"/>
      <c r="P358" s="195"/>
    </row>
    <row r="359" spans="1:16">
      <c r="A359" s="3"/>
      <c r="B359" s="3" t="str">
        <f>TEXT(Tabela22[[#This Row],[DATA]],"mmmm")</f>
        <v>janeiro</v>
      </c>
      <c r="C359" s="2"/>
      <c r="D359" s="2"/>
      <c r="E359" s="2"/>
      <c r="F359" s="2"/>
      <c r="G359" s="173"/>
      <c r="H359" s="174"/>
      <c r="I359" s="173" t="e">
        <f>Tabela22[[#This Row],[PESO TOTAL]]/Tabela22[[#This Row],[QUANTIDADE]]</f>
        <v>#DIV/0!</v>
      </c>
      <c r="J359" s="2"/>
      <c r="K359" s="193"/>
      <c r="L359" s="8"/>
      <c r="M359" s="8"/>
      <c r="N359" s="8"/>
      <c r="O359" s="194"/>
      <c r="P359" s="195"/>
    </row>
    <row r="360" spans="1:16">
      <c r="A360" s="3"/>
      <c r="B360" s="3" t="str">
        <f>TEXT(Tabela22[[#This Row],[DATA]],"mmmm")</f>
        <v>janeiro</v>
      </c>
      <c r="C360" s="2"/>
      <c r="D360" s="2"/>
      <c r="E360" s="2"/>
      <c r="F360" s="2"/>
      <c r="G360" s="173"/>
      <c r="H360" s="174"/>
      <c r="I360" s="173" t="e">
        <f>Tabela22[[#This Row],[PESO TOTAL]]/Tabela22[[#This Row],[QUANTIDADE]]</f>
        <v>#DIV/0!</v>
      </c>
      <c r="J360" s="2"/>
      <c r="K360" s="193"/>
      <c r="L360" s="8"/>
      <c r="M360" s="8"/>
      <c r="N360" s="8"/>
      <c r="O360" s="194"/>
      <c r="P360" s="195"/>
    </row>
    <row r="361" spans="1:16">
      <c r="A361" s="3"/>
      <c r="B361" s="3" t="str">
        <f>TEXT(Tabela22[[#This Row],[DATA]],"mmmm")</f>
        <v>janeiro</v>
      </c>
      <c r="C361" s="2"/>
      <c r="D361" s="2"/>
      <c r="E361" s="2"/>
      <c r="F361" s="2"/>
      <c r="G361" s="173"/>
      <c r="H361" s="174"/>
      <c r="I361" s="173" t="e">
        <f>Tabela22[[#This Row],[PESO TOTAL]]/Tabela22[[#This Row],[QUANTIDADE]]</f>
        <v>#DIV/0!</v>
      </c>
      <c r="J361" s="2"/>
      <c r="K361" s="193"/>
      <c r="L361" s="8"/>
      <c r="M361" s="8"/>
      <c r="N361" s="8"/>
      <c r="O361" s="194"/>
      <c r="P361" s="195"/>
    </row>
    <row r="362" spans="1:16">
      <c r="A362" s="3"/>
      <c r="B362" s="3" t="str">
        <f>TEXT(Tabela22[[#This Row],[DATA]],"mmmm")</f>
        <v>janeiro</v>
      </c>
      <c r="C362" s="2"/>
      <c r="D362" s="2"/>
      <c r="E362" s="2"/>
      <c r="F362" s="2"/>
      <c r="G362" s="173"/>
      <c r="H362" s="174"/>
      <c r="I362" s="173" t="e">
        <f>Tabela22[[#This Row],[PESO TOTAL]]/Tabela22[[#This Row],[QUANTIDADE]]</f>
        <v>#DIV/0!</v>
      </c>
      <c r="J362" s="2"/>
      <c r="K362" s="193"/>
      <c r="L362" s="8"/>
      <c r="M362" s="8"/>
      <c r="N362" s="8"/>
      <c r="O362" s="194"/>
      <c r="P362" s="195"/>
    </row>
    <row r="363" spans="1:16">
      <c r="A363" s="3"/>
      <c r="B363" s="3" t="str">
        <f>TEXT(Tabela22[[#This Row],[DATA]],"mmmm")</f>
        <v>janeiro</v>
      </c>
      <c r="C363" s="2"/>
      <c r="D363" s="2"/>
      <c r="E363" s="2"/>
      <c r="F363" s="2"/>
      <c r="G363" s="173"/>
      <c r="H363" s="174"/>
      <c r="I363" s="173" t="e">
        <f>Tabela22[[#This Row],[PESO TOTAL]]/Tabela22[[#This Row],[QUANTIDADE]]</f>
        <v>#DIV/0!</v>
      </c>
      <c r="J363" s="2"/>
      <c r="K363" s="193"/>
      <c r="L363" s="8"/>
      <c r="M363" s="8"/>
      <c r="N363" s="8"/>
      <c r="O363" s="194"/>
      <c r="P363" s="195"/>
    </row>
    <row r="364" spans="1:16">
      <c r="A364" s="3"/>
      <c r="B364" s="3" t="str">
        <f>TEXT(Tabela22[[#This Row],[DATA]],"mmmm")</f>
        <v>janeiro</v>
      </c>
      <c r="C364" s="2"/>
      <c r="D364" s="2"/>
      <c r="E364" s="2"/>
      <c r="F364" s="2"/>
      <c r="G364" s="173"/>
      <c r="H364" s="174"/>
      <c r="I364" s="173" t="e">
        <f>Tabela22[[#This Row],[PESO TOTAL]]/Tabela22[[#This Row],[QUANTIDADE]]</f>
        <v>#DIV/0!</v>
      </c>
      <c r="J364" s="2"/>
      <c r="K364" s="193"/>
      <c r="L364" s="8"/>
      <c r="M364" s="8"/>
      <c r="N364" s="8"/>
      <c r="O364" s="194"/>
      <c r="P364" s="195"/>
    </row>
    <row r="365" spans="1:16">
      <c r="A365" s="3"/>
      <c r="B365" s="3" t="str">
        <f>TEXT(Tabela22[[#This Row],[DATA]],"mmmm")</f>
        <v>janeiro</v>
      </c>
      <c r="C365" s="2"/>
      <c r="D365" s="2"/>
      <c r="E365" s="2"/>
      <c r="F365" s="2"/>
      <c r="G365" s="173"/>
      <c r="H365" s="174"/>
      <c r="I365" s="173" t="e">
        <f>Tabela22[[#This Row],[PESO TOTAL]]/Tabela22[[#This Row],[QUANTIDADE]]</f>
        <v>#DIV/0!</v>
      </c>
      <c r="J365" s="2"/>
      <c r="K365" s="193"/>
      <c r="L365" s="8"/>
      <c r="M365" s="8"/>
      <c r="N365" s="8"/>
      <c r="O365" s="194"/>
      <c r="P365" s="195"/>
    </row>
    <row r="366" spans="1:16">
      <c r="A366" s="3"/>
      <c r="B366" s="3" t="str">
        <f>TEXT(Tabela22[[#This Row],[DATA]],"mmmm")</f>
        <v>janeiro</v>
      </c>
      <c r="C366" s="2"/>
      <c r="D366" s="2"/>
      <c r="E366" s="2"/>
      <c r="F366" s="2"/>
      <c r="G366" s="173"/>
      <c r="H366" s="174"/>
      <c r="I366" s="173" t="e">
        <f>Tabela22[[#This Row],[PESO TOTAL]]/Tabela22[[#This Row],[QUANTIDADE]]</f>
        <v>#DIV/0!</v>
      </c>
      <c r="J366" s="2"/>
      <c r="K366" s="193"/>
      <c r="L366" s="8"/>
      <c r="M366" s="8"/>
      <c r="N366" s="8"/>
      <c r="O366" s="194"/>
      <c r="P366" s="195"/>
    </row>
    <row r="367" spans="1:16">
      <c r="A367" s="3"/>
      <c r="B367" s="3" t="str">
        <f>TEXT(Tabela22[[#This Row],[DATA]],"mmmm")</f>
        <v>janeiro</v>
      </c>
      <c r="C367" s="2"/>
      <c r="D367" s="2"/>
      <c r="E367" s="2"/>
      <c r="F367" s="2"/>
      <c r="G367" s="173"/>
      <c r="H367" s="174"/>
      <c r="I367" s="173" t="e">
        <f>Tabela22[[#This Row],[PESO TOTAL]]/Tabela22[[#This Row],[QUANTIDADE]]</f>
        <v>#DIV/0!</v>
      </c>
      <c r="J367" s="2"/>
      <c r="K367" s="193"/>
      <c r="L367" s="8"/>
      <c r="M367" s="8"/>
      <c r="N367" s="8"/>
      <c r="O367" s="194"/>
      <c r="P367" s="195"/>
    </row>
    <row r="368" spans="1:16">
      <c r="A368" s="3"/>
      <c r="B368" s="3" t="str">
        <f>TEXT(Tabela22[[#This Row],[DATA]],"mmmm")</f>
        <v>janeiro</v>
      </c>
      <c r="C368" s="2"/>
      <c r="D368" s="2"/>
      <c r="E368" s="2"/>
      <c r="F368" s="2"/>
      <c r="G368" s="173"/>
      <c r="H368" s="174"/>
      <c r="I368" s="173" t="e">
        <f>Tabela22[[#This Row],[PESO TOTAL]]/Tabela22[[#This Row],[QUANTIDADE]]</f>
        <v>#DIV/0!</v>
      </c>
      <c r="J368" s="2"/>
      <c r="K368" s="193"/>
      <c r="L368" s="8"/>
      <c r="M368" s="8"/>
      <c r="N368" s="8"/>
      <c r="O368" s="194"/>
      <c r="P368" s="195"/>
    </row>
    <row r="369" spans="1:16">
      <c r="A369" s="3"/>
      <c r="B369" s="3" t="str">
        <f>TEXT(Tabela22[[#This Row],[DATA]],"mmmm")</f>
        <v>janeiro</v>
      </c>
      <c r="C369" s="2"/>
      <c r="D369" s="2"/>
      <c r="E369" s="2"/>
      <c r="F369" s="2"/>
      <c r="G369" s="173"/>
      <c r="H369" s="174"/>
      <c r="I369" s="173" t="e">
        <f>Tabela22[[#This Row],[PESO TOTAL]]/Tabela22[[#This Row],[QUANTIDADE]]</f>
        <v>#DIV/0!</v>
      </c>
      <c r="J369" s="2"/>
      <c r="K369" s="193"/>
      <c r="L369" s="8"/>
      <c r="M369" s="8"/>
      <c r="N369" s="8"/>
      <c r="O369" s="194"/>
      <c r="P369" s="195"/>
    </row>
    <row r="370" spans="1:16">
      <c r="A370" s="3"/>
      <c r="B370" s="3" t="str">
        <f>TEXT(Tabela22[[#This Row],[DATA]],"mmmm")</f>
        <v>janeiro</v>
      </c>
      <c r="C370" s="2"/>
      <c r="D370" s="2"/>
      <c r="E370" s="2"/>
      <c r="F370" s="2"/>
      <c r="G370" s="173"/>
      <c r="H370" s="174"/>
      <c r="I370" s="173" t="e">
        <f>Tabela22[[#This Row],[PESO TOTAL]]/Tabela22[[#This Row],[QUANTIDADE]]</f>
        <v>#DIV/0!</v>
      </c>
      <c r="J370" s="2"/>
      <c r="K370" s="193"/>
      <c r="L370" s="8"/>
      <c r="M370" s="8"/>
      <c r="N370" s="8"/>
      <c r="O370" s="194"/>
      <c r="P370" s="195"/>
    </row>
    <row r="371" spans="1:16">
      <c r="A371" s="3"/>
      <c r="B371" s="3" t="str">
        <f>TEXT(Tabela22[[#This Row],[DATA]],"mmmm")</f>
        <v>janeiro</v>
      </c>
      <c r="C371" s="2"/>
      <c r="D371" s="2"/>
      <c r="E371" s="2"/>
      <c r="F371" s="2"/>
      <c r="G371" s="173"/>
      <c r="H371" s="174"/>
      <c r="I371" s="173" t="e">
        <f>Tabela22[[#This Row],[PESO TOTAL]]/Tabela22[[#This Row],[QUANTIDADE]]</f>
        <v>#DIV/0!</v>
      </c>
      <c r="J371" s="2"/>
      <c r="K371" s="193"/>
      <c r="L371" s="8"/>
      <c r="M371" s="8"/>
      <c r="N371" s="8"/>
      <c r="O371" s="194"/>
      <c r="P371" s="195"/>
    </row>
    <row r="372" spans="1:16">
      <c r="A372" s="3"/>
      <c r="B372" s="3" t="str">
        <f>TEXT(Tabela22[[#This Row],[DATA]],"mmmm")</f>
        <v>janeiro</v>
      </c>
      <c r="C372" s="2"/>
      <c r="D372" s="2"/>
      <c r="E372" s="2"/>
      <c r="F372" s="2"/>
      <c r="G372" s="173"/>
      <c r="H372" s="174"/>
      <c r="I372" s="173" t="e">
        <f>Tabela22[[#This Row],[PESO TOTAL]]/Tabela22[[#This Row],[QUANTIDADE]]</f>
        <v>#DIV/0!</v>
      </c>
      <c r="J372" s="2"/>
      <c r="K372" s="193"/>
      <c r="L372" s="8"/>
      <c r="M372" s="8"/>
      <c r="N372" s="8"/>
      <c r="O372" s="194"/>
      <c r="P372" s="195"/>
    </row>
    <row r="373" spans="1:16">
      <c r="A373" s="3"/>
      <c r="B373" s="3" t="str">
        <f>TEXT(Tabela22[[#This Row],[DATA]],"mmmm")</f>
        <v>janeiro</v>
      </c>
      <c r="C373" s="2"/>
      <c r="D373" s="2"/>
      <c r="E373" s="2"/>
      <c r="F373" s="2"/>
      <c r="G373" s="173"/>
      <c r="H373" s="174"/>
      <c r="I373" s="173" t="e">
        <f>Tabela22[[#This Row],[PESO TOTAL]]/Tabela22[[#This Row],[QUANTIDADE]]</f>
        <v>#DIV/0!</v>
      </c>
      <c r="J373" s="2"/>
      <c r="K373" s="193"/>
      <c r="L373" s="8"/>
      <c r="M373" s="8"/>
      <c r="N373" s="8"/>
      <c r="O373" s="194"/>
      <c r="P373" s="195"/>
    </row>
    <row r="374" spans="1:16">
      <c r="A374" s="3"/>
      <c r="B374" s="3" t="str">
        <f>TEXT(Tabela22[[#This Row],[DATA]],"mmmm")</f>
        <v>janeiro</v>
      </c>
      <c r="C374" s="2"/>
      <c r="D374" s="2"/>
      <c r="E374" s="2"/>
      <c r="F374" s="2"/>
      <c r="G374" s="173"/>
      <c r="H374" s="174"/>
      <c r="I374" s="173" t="e">
        <f>Tabela22[[#This Row],[PESO TOTAL]]/Tabela22[[#This Row],[QUANTIDADE]]</f>
        <v>#DIV/0!</v>
      </c>
      <c r="J374" s="2"/>
      <c r="K374" s="193"/>
      <c r="L374" s="8"/>
      <c r="M374" s="8"/>
      <c r="N374" s="8"/>
      <c r="O374" s="194"/>
      <c r="P374" s="195"/>
    </row>
    <row r="375" spans="1:16">
      <c r="A375" s="3"/>
      <c r="B375" s="3" t="str">
        <f>TEXT(Tabela22[[#This Row],[DATA]],"mmmm")</f>
        <v>janeiro</v>
      </c>
      <c r="C375" s="2"/>
      <c r="D375" s="2"/>
      <c r="E375" s="2"/>
      <c r="F375" s="2"/>
      <c r="G375" s="173"/>
      <c r="H375" s="174"/>
      <c r="I375" s="173" t="e">
        <f>Tabela22[[#This Row],[PESO TOTAL]]/Tabela22[[#This Row],[QUANTIDADE]]</f>
        <v>#DIV/0!</v>
      </c>
      <c r="J375" s="2"/>
      <c r="K375" s="193"/>
      <c r="L375" s="8"/>
      <c r="M375" s="8"/>
      <c r="N375" s="8"/>
      <c r="O375" s="194"/>
      <c r="P375" s="195"/>
    </row>
    <row r="376" spans="1:16">
      <c r="A376" s="3"/>
      <c r="B376" s="3" t="str">
        <f>TEXT(Tabela22[[#This Row],[DATA]],"mmmm")</f>
        <v>janeiro</v>
      </c>
      <c r="C376" s="2"/>
      <c r="D376" s="2"/>
      <c r="E376" s="2"/>
      <c r="F376" s="2"/>
      <c r="G376" s="173"/>
      <c r="H376" s="174"/>
      <c r="I376" s="173" t="e">
        <f>Tabela22[[#This Row],[PESO TOTAL]]/Tabela22[[#This Row],[QUANTIDADE]]</f>
        <v>#DIV/0!</v>
      </c>
      <c r="J376" s="2"/>
      <c r="K376" s="193"/>
      <c r="L376" s="8"/>
      <c r="M376" s="8"/>
      <c r="N376" s="8"/>
      <c r="O376" s="194"/>
      <c r="P376" s="195"/>
    </row>
    <row r="377" spans="1:16">
      <c r="A377" s="3"/>
      <c r="B377" s="3" t="str">
        <f>TEXT(Tabela22[[#This Row],[DATA]],"mmmm")</f>
        <v>janeiro</v>
      </c>
      <c r="C377" s="2"/>
      <c r="D377" s="2"/>
      <c r="E377" s="2"/>
      <c r="F377" s="2"/>
      <c r="G377" s="173"/>
      <c r="H377" s="174"/>
      <c r="I377" s="173" t="e">
        <f>Tabela22[[#This Row],[PESO TOTAL]]/Tabela22[[#This Row],[QUANTIDADE]]</f>
        <v>#DIV/0!</v>
      </c>
      <c r="J377" s="2"/>
      <c r="K377" s="193"/>
      <c r="L377" s="8"/>
      <c r="M377" s="8"/>
      <c r="N377" s="8"/>
      <c r="O377" s="194"/>
      <c r="P377" s="195"/>
    </row>
    <row r="378" spans="1:16">
      <c r="A378" s="3"/>
      <c r="B378" s="3" t="str">
        <f>TEXT(Tabela22[[#This Row],[DATA]],"mmmm")</f>
        <v>janeiro</v>
      </c>
      <c r="C378" s="2"/>
      <c r="D378" s="2"/>
      <c r="E378" s="2"/>
      <c r="F378" s="2"/>
      <c r="G378" s="173"/>
      <c r="H378" s="174"/>
      <c r="I378" s="173" t="e">
        <f>Tabela22[[#This Row],[PESO TOTAL]]/Tabela22[[#This Row],[QUANTIDADE]]</f>
        <v>#DIV/0!</v>
      </c>
      <c r="J378" s="2"/>
      <c r="K378" s="193"/>
      <c r="L378" s="8"/>
      <c r="M378" s="8"/>
      <c r="N378" s="8"/>
      <c r="O378" s="194"/>
      <c r="P378" s="195"/>
    </row>
    <row r="379" spans="1:16">
      <c r="A379" s="3"/>
      <c r="B379" s="3" t="str">
        <f>TEXT(Tabela22[[#This Row],[DATA]],"mmmm")</f>
        <v>janeiro</v>
      </c>
      <c r="C379" s="2"/>
      <c r="D379" s="2"/>
      <c r="E379" s="2"/>
      <c r="F379" s="2"/>
      <c r="G379" s="173"/>
      <c r="H379" s="174"/>
      <c r="I379" s="173" t="e">
        <f>Tabela22[[#This Row],[PESO TOTAL]]/Tabela22[[#This Row],[QUANTIDADE]]</f>
        <v>#DIV/0!</v>
      </c>
      <c r="J379" s="2"/>
      <c r="K379" s="193"/>
      <c r="L379" s="8"/>
      <c r="M379" s="8"/>
      <c r="N379" s="8"/>
      <c r="O379" s="194"/>
      <c r="P379" s="195"/>
    </row>
    <row r="380" spans="1:16">
      <c r="A380" s="3"/>
      <c r="B380" s="3" t="str">
        <f>TEXT(Tabela22[[#This Row],[DATA]],"mmmm")</f>
        <v>janeiro</v>
      </c>
      <c r="C380" s="2"/>
      <c r="D380" s="2"/>
      <c r="E380" s="2"/>
      <c r="F380" s="2"/>
      <c r="G380" s="173"/>
      <c r="H380" s="174"/>
      <c r="I380" s="173" t="e">
        <f>Tabela22[[#This Row],[PESO TOTAL]]/Tabela22[[#This Row],[QUANTIDADE]]</f>
        <v>#DIV/0!</v>
      </c>
      <c r="J380" s="2"/>
      <c r="K380" s="193"/>
      <c r="L380" s="8"/>
      <c r="M380" s="8"/>
      <c r="N380" s="8"/>
      <c r="O380" s="194"/>
      <c r="P380" s="195"/>
    </row>
    <row r="381" spans="1:16">
      <c r="A381" s="3"/>
      <c r="B381" s="3" t="str">
        <f>TEXT(Tabela22[[#This Row],[DATA]],"mmmm")</f>
        <v>janeiro</v>
      </c>
      <c r="C381" s="2"/>
      <c r="D381" s="2"/>
      <c r="E381" s="2"/>
      <c r="F381" s="2"/>
      <c r="G381" s="173"/>
      <c r="H381" s="174"/>
      <c r="I381" s="173" t="e">
        <f>Tabela22[[#This Row],[PESO TOTAL]]/Tabela22[[#This Row],[QUANTIDADE]]</f>
        <v>#DIV/0!</v>
      </c>
      <c r="J381" s="2"/>
      <c r="K381" s="193"/>
      <c r="L381" s="8"/>
      <c r="M381" s="8"/>
      <c r="N381" s="8"/>
      <c r="O381" s="194"/>
      <c r="P381" s="195"/>
    </row>
    <row r="382" spans="1:16">
      <c r="A382" s="3"/>
      <c r="B382" s="3" t="str">
        <f>TEXT(Tabela22[[#This Row],[DATA]],"mmmm")</f>
        <v>janeiro</v>
      </c>
      <c r="C382" s="2"/>
      <c r="D382" s="2"/>
      <c r="E382" s="2"/>
      <c r="F382" s="2"/>
      <c r="G382" s="173"/>
      <c r="H382" s="174"/>
      <c r="I382" s="173" t="e">
        <f>Tabela22[[#This Row],[PESO TOTAL]]/Tabela22[[#This Row],[QUANTIDADE]]</f>
        <v>#DIV/0!</v>
      </c>
      <c r="J382" s="2"/>
      <c r="K382" s="193"/>
      <c r="L382" s="8"/>
      <c r="M382" s="8"/>
      <c r="N382" s="8"/>
      <c r="O382" s="194"/>
      <c r="P382" s="195"/>
    </row>
    <row r="383" spans="1:16">
      <c r="A383" s="3"/>
      <c r="B383" s="3" t="str">
        <f>TEXT(Tabela22[[#This Row],[DATA]],"mmmm")</f>
        <v>janeiro</v>
      </c>
      <c r="C383" s="2"/>
      <c r="D383" s="2"/>
      <c r="E383" s="2"/>
      <c r="F383" s="2"/>
      <c r="G383" s="173"/>
      <c r="H383" s="174"/>
      <c r="I383" s="173" t="e">
        <f>Tabela22[[#This Row],[PESO TOTAL]]/Tabela22[[#This Row],[QUANTIDADE]]</f>
        <v>#DIV/0!</v>
      </c>
      <c r="J383" s="2"/>
      <c r="K383" s="193"/>
      <c r="L383" s="8"/>
      <c r="M383" s="8"/>
      <c r="N383" s="8"/>
      <c r="O383" s="194"/>
      <c r="P383" s="195"/>
    </row>
    <row r="384" spans="1:16">
      <c r="A384" s="3"/>
      <c r="B384" s="3" t="str">
        <f>TEXT(Tabela22[[#This Row],[DATA]],"mmmm")</f>
        <v>janeiro</v>
      </c>
      <c r="C384" s="2"/>
      <c r="D384" s="2"/>
      <c r="E384" s="2"/>
      <c r="F384" s="2"/>
      <c r="G384" s="173"/>
      <c r="H384" s="174"/>
      <c r="I384" s="173" t="e">
        <f>Tabela22[[#This Row],[PESO TOTAL]]/Tabela22[[#This Row],[QUANTIDADE]]</f>
        <v>#DIV/0!</v>
      </c>
      <c r="J384" s="2"/>
      <c r="K384" s="193"/>
      <c r="L384" s="8"/>
      <c r="M384" s="8"/>
      <c r="N384" s="8"/>
      <c r="O384" s="194"/>
      <c r="P384" s="195"/>
    </row>
    <row r="385" spans="1:16">
      <c r="A385" s="3"/>
      <c r="B385" s="3" t="str">
        <f>TEXT(Tabela22[[#This Row],[DATA]],"mmmm")</f>
        <v>janeiro</v>
      </c>
      <c r="C385" s="2"/>
      <c r="D385" s="2"/>
      <c r="E385" s="2"/>
      <c r="F385" s="2"/>
      <c r="G385" s="173"/>
      <c r="H385" s="174"/>
      <c r="I385" s="173" t="e">
        <f>Tabela22[[#This Row],[PESO TOTAL]]/Tabela22[[#This Row],[QUANTIDADE]]</f>
        <v>#DIV/0!</v>
      </c>
      <c r="J385" s="2"/>
      <c r="K385" s="193"/>
      <c r="L385" s="8"/>
      <c r="M385" s="8"/>
      <c r="N385" s="8"/>
      <c r="O385" s="194"/>
      <c r="P385" s="195"/>
    </row>
    <row r="386" spans="1:16">
      <c r="A386" s="3"/>
      <c r="B386" s="3" t="str">
        <f>TEXT(Tabela22[[#This Row],[DATA]],"mmmm")</f>
        <v>janeiro</v>
      </c>
      <c r="C386" s="2"/>
      <c r="D386" s="2"/>
      <c r="E386" s="2"/>
      <c r="F386" s="2"/>
      <c r="G386" s="173"/>
      <c r="H386" s="174"/>
      <c r="I386" s="173" t="e">
        <f>Tabela22[[#This Row],[PESO TOTAL]]/Tabela22[[#This Row],[QUANTIDADE]]</f>
        <v>#DIV/0!</v>
      </c>
      <c r="J386" s="2"/>
      <c r="K386" s="193"/>
      <c r="L386" s="8"/>
      <c r="M386" s="8"/>
      <c r="N386" s="8"/>
      <c r="O386" s="194"/>
      <c r="P386" s="195"/>
    </row>
    <row r="387" spans="1:16">
      <c r="A387" s="3"/>
      <c r="B387" s="3" t="str">
        <f>TEXT(Tabela22[[#This Row],[DATA]],"mmmm")</f>
        <v>janeiro</v>
      </c>
      <c r="C387" s="2"/>
      <c r="D387" s="2"/>
      <c r="E387" s="2"/>
      <c r="F387" s="2"/>
      <c r="G387" s="173"/>
      <c r="H387" s="174"/>
      <c r="I387" s="173" t="e">
        <f>Tabela22[[#This Row],[PESO TOTAL]]/Tabela22[[#This Row],[QUANTIDADE]]</f>
        <v>#DIV/0!</v>
      </c>
      <c r="J387" s="2"/>
      <c r="K387" s="193"/>
      <c r="L387" s="8"/>
      <c r="M387" s="8"/>
      <c r="N387" s="8"/>
      <c r="O387" s="194"/>
      <c r="P387" s="195"/>
    </row>
    <row r="388" spans="1:16">
      <c r="A388" s="3"/>
      <c r="B388" s="3" t="str">
        <f>TEXT(Tabela22[[#This Row],[DATA]],"mmmm")</f>
        <v>janeiro</v>
      </c>
      <c r="C388" s="2"/>
      <c r="D388" s="2"/>
      <c r="E388" s="2"/>
      <c r="F388" s="2"/>
      <c r="G388" s="173"/>
      <c r="H388" s="174"/>
      <c r="I388" s="173" t="e">
        <f>Tabela22[[#This Row],[PESO TOTAL]]/Tabela22[[#This Row],[QUANTIDADE]]</f>
        <v>#DIV/0!</v>
      </c>
      <c r="J388" s="2"/>
      <c r="K388" s="193"/>
      <c r="L388" s="8"/>
      <c r="M388" s="8"/>
      <c r="N388" s="8"/>
      <c r="O388" s="194"/>
      <c r="P388" s="195"/>
    </row>
    <row r="389" spans="1:16">
      <c r="A389" s="3"/>
      <c r="B389" s="3" t="str">
        <f>TEXT(Tabela22[[#This Row],[DATA]],"mmmm")</f>
        <v>janeiro</v>
      </c>
      <c r="C389" s="2"/>
      <c r="D389" s="2"/>
      <c r="E389" s="2"/>
      <c r="F389" s="2"/>
      <c r="G389" s="173"/>
      <c r="H389" s="174"/>
      <c r="I389" s="173" t="e">
        <f>Tabela22[[#This Row],[PESO TOTAL]]/Tabela22[[#This Row],[QUANTIDADE]]</f>
        <v>#DIV/0!</v>
      </c>
      <c r="J389" s="2"/>
      <c r="K389" s="193"/>
      <c r="L389" s="8"/>
      <c r="M389" s="8"/>
      <c r="N389" s="8"/>
      <c r="O389" s="194"/>
      <c r="P389" s="195"/>
    </row>
    <row r="390" spans="1:16">
      <c r="A390" s="3"/>
      <c r="B390" s="3" t="str">
        <f>TEXT(Tabela22[[#This Row],[DATA]],"mmmm")</f>
        <v>janeiro</v>
      </c>
      <c r="C390" s="2"/>
      <c r="D390" s="2"/>
      <c r="E390" s="2"/>
      <c r="F390" s="2"/>
      <c r="G390" s="173"/>
      <c r="H390" s="174"/>
      <c r="I390" s="173" t="e">
        <f>Tabela22[[#This Row],[PESO TOTAL]]/Tabela22[[#This Row],[QUANTIDADE]]</f>
        <v>#DIV/0!</v>
      </c>
      <c r="J390" s="2"/>
      <c r="K390" s="193"/>
      <c r="L390" s="8"/>
      <c r="M390" s="8"/>
      <c r="N390" s="8"/>
      <c r="O390" s="194"/>
      <c r="P390" s="195"/>
    </row>
    <row r="391" spans="1:16">
      <c r="A391" s="3"/>
      <c r="B391" s="3" t="str">
        <f>TEXT(Tabela22[[#This Row],[DATA]],"mmmm")</f>
        <v>janeiro</v>
      </c>
      <c r="C391" s="2"/>
      <c r="D391" s="2"/>
      <c r="E391" s="2"/>
      <c r="F391" s="2"/>
      <c r="G391" s="173"/>
      <c r="H391" s="174"/>
      <c r="I391" s="173" t="e">
        <f>Tabela22[[#This Row],[PESO TOTAL]]/Tabela22[[#This Row],[QUANTIDADE]]</f>
        <v>#DIV/0!</v>
      </c>
      <c r="J391" s="2"/>
      <c r="K391" s="193"/>
      <c r="L391" s="8"/>
      <c r="M391" s="8"/>
      <c r="N391" s="8"/>
      <c r="O391" s="194"/>
      <c r="P391" s="195"/>
    </row>
    <row r="392" spans="1:16">
      <c r="A392" s="3"/>
      <c r="B392" s="3" t="str">
        <f>TEXT(Tabela22[[#This Row],[DATA]],"mmmm")</f>
        <v>janeiro</v>
      </c>
      <c r="C392" s="2"/>
      <c r="D392" s="2"/>
      <c r="E392" s="2"/>
      <c r="F392" s="2"/>
      <c r="G392" s="173"/>
      <c r="H392" s="174"/>
      <c r="I392" s="173" t="e">
        <f>Tabela22[[#This Row],[PESO TOTAL]]/Tabela22[[#This Row],[QUANTIDADE]]</f>
        <v>#DIV/0!</v>
      </c>
      <c r="J392" s="2"/>
      <c r="K392" s="193"/>
      <c r="L392" s="8"/>
      <c r="M392" s="8"/>
      <c r="N392" s="8"/>
      <c r="O392" s="194"/>
      <c r="P392" s="195"/>
    </row>
    <row r="393" spans="1:16">
      <c r="A393" s="3"/>
      <c r="B393" s="3" t="str">
        <f>TEXT(Tabela22[[#This Row],[DATA]],"mmmm")</f>
        <v>janeiro</v>
      </c>
      <c r="C393" s="2"/>
      <c r="D393" s="2"/>
      <c r="E393" s="2"/>
      <c r="F393" s="2"/>
      <c r="G393" s="173"/>
      <c r="H393" s="174"/>
      <c r="I393" s="173" t="e">
        <f>Tabela22[[#This Row],[PESO TOTAL]]/Tabela22[[#This Row],[QUANTIDADE]]</f>
        <v>#DIV/0!</v>
      </c>
      <c r="J393" s="2"/>
      <c r="K393" s="193"/>
      <c r="L393" s="8"/>
      <c r="M393" s="8"/>
      <c r="N393" s="8"/>
      <c r="O393" s="194"/>
      <c r="P393" s="195"/>
    </row>
    <row r="394" spans="1:16">
      <c r="A394" s="3"/>
      <c r="B394" s="3" t="str">
        <f>TEXT(Tabela22[[#This Row],[DATA]],"mmmm")</f>
        <v>janeiro</v>
      </c>
      <c r="C394" s="2"/>
      <c r="D394" s="2"/>
      <c r="E394" s="2"/>
      <c r="F394" s="2"/>
      <c r="G394" s="173"/>
      <c r="H394" s="174"/>
      <c r="I394" s="173" t="e">
        <f>Tabela22[[#This Row],[PESO TOTAL]]/Tabela22[[#This Row],[QUANTIDADE]]</f>
        <v>#DIV/0!</v>
      </c>
      <c r="J394" s="2"/>
      <c r="K394" s="193"/>
      <c r="L394" s="8"/>
      <c r="M394" s="8"/>
      <c r="N394" s="8"/>
      <c r="O394" s="194"/>
      <c r="P394" s="195"/>
    </row>
    <row r="395" spans="1:16">
      <c r="A395" s="3"/>
      <c r="B395" s="3" t="str">
        <f>TEXT(Tabela22[[#This Row],[DATA]],"mmmm")</f>
        <v>janeiro</v>
      </c>
      <c r="C395" s="2"/>
      <c r="D395" s="2"/>
      <c r="E395" s="2"/>
      <c r="F395" s="2"/>
      <c r="G395" s="173"/>
      <c r="H395" s="174"/>
      <c r="I395" s="173" t="e">
        <f>Tabela22[[#This Row],[PESO TOTAL]]/Tabela22[[#This Row],[QUANTIDADE]]</f>
        <v>#DIV/0!</v>
      </c>
      <c r="J395" s="2"/>
      <c r="K395" s="193"/>
      <c r="L395" s="8"/>
      <c r="M395" s="8"/>
      <c r="N395" s="8"/>
      <c r="O395" s="194"/>
      <c r="P395" s="195"/>
    </row>
    <row r="396" spans="1:16">
      <c r="A396" s="3"/>
      <c r="B396" s="3" t="str">
        <f>TEXT(Tabela22[[#This Row],[DATA]],"mmmm")</f>
        <v>janeiro</v>
      </c>
      <c r="C396" s="2"/>
      <c r="D396" s="2"/>
      <c r="E396" s="2"/>
      <c r="F396" s="2"/>
      <c r="G396" s="173"/>
      <c r="H396" s="174"/>
      <c r="I396" s="173" t="e">
        <f>Tabela22[[#This Row],[PESO TOTAL]]/Tabela22[[#This Row],[QUANTIDADE]]</f>
        <v>#DIV/0!</v>
      </c>
      <c r="J396" s="2"/>
      <c r="K396" s="193"/>
      <c r="L396" s="8"/>
      <c r="M396" s="8"/>
      <c r="N396" s="8"/>
      <c r="O396" s="194"/>
      <c r="P396" s="195"/>
    </row>
    <row r="397" spans="1:16">
      <c r="A397" s="3"/>
      <c r="B397" s="3" t="str">
        <f>TEXT(Tabela22[[#This Row],[DATA]],"mmmm")</f>
        <v>janeiro</v>
      </c>
      <c r="C397" s="2"/>
      <c r="D397" s="2"/>
      <c r="E397" s="2"/>
      <c r="F397" s="2"/>
      <c r="G397" s="173"/>
      <c r="H397" s="174"/>
      <c r="I397" s="173" t="e">
        <f>Tabela22[[#This Row],[PESO TOTAL]]/Tabela22[[#This Row],[QUANTIDADE]]</f>
        <v>#DIV/0!</v>
      </c>
      <c r="J397" s="2"/>
      <c r="K397" s="193"/>
      <c r="L397" s="8"/>
      <c r="M397" s="8"/>
      <c r="N397" s="8"/>
      <c r="O397" s="194"/>
      <c r="P397" s="195"/>
    </row>
    <row r="398" spans="1:16">
      <c r="A398" s="3"/>
      <c r="B398" s="3" t="str">
        <f>TEXT(Tabela22[[#This Row],[DATA]],"mmmm")</f>
        <v>janeiro</v>
      </c>
      <c r="C398" s="2"/>
      <c r="D398" s="2"/>
      <c r="E398" s="2"/>
      <c r="F398" s="2"/>
      <c r="G398" s="173"/>
      <c r="H398" s="174"/>
      <c r="I398" s="173" t="e">
        <f>Tabela22[[#This Row],[PESO TOTAL]]/Tabela22[[#This Row],[QUANTIDADE]]</f>
        <v>#DIV/0!</v>
      </c>
      <c r="J398" s="2"/>
      <c r="K398" s="193"/>
      <c r="L398" s="8"/>
      <c r="M398" s="8"/>
      <c r="N398" s="8"/>
      <c r="O398" s="194"/>
      <c r="P398" s="195"/>
    </row>
    <row r="399" spans="1:16">
      <c r="A399" s="3"/>
      <c r="B399" s="3" t="str">
        <f>TEXT(Tabela22[[#This Row],[DATA]],"mmmm")</f>
        <v>janeiro</v>
      </c>
      <c r="C399" s="2"/>
      <c r="D399" s="2"/>
      <c r="E399" s="2"/>
      <c r="F399" s="2"/>
      <c r="G399" s="173"/>
      <c r="H399" s="174"/>
      <c r="I399" s="173" t="e">
        <f>Tabela22[[#This Row],[PESO TOTAL]]/Tabela22[[#This Row],[QUANTIDADE]]</f>
        <v>#DIV/0!</v>
      </c>
      <c r="J399" s="2"/>
      <c r="K399" s="193"/>
      <c r="L399" s="8"/>
      <c r="M399" s="8"/>
      <c r="N399" s="8"/>
      <c r="O399" s="194"/>
      <c r="P399" s="195"/>
    </row>
    <row r="400" spans="1:16">
      <c r="A400" s="3"/>
      <c r="B400" s="3" t="str">
        <f>TEXT(Tabela22[[#This Row],[DATA]],"mmmm")</f>
        <v>janeiro</v>
      </c>
      <c r="C400" s="2"/>
      <c r="D400" s="2"/>
      <c r="E400" s="2"/>
      <c r="F400" s="2"/>
      <c r="G400" s="173"/>
      <c r="H400" s="174"/>
      <c r="I400" s="173" t="e">
        <f>Tabela22[[#This Row],[PESO TOTAL]]/Tabela22[[#This Row],[QUANTIDADE]]</f>
        <v>#DIV/0!</v>
      </c>
      <c r="J400" s="2"/>
      <c r="K400" s="193"/>
      <c r="L400" s="8"/>
      <c r="M400" s="8"/>
      <c r="N400" s="8"/>
      <c r="O400" s="194"/>
      <c r="P400" s="195"/>
    </row>
    <row r="401" spans="1:16">
      <c r="A401" s="3"/>
      <c r="B401" s="3" t="str">
        <f>TEXT(Tabela22[[#This Row],[DATA]],"mmmm")</f>
        <v>janeiro</v>
      </c>
      <c r="C401" s="2"/>
      <c r="D401" s="2"/>
      <c r="E401" s="2"/>
      <c r="F401" s="2"/>
      <c r="G401" s="173"/>
      <c r="H401" s="174"/>
      <c r="I401" s="173" t="e">
        <f>Tabela22[[#This Row],[PESO TOTAL]]/Tabela22[[#This Row],[QUANTIDADE]]</f>
        <v>#DIV/0!</v>
      </c>
      <c r="J401" s="2"/>
      <c r="K401" s="193"/>
      <c r="L401" s="8"/>
      <c r="M401" s="8"/>
      <c r="N401" s="8"/>
      <c r="O401" s="194"/>
      <c r="P401" s="195"/>
    </row>
    <row r="402" spans="1:16">
      <c r="A402" s="3"/>
      <c r="B402" s="3" t="str">
        <f>TEXT(Tabela22[[#This Row],[DATA]],"mmmm")</f>
        <v>janeiro</v>
      </c>
      <c r="C402" s="2"/>
      <c r="D402" s="2"/>
      <c r="E402" s="2"/>
      <c r="F402" s="2"/>
      <c r="G402" s="173"/>
      <c r="H402" s="174"/>
      <c r="I402" s="173" t="e">
        <f>Tabela22[[#This Row],[PESO TOTAL]]/Tabela22[[#This Row],[QUANTIDADE]]</f>
        <v>#DIV/0!</v>
      </c>
      <c r="J402" s="2"/>
      <c r="K402" s="193"/>
      <c r="L402" s="8"/>
      <c r="M402" s="8"/>
      <c r="N402" s="8"/>
      <c r="O402" s="194"/>
      <c r="P402" s="195"/>
    </row>
    <row r="403" spans="1:16">
      <c r="A403" s="3"/>
      <c r="B403" s="3" t="str">
        <f>TEXT(Tabela22[[#This Row],[DATA]],"mmmm")</f>
        <v>janeiro</v>
      </c>
      <c r="C403" s="2"/>
      <c r="D403" s="2"/>
      <c r="E403" s="2"/>
      <c r="F403" s="2"/>
      <c r="G403" s="173"/>
      <c r="H403" s="174"/>
      <c r="I403" s="173" t="e">
        <f>Tabela22[[#This Row],[PESO TOTAL]]/Tabela22[[#This Row],[QUANTIDADE]]</f>
        <v>#DIV/0!</v>
      </c>
      <c r="J403" s="2"/>
      <c r="K403" s="193"/>
      <c r="L403" s="8"/>
      <c r="M403" s="8"/>
      <c r="N403" s="8"/>
      <c r="O403" s="194"/>
      <c r="P403" s="195"/>
    </row>
    <row r="404" spans="1:16">
      <c r="A404" s="3"/>
      <c r="B404" s="3" t="str">
        <f>TEXT(Tabela22[[#This Row],[DATA]],"mmmm")</f>
        <v>janeiro</v>
      </c>
      <c r="C404" s="2"/>
      <c r="D404" s="2"/>
      <c r="E404" s="2"/>
      <c r="F404" s="2"/>
      <c r="G404" s="173"/>
      <c r="H404" s="174"/>
      <c r="I404" s="173" t="e">
        <f>Tabela22[[#This Row],[PESO TOTAL]]/Tabela22[[#This Row],[QUANTIDADE]]</f>
        <v>#DIV/0!</v>
      </c>
      <c r="J404" s="2"/>
      <c r="K404" s="193"/>
      <c r="L404" s="8"/>
      <c r="M404" s="8"/>
      <c r="N404" s="8"/>
      <c r="O404" s="194"/>
      <c r="P404" s="195"/>
    </row>
    <row r="405" spans="1:16">
      <c r="A405" s="3"/>
      <c r="B405" s="3" t="str">
        <f>TEXT(Tabela22[[#This Row],[DATA]],"mmmm")</f>
        <v>janeiro</v>
      </c>
      <c r="C405" s="2"/>
      <c r="D405" s="2"/>
      <c r="E405" s="2"/>
      <c r="F405" s="2"/>
      <c r="G405" s="173"/>
      <c r="H405" s="174"/>
      <c r="I405" s="173" t="e">
        <f>Tabela22[[#This Row],[PESO TOTAL]]/Tabela22[[#This Row],[QUANTIDADE]]</f>
        <v>#DIV/0!</v>
      </c>
      <c r="J405" s="2"/>
      <c r="K405" s="193"/>
      <c r="L405" s="8"/>
      <c r="M405" s="8"/>
      <c r="N405" s="8"/>
      <c r="O405" s="194"/>
      <c r="P405" s="195"/>
    </row>
    <row r="406" spans="1:16">
      <c r="A406" s="3"/>
      <c r="B406" s="3" t="str">
        <f>TEXT(Tabela22[[#This Row],[DATA]],"mmmm")</f>
        <v>janeiro</v>
      </c>
      <c r="C406" s="2"/>
      <c r="D406" s="2"/>
      <c r="E406" s="2"/>
      <c r="F406" s="2"/>
      <c r="G406" s="173"/>
      <c r="H406" s="174"/>
      <c r="I406" s="173" t="e">
        <f>Tabela22[[#This Row],[PESO TOTAL]]/Tabela22[[#This Row],[QUANTIDADE]]</f>
        <v>#DIV/0!</v>
      </c>
      <c r="J406" s="2"/>
      <c r="K406" s="193"/>
      <c r="L406" s="8"/>
      <c r="M406" s="8"/>
      <c r="N406" s="8"/>
      <c r="O406" s="194"/>
      <c r="P406" s="195"/>
    </row>
    <row r="407" spans="1:16">
      <c r="A407" s="3"/>
      <c r="B407" s="3" t="str">
        <f>TEXT(Tabela22[[#This Row],[DATA]],"mmmm")</f>
        <v>janeiro</v>
      </c>
      <c r="C407" s="2"/>
      <c r="D407" s="2"/>
      <c r="E407" s="2"/>
      <c r="F407" s="2"/>
      <c r="G407" s="173"/>
      <c r="H407" s="174"/>
      <c r="I407" s="173" t="e">
        <f>Tabela22[[#This Row],[PESO TOTAL]]/Tabela22[[#This Row],[QUANTIDADE]]</f>
        <v>#DIV/0!</v>
      </c>
      <c r="J407" s="2"/>
      <c r="K407" s="193"/>
      <c r="L407" s="8"/>
      <c r="M407" s="8"/>
      <c r="N407" s="8"/>
      <c r="O407" s="194"/>
      <c r="P407" s="195"/>
    </row>
    <row r="408" spans="1:16">
      <c r="A408" s="3"/>
      <c r="B408" s="3" t="str">
        <f>TEXT(Tabela22[[#This Row],[DATA]],"mmmm")</f>
        <v>janeiro</v>
      </c>
      <c r="C408" s="2"/>
      <c r="D408" s="2"/>
      <c r="E408" s="2"/>
      <c r="F408" s="2"/>
      <c r="G408" s="173"/>
      <c r="H408" s="174"/>
      <c r="I408" s="173" t="e">
        <f>Tabela22[[#This Row],[PESO TOTAL]]/Tabela22[[#This Row],[QUANTIDADE]]</f>
        <v>#DIV/0!</v>
      </c>
      <c r="J408" s="2"/>
      <c r="K408" s="193"/>
      <c r="L408" s="8"/>
      <c r="M408" s="8"/>
      <c r="N408" s="8"/>
      <c r="O408" s="194"/>
      <c r="P408" s="195"/>
    </row>
    <row r="409" spans="1:16">
      <c r="A409" s="3"/>
      <c r="B409" s="3" t="str">
        <f>TEXT(Tabela22[[#This Row],[DATA]],"mmmm")</f>
        <v>janeiro</v>
      </c>
      <c r="C409" s="2"/>
      <c r="D409" s="2"/>
      <c r="E409" s="2"/>
      <c r="F409" s="2"/>
      <c r="G409" s="173"/>
      <c r="H409" s="174"/>
      <c r="I409" s="173" t="e">
        <f>Tabela22[[#This Row],[PESO TOTAL]]/Tabela22[[#This Row],[QUANTIDADE]]</f>
        <v>#DIV/0!</v>
      </c>
      <c r="J409" s="2"/>
      <c r="K409" s="193"/>
      <c r="L409" s="8"/>
      <c r="M409" s="8"/>
      <c r="N409" s="8"/>
      <c r="O409" s="194"/>
      <c r="P409" s="195"/>
    </row>
    <row r="410" spans="1:16">
      <c r="A410" s="3"/>
      <c r="B410" s="3" t="str">
        <f>TEXT(Tabela22[[#This Row],[DATA]],"mmmm")</f>
        <v>janeiro</v>
      </c>
      <c r="C410" s="2"/>
      <c r="D410" s="2"/>
      <c r="E410" s="2"/>
      <c r="F410" s="2"/>
      <c r="G410" s="173"/>
      <c r="H410" s="174"/>
      <c r="I410" s="173" t="e">
        <f>Tabela22[[#This Row],[PESO TOTAL]]/Tabela22[[#This Row],[QUANTIDADE]]</f>
        <v>#DIV/0!</v>
      </c>
      <c r="J410" s="2"/>
      <c r="K410" s="193"/>
      <c r="L410" s="8"/>
      <c r="M410" s="8"/>
      <c r="N410" s="8"/>
      <c r="O410" s="194"/>
      <c r="P410" s="195"/>
    </row>
    <row r="411" spans="1:16">
      <c r="A411" s="3"/>
      <c r="B411" s="3" t="str">
        <f>TEXT(Tabela22[[#This Row],[DATA]],"mmmm")</f>
        <v>janeiro</v>
      </c>
      <c r="C411" s="2"/>
      <c r="D411" s="2"/>
      <c r="E411" s="2"/>
      <c r="F411" s="2"/>
      <c r="G411" s="173"/>
      <c r="H411" s="174"/>
      <c r="I411" s="173" t="e">
        <f>Tabela22[[#This Row],[PESO TOTAL]]/Tabela22[[#This Row],[QUANTIDADE]]</f>
        <v>#DIV/0!</v>
      </c>
      <c r="J411" s="2"/>
      <c r="K411" s="193"/>
      <c r="L411" s="8"/>
      <c r="M411" s="8"/>
      <c r="N411" s="8"/>
      <c r="O411" s="194"/>
      <c r="P411" s="195"/>
    </row>
    <row r="412" spans="1:16">
      <c r="A412" s="3"/>
      <c r="B412" s="3" t="str">
        <f>TEXT(Tabela22[[#This Row],[DATA]],"mmmm")</f>
        <v>janeiro</v>
      </c>
      <c r="C412" s="2"/>
      <c r="D412" s="2"/>
      <c r="E412" s="2"/>
      <c r="F412" s="2"/>
      <c r="G412" s="173"/>
      <c r="H412" s="174"/>
      <c r="I412" s="173" t="e">
        <f>Tabela22[[#This Row],[PESO TOTAL]]/Tabela22[[#This Row],[QUANTIDADE]]</f>
        <v>#DIV/0!</v>
      </c>
      <c r="J412" s="2"/>
      <c r="K412" s="193"/>
      <c r="L412" s="8"/>
      <c r="M412" s="8"/>
      <c r="N412" s="8"/>
      <c r="O412" s="194"/>
      <c r="P412" s="195"/>
    </row>
    <row r="413" spans="1:16">
      <c r="A413" s="3"/>
      <c r="B413" s="3" t="str">
        <f>TEXT(Tabela22[[#This Row],[DATA]],"mmmm")</f>
        <v>janeiro</v>
      </c>
      <c r="C413" s="2"/>
      <c r="D413" s="2"/>
      <c r="E413" s="2"/>
      <c r="F413" s="2"/>
      <c r="G413" s="173"/>
      <c r="H413" s="174"/>
      <c r="I413" s="173" t="e">
        <f>Tabela22[[#This Row],[PESO TOTAL]]/Tabela22[[#This Row],[QUANTIDADE]]</f>
        <v>#DIV/0!</v>
      </c>
      <c r="J413" s="2"/>
      <c r="K413" s="193"/>
      <c r="L413" s="8"/>
      <c r="M413" s="8"/>
      <c r="N413" s="8"/>
      <c r="O413" s="194"/>
      <c r="P413" s="195"/>
    </row>
    <row r="414" spans="1:16">
      <c r="A414" s="3"/>
      <c r="B414" s="3" t="str">
        <f>TEXT(Tabela22[[#This Row],[DATA]],"mmmm")</f>
        <v>janeiro</v>
      </c>
      <c r="C414" s="2"/>
      <c r="D414" s="2"/>
      <c r="E414" s="2"/>
      <c r="F414" s="2"/>
      <c r="G414" s="173"/>
      <c r="H414" s="174"/>
      <c r="I414" s="173" t="e">
        <f>Tabela22[[#This Row],[PESO TOTAL]]/Tabela22[[#This Row],[QUANTIDADE]]</f>
        <v>#DIV/0!</v>
      </c>
      <c r="J414" s="2"/>
      <c r="K414" s="193"/>
      <c r="L414" s="8"/>
      <c r="M414" s="8"/>
      <c r="N414" s="8"/>
      <c r="O414" s="194"/>
      <c r="P414" s="195"/>
    </row>
    <row r="415" spans="1:16">
      <c r="A415" s="3"/>
      <c r="B415" s="3" t="str">
        <f>TEXT(Tabela22[[#This Row],[DATA]],"mmmm")</f>
        <v>janeiro</v>
      </c>
      <c r="C415" s="2"/>
      <c r="D415" s="2"/>
      <c r="E415" s="2"/>
      <c r="F415" s="2"/>
      <c r="G415" s="173"/>
      <c r="H415" s="174"/>
      <c r="I415" s="173" t="e">
        <f>Tabela22[[#This Row],[PESO TOTAL]]/Tabela22[[#This Row],[QUANTIDADE]]</f>
        <v>#DIV/0!</v>
      </c>
      <c r="J415" s="2"/>
      <c r="K415" s="193"/>
      <c r="L415" s="8"/>
      <c r="M415" s="8"/>
      <c r="N415" s="8"/>
      <c r="O415" s="194"/>
      <c r="P415" s="195"/>
    </row>
    <row r="416" spans="1:16">
      <c r="A416" s="3"/>
      <c r="B416" s="3" t="str">
        <f>TEXT(Tabela22[[#This Row],[DATA]],"mmmm")</f>
        <v>janeiro</v>
      </c>
      <c r="C416" s="2"/>
      <c r="D416" s="2"/>
      <c r="E416" s="2"/>
      <c r="F416" s="2"/>
      <c r="G416" s="173"/>
      <c r="H416" s="174"/>
      <c r="I416" s="173" t="e">
        <f>Tabela22[[#This Row],[PESO TOTAL]]/Tabela22[[#This Row],[QUANTIDADE]]</f>
        <v>#DIV/0!</v>
      </c>
      <c r="J416" s="2"/>
      <c r="K416" s="193"/>
      <c r="L416" s="8"/>
      <c r="M416" s="8"/>
      <c r="N416" s="8"/>
      <c r="O416" s="194"/>
      <c r="P416" s="195"/>
    </row>
    <row r="417" spans="1:16">
      <c r="A417" s="3"/>
      <c r="B417" s="3" t="str">
        <f>TEXT(Tabela22[[#This Row],[DATA]],"mmmm")</f>
        <v>janeiro</v>
      </c>
      <c r="C417" s="2"/>
      <c r="D417" s="2"/>
      <c r="E417" s="2"/>
      <c r="F417" s="2"/>
      <c r="G417" s="173"/>
      <c r="H417" s="174"/>
      <c r="I417" s="173" t="e">
        <f>Tabela22[[#This Row],[PESO TOTAL]]/Tabela22[[#This Row],[QUANTIDADE]]</f>
        <v>#DIV/0!</v>
      </c>
      <c r="J417" s="2"/>
      <c r="K417" s="193"/>
      <c r="L417" s="8"/>
      <c r="M417" s="8"/>
      <c r="N417" s="8"/>
      <c r="O417" s="194"/>
      <c r="P417" s="195"/>
    </row>
    <row r="418" spans="1:16">
      <c r="A418" s="3"/>
      <c r="B418" s="3" t="str">
        <f>TEXT(Tabela22[[#This Row],[DATA]],"mmmm")</f>
        <v>janeiro</v>
      </c>
      <c r="C418" s="2"/>
      <c r="D418" s="2"/>
      <c r="E418" s="2"/>
      <c r="F418" s="2"/>
      <c r="G418" s="173"/>
      <c r="H418" s="174"/>
      <c r="I418" s="173" t="e">
        <f>Tabela22[[#This Row],[PESO TOTAL]]/Tabela22[[#This Row],[QUANTIDADE]]</f>
        <v>#DIV/0!</v>
      </c>
      <c r="J418" s="2"/>
      <c r="K418" s="193"/>
      <c r="L418" s="8"/>
      <c r="M418" s="8"/>
      <c r="N418" s="8"/>
      <c r="O418" s="194"/>
      <c r="P418" s="195"/>
    </row>
    <row r="419" spans="1:16">
      <c r="A419" s="3"/>
      <c r="B419" s="3" t="str">
        <f>TEXT(Tabela22[[#This Row],[DATA]],"mmmm")</f>
        <v>janeiro</v>
      </c>
      <c r="C419" s="2"/>
      <c r="D419" s="2"/>
      <c r="E419" s="2"/>
      <c r="F419" s="2"/>
      <c r="G419" s="173"/>
      <c r="H419" s="174"/>
      <c r="I419" s="173" t="e">
        <f>Tabela22[[#This Row],[PESO TOTAL]]/Tabela22[[#This Row],[QUANTIDADE]]</f>
        <v>#DIV/0!</v>
      </c>
      <c r="J419" s="2"/>
      <c r="K419" s="193"/>
      <c r="L419" s="8"/>
      <c r="M419" s="8"/>
      <c r="N419" s="8"/>
      <c r="O419" s="194"/>
      <c r="P419" s="195"/>
    </row>
    <row r="420" spans="1:16">
      <c r="A420" s="3"/>
      <c r="B420" s="3" t="str">
        <f>TEXT(Tabela22[[#This Row],[DATA]],"mmmm")</f>
        <v>janeiro</v>
      </c>
      <c r="C420" s="2"/>
      <c r="D420" s="2"/>
      <c r="E420" s="2"/>
      <c r="F420" s="2"/>
      <c r="G420" s="173"/>
      <c r="H420" s="174"/>
      <c r="I420" s="173" t="e">
        <f>Tabela22[[#This Row],[PESO TOTAL]]/Tabela22[[#This Row],[QUANTIDADE]]</f>
        <v>#DIV/0!</v>
      </c>
      <c r="J420" s="2"/>
      <c r="K420" s="193"/>
      <c r="L420" s="8"/>
      <c r="M420" s="8"/>
      <c r="N420" s="8"/>
      <c r="O420" s="194"/>
      <c r="P420" s="195"/>
    </row>
    <row r="421" spans="1:16">
      <c r="A421" s="3"/>
      <c r="B421" s="3" t="str">
        <f>TEXT(Tabela22[[#This Row],[DATA]],"mmmm")</f>
        <v>janeiro</v>
      </c>
      <c r="C421" s="2"/>
      <c r="D421" s="2"/>
      <c r="E421" s="2"/>
      <c r="F421" s="2"/>
      <c r="G421" s="173"/>
      <c r="H421" s="174"/>
      <c r="I421" s="173" t="e">
        <f>Tabela22[[#This Row],[PESO TOTAL]]/Tabela22[[#This Row],[QUANTIDADE]]</f>
        <v>#DIV/0!</v>
      </c>
      <c r="J421" s="2"/>
      <c r="K421" s="193"/>
      <c r="L421" s="8"/>
      <c r="M421" s="8"/>
      <c r="N421" s="8"/>
      <c r="O421" s="194"/>
      <c r="P421" s="195"/>
    </row>
    <row r="422" spans="1:16">
      <c r="A422" s="3"/>
      <c r="B422" s="3" t="str">
        <f>TEXT(Tabela22[[#This Row],[DATA]],"mmmm")</f>
        <v>janeiro</v>
      </c>
      <c r="C422" s="2"/>
      <c r="D422" s="2"/>
      <c r="E422" s="2"/>
      <c r="F422" s="2"/>
      <c r="G422" s="173"/>
      <c r="H422" s="174"/>
      <c r="I422" s="173" t="e">
        <f>Tabela22[[#This Row],[PESO TOTAL]]/Tabela22[[#This Row],[QUANTIDADE]]</f>
        <v>#DIV/0!</v>
      </c>
      <c r="J422" s="2"/>
      <c r="K422" s="193"/>
      <c r="L422" s="8"/>
      <c r="M422" s="8"/>
      <c r="N422" s="8"/>
      <c r="O422" s="194"/>
      <c r="P422" s="195"/>
    </row>
    <row r="423" spans="1:16">
      <c r="A423" s="3"/>
      <c r="B423" s="3" t="str">
        <f>TEXT(Tabela22[[#This Row],[DATA]],"mmmm")</f>
        <v>janeiro</v>
      </c>
      <c r="C423" s="2"/>
      <c r="D423" s="2"/>
      <c r="E423" s="2"/>
      <c r="F423" s="2"/>
      <c r="G423" s="173"/>
      <c r="H423" s="174"/>
      <c r="I423" s="173" t="e">
        <f>Tabela22[[#This Row],[PESO TOTAL]]/Tabela22[[#This Row],[QUANTIDADE]]</f>
        <v>#DIV/0!</v>
      </c>
      <c r="J423" s="2"/>
      <c r="K423" s="193"/>
      <c r="L423" s="8"/>
      <c r="M423" s="8"/>
      <c r="N423" s="8"/>
      <c r="O423" s="194"/>
      <c r="P423" s="195"/>
    </row>
    <row r="424" spans="1:16">
      <c r="A424" s="3"/>
      <c r="B424" s="3" t="str">
        <f>TEXT(Tabela22[[#This Row],[DATA]],"mmmm")</f>
        <v>janeiro</v>
      </c>
      <c r="C424" s="2"/>
      <c r="D424" s="2"/>
      <c r="E424" s="2"/>
      <c r="F424" s="2"/>
      <c r="G424" s="173"/>
      <c r="H424" s="174"/>
      <c r="I424" s="173" t="e">
        <f>Tabela22[[#This Row],[PESO TOTAL]]/Tabela22[[#This Row],[QUANTIDADE]]</f>
        <v>#DIV/0!</v>
      </c>
      <c r="J424" s="2"/>
      <c r="K424" s="193"/>
      <c r="L424" s="8"/>
      <c r="M424" s="8"/>
      <c r="N424" s="8"/>
      <c r="O424" s="194"/>
      <c r="P424" s="195"/>
    </row>
    <row r="425" spans="1:16">
      <c r="A425" s="3"/>
      <c r="B425" s="3" t="str">
        <f>TEXT(Tabela22[[#This Row],[DATA]],"mmmm")</f>
        <v>janeiro</v>
      </c>
      <c r="C425" s="2"/>
      <c r="D425" s="2"/>
      <c r="E425" s="2"/>
      <c r="F425" s="2"/>
      <c r="G425" s="173"/>
      <c r="H425" s="174"/>
      <c r="I425" s="173" t="e">
        <f>Tabela22[[#This Row],[PESO TOTAL]]/Tabela22[[#This Row],[QUANTIDADE]]</f>
        <v>#DIV/0!</v>
      </c>
      <c r="J425" s="2"/>
      <c r="K425" s="193"/>
      <c r="L425" s="8"/>
      <c r="M425" s="8"/>
      <c r="N425" s="8"/>
      <c r="O425" s="194"/>
      <c r="P425" s="195"/>
    </row>
    <row r="426" spans="1:16">
      <c r="A426" s="3"/>
      <c r="B426" s="3" t="str">
        <f>TEXT(Tabela22[[#This Row],[DATA]],"mmmm")</f>
        <v>janeiro</v>
      </c>
      <c r="C426" s="2"/>
      <c r="D426" s="2"/>
      <c r="E426" s="2"/>
      <c r="F426" s="2"/>
      <c r="G426" s="173"/>
      <c r="H426" s="174"/>
      <c r="I426" s="173" t="e">
        <f>Tabela22[[#This Row],[PESO TOTAL]]/Tabela22[[#This Row],[QUANTIDADE]]</f>
        <v>#DIV/0!</v>
      </c>
      <c r="J426" s="2"/>
      <c r="K426" s="193"/>
      <c r="L426" s="8"/>
      <c r="M426" s="8"/>
      <c r="N426" s="8"/>
      <c r="O426" s="194"/>
      <c r="P426" s="195"/>
    </row>
    <row r="427" spans="1:16">
      <c r="A427" s="3"/>
      <c r="B427" s="3" t="str">
        <f>TEXT(Tabela22[[#This Row],[DATA]],"mmmm")</f>
        <v>janeiro</v>
      </c>
      <c r="C427" s="2"/>
      <c r="D427" s="2"/>
      <c r="E427" s="2"/>
      <c r="F427" s="2"/>
      <c r="G427" s="173"/>
      <c r="H427" s="174"/>
      <c r="I427" s="173" t="e">
        <f>Tabela22[[#This Row],[PESO TOTAL]]/Tabela22[[#This Row],[QUANTIDADE]]</f>
        <v>#DIV/0!</v>
      </c>
      <c r="J427" s="2"/>
      <c r="K427" s="193"/>
      <c r="L427" s="8"/>
      <c r="M427" s="8"/>
      <c r="N427" s="8"/>
      <c r="O427" s="194"/>
      <c r="P427" s="195"/>
    </row>
    <row r="428" spans="1:16">
      <c r="A428" s="3"/>
      <c r="B428" s="3" t="str">
        <f>TEXT(Tabela22[[#This Row],[DATA]],"mmmm")</f>
        <v>janeiro</v>
      </c>
      <c r="C428" s="2"/>
      <c r="D428" s="2"/>
      <c r="E428" s="2"/>
      <c r="F428" s="2"/>
      <c r="G428" s="173"/>
      <c r="H428" s="174"/>
      <c r="I428" s="173" t="e">
        <f>Tabela22[[#This Row],[PESO TOTAL]]/Tabela22[[#This Row],[QUANTIDADE]]</f>
        <v>#DIV/0!</v>
      </c>
      <c r="J428" s="2"/>
      <c r="K428" s="193"/>
      <c r="L428" s="8"/>
      <c r="M428" s="8"/>
      <c r="N428" s="8"/>
      <c r="O428" s="194"/>
      <c r="P428" s="195"/>
    </row>
    <row r="429" spans="1:16">
      <c r="A429" s="3"/>
      <c r="B429" s="3" t="str">
        <f>TEXT(Tabela22[[#This Row],[DATA]],"mmmm")</f>
        <v>janeiro</v>
      </c>
      <c r="C429" s="2"/>
      <c r="D429" s="2"/>
      <c r="E429" s="2"/>
      <c r="F429" s="2"/>
      <c r="G429" s="173"/>
      <c r="H429" s="174"/>
      <c r="I429" s="173" t="e">
        <f>Tabela22[[#This Row],[PESO TOTAL]]/Tabela22[[#This Row],[QUANTIDADE]]</f>
        <v>#DIV/0!</v>
      </c>
      <c r="J429" s="2"/>
      <c r="K429" s="193"/>
      <c r="L429" s="8"/>
      <c r="M429" s="8"/>
      <c r="N429" s="8"/>
      <c r="O429" s="194"/>
      <c r="P429" s="195"/>
    </row>
    <row r="430" spans="1:16">
      <c r="A430" s="3"/>
      <c r="B430" s="3" t="str">
        <f>TEXT(Tabela22[[#This Row],[DATA]],"mmmm")</f>
        <v>janeiro</v>
      </c>
      <c r="C430" s="2"/>
      <c r="D430" s="2"/>
      <c r="E430" s="2"/>
      <c r="F430" s="2"/>
      <c r="G430" s="173"/>
      <c r="H430" s="174"/>
      <c r="I430" s="173" t="e">
        <f>Tabela22[[#This Row],[PESO TOTAL]]/Tabela22[[#This Row],[QUANTIDADE]]</f>
        <v>#DIV/0!</v>
      </c>
      <c r="J430" s="2"/>
      <c r="K430" s="193"/>
      <c r="L430" s="8"/>
      <c r="M430" s="8"/>
      <c r="N430" s="8"/>
      <c r="O430" s="194"/>
      <c r="P430" s="195"/>
    </row>
    <row r="431" spans="1:16">
      <c r="A431" s="3"/>
      <c r="B431" s="3" t="str">
        <f>TEXT(Tabela22[[#This Row],[DATA]],"mmmm")</f>
        <v>janeiro</v>
      </c>
      <c r="C431" s="2"/>
      <c r="D431" s="2"/>
      <c r="E431" s="2"/>
      <c r="F431" s="2"/>
      <c r="G431" s="173"/>
      <c r="H431" s="174"/>
      <c r="I431" s="173" t="e">
        <f>Tabela22[[#This Row],[PESO TOTAL]]/Tabela22[[#This Row],[QUANTIDADE]]</f>
        <v>#DIV/0!</v>
      </c>
      <c r="J431" s="2"/>
      <c r="K431" s="193"/>
      <c r="L431" s="8"/>
      <c r="M431" s="8"/>
      <c r="N431" s="8"/>
      <c r="O431" s="194"/>
      <c r="P431" s="195"/>
    </row>
    <row r="432" spans="1:16">
      <c r="A432" s="3"/>
      <c r="B432" s="3" t="str">
        <f>TEXT(Tabela22[[#This Row],[DATA]],"mmmm")</f>
        <v>janeiro</v>
      </c>
      <c r="C432" s="2"/>
      <c r="D432" s="2"/>
      <c r="E432" s="2"/>
      <c r="F432" s="2"/>
      <c r="G432" s="173"/>
      <c r="H432" s="174"/>
      <c r="I432" s="173" t="e">
        <f>Tabela22[[#This Row],[PESO TOTAL]]/Tabela22[[#This Row],[QUANTIDADE]]</f>
        <v>#DIV/0!</v>
      </c>
      <c r="J432" s="2"/>
      <c r="K432" s="193"/>
      <c r="L432" s="8"/>
      <c r="M432" s="8"/>
      <c r="N432" s="8"/>
      <c r="O432" s="194"/>
      <c r="P432" s="195"/>
    </row>
    <row r="433" spans="1:16">
      <c r="A433" s="3"/>
      <c r="B433" s="3" t="str">
        <f>TEXT(Tabela22[[#This Row],[DATA]],"mmmm")</f>
        <v>janeiro</v>
      </c>
      <c r="C433" s="2"/>
      <c r="D433" s="2"/>
      <c r="E433" s="2"/>
      <c r="F433" s="2"/>
      <c r="G433" s="173"/>
      <c r="H433" s="174"/>
      <c r="I433" s="173" t="e">
        <f>Tabela22[[#This Row],[PESO TOTAL]]/Tabela22[[#This Row],[QUANTIDADE]]</f>
        <v>#DIV/0!</v>
      </c>
      <c r="J433" s="2"/>
      <c r="K433" s="193"/>
      <c r="L433" s="8"/>
      <c r="M433" s="8"/>
      <c r="N433" s="8"/>
      <c r="O433" s="194"/>
      <c r="P433" s="195"/>
    </row>
    <row r="434" spans="1:16">
      <c r="A434" s="3"/>
      <c r="B434" s="3" t="str">
        <f>TEXT(Tabela22[[#This Row],[DATA]],"mmmm")</f>
        <v>janeiro</v>
      </c>
      <c r="C434" s="2"/>
      <c r="D434" s="2"/>
      <c r="E434" s="2"/>
      <c r="F434" s="2"/>
      <c r="G434" s="173"/>
      <c r="H434" s="174"/>
      <c r="I434" s="173" t="e">
        <f>Tabela22[[#This Row],[PESO TOTAL]]/Tabela22[[#This Row],[QUANTIDADE]]</f>
        <v>#DIV/0!</v>
      </c>
      <c r="J434" s="2"/>
      <c r="K434" s="193"/>
      <c r="L434" s="8"/>
      <c r="M434" s="8"/>
      <c r="N434" s="8"/>
      <c r="O434" s="194"/>
      <c r="P434" s="195"/>
    </row>
    <row r="435" spans="1:16">
      <c r="A435" s="3"/>
      <c r="B435" s="3" t="str">
        <f>TEXT(Tabela22[[#This Row],[DATA]],"mmmm")</f>
        <v>janeiro</v>
      </c>
      <c r="C435" s="2"/>
      <c r="D435" s="2"/>
      <c r="E435" s="2"/>
      <c r="F435" s="2"/>
      <c r="G435" s="173"/>
      <c r="H435" s="174"/>
      <c r="I435" s="173" t="e">
        <f>Tabela22[[#This Row],[PESO TOTAL]]/Tabela22[[#This Row],[QUANTIDADE]]</f>
        <v>#DIV/0!</v>
      </c>
      <c r="J435" s="2"/>
      <c r="K435" s="193"/>
      <c r="L435" s="8"/>
      <c r="M435" s="8"/>
      <c r="N435" s="8"/>
      <c r="O435" s="194"/>
      <c r="P435" s="195"/>
    </row>
    <row r="436" spans="1:16">
      <c r="A436" s="3"/>
      <c r="B436" s="3" t="str">
        <f>TEXT(Tabela22[[#This Row],[DATA]],"mmmm")</f>
        <v>janeiro</v>
      </c>
      <c r="C436" s="2"/>
      <c r="D436" s="2"/>
      <c r="E436" s="2"/>
      <c r="F436" s="2"/>
      <c r="G436" s="173"/>
      <c r="H436" s="174"/>
      <c r="I436" s="173" t="e">
        <f>Tabela22[[#This Row],[PESO TOTAL]]/Tabela22[[#This Row],[QUANTIDADE]]</f>
        <v>#DIV/0!</v>
      </c>
      <c r="J436" s="2"/>
      <c r="K436" s="193"/>
      <c r="L436" s="8"/>
      <c r="M436" s="8"/>
      <c r="N436" s="8"/>
      <c r="O436" s="194"/>
      <c r="P436" s="195"/>
    </row>
    <row r="437" spans="1:16">
      <c r="A437" s="3"/>
      <c r="B437" s="3" t="str">
        <f>TEXT(Tabela22[[#This Row],[DATA]],"mmmm")</f>
        <v>janeiro</v>
      </c>
      <c r="C437" s="2"/>
      <c r="D437" s="2"/>
      <c r="E437" s="2"/>
      <c r="F437" s="2"/>
      <c r="G437" s="173"/>
      <c r="H437" s="174"/>
      <c r="I437" s="173" t="e">
        <f>Tabela22[[#This Row],[PESO TOTAL]]/Tabela22[[#This Row],[QUANTIDADE]]</f>
        <v>#DIV/0!</v>
      </c>
      <c r="J437" s="2"/>
      <c r="K437" s="193"/>
      <c r="L437" s="8"/>
      <c r="M437" s="8"/>
      <c r="N437" s="8"/>
      <c r="O437" s="194"/>
      <c r="P437" s="195"/>
    </row>
    <row r="438" spans="1:16">
      <c r="A438" s="3"/>
      <c r="B438" s="3" t="str">
        <f>TEXT(Tabela22[[#This Row],[DATA]],"mmmm")</f>
        <v>janeiro</v>
      </c>
      <c r="C438" s="2"/>
      <c r="D438" s="2"/>
      <c r="E438" s="2"/>
      <c r="F438" s="2"/>
      <c r="G438" s="173"/>
      <c r="H438" s="174"/>
      <c r="I438" s="173" t="e">
        <f>Tabela22[[#This Row],[PESO TOTAL]]/Tabela22[[#This Row],[QUANTIDADE]]</f>
        <v>#DIV/0!</v>
      </c>
      <c r="J438" s="2"/>
      <c r="K438" s="193"/>
      <c r="L438" s="8"/>
      <c r="M438" s="8"/>
      <c r="N438" s="8"/>
      <c r="O438" s="194"/>
      <c r="P438" s="195"/>
    </row>
    <row r="439" spans="1:16">
      <c r="A439" s="3"/>
      <c r="B439" s="3" t="str">
        <f>TEXT(Tabela22[[#This Row],[DATA]],"mmmm")</f>
        <v>janeiro</v>
      </c>
      <c r="C439" s="2"/>
      <c r="D439" s="2"/>
      <c r="E439" s="2"/>
      <c r="F439" s="2"/>
      <c r="G439" s="173"/>
      <c r="H439" s="174"/>
      <c r="I439" s="173" t="e">
        <f>Tabela22[[#This Row],[PESO TOTAL]]/Tabela22[[#This Row],[QUANTIDADE]]</f>
        <v>#DIV/0!</v>
      </c>
      <c r="J439" s="2"/>
      <c r="K439" s="193"/>
      <c r="L439" s="8"/>
      <c r="M439" s="8"/>
      <c r="N439" s="8"/>
      <c r="O439" s="194"/>
      <c r="P439" s="195"/>
    </row>
    <row r="440" spans="1:16">
      <c r="A440" s="3"/>
      <c r="B440" s="3" t="str">
        <f>TEXT(Tabela22[[#This Row],[DATA]],"mmmm")</f>
        <v>janeiro</v>
      </c>
      <c r="C440" s="2"/>
      <c r="D440" s="2"/>
      <c r="E440" s="2"/>
      <c r="F440" s="2"/>
      <c r="G440" s="173"/>
      <c r="H440" s="174"/>
      <c r="I440" s="173" t="e">
        <f>Tabela22[[#This Row],[PESO TOTAL]]/Tabela22[[#This Row],[QUANTIDADE]]</f>
        <v>#DIV/0!</v>
      </c>
      <c r="J440" s="2"/>
      <c r="K440" s="193"/>
      <c r="L440" s="8"/>
      <c r="M440" s="8"/>
      <c r="N440" s="8"/>
      <c r="O440" s="194"/>
      <c r="P440" s="195"/>
    </row>
    <row r="441" spans="1:16">
      <c r="A441" s="3"/>
      <c r="B441" s="3" t="str">
        <f>TEXT(Tabela22[[#This Row],[DATA]],"mmmm")</f>
        <v>janeiro</v>
      </c>
      <c r="C441" s="2"/>
      <c r="D441" s="2"/>
      <c r="E441" s="2"/>
      <c r="F441" s="2"/>
      <c r="G441" s="173"/>
      <c r="H441" s="174"/>
      <c r="I441" s="173" t="e">
        <f>Tabela22[[#This Row],[PESO TOTAL]]/Tabela22[[#This Row],[QUANTIDADE]]</f>
        <v>#DIV/0!</v>
      </c>
      <c r="J441" s="2"/>
      <c r="K441" s="193"/>
      <c r="L441" s="8"/>
      <c r="M441" s="8"/>
      <c r="N441" s="8"/>
      <c r="O441" s="194"/>
      <c r="P441" s="195"/>
    </row>
    <row r="442" spans="1:16">
      <c r="A442" s="3"/>
      <c r="B442" s="3" t="str">
        <f>TEXT(Tabela22[[#This Row],[DATA]],"mmmm")</f>
        <v>janeiro</v>
      </c>
      <c r="C442" s="2"/>
      <c r="D442" s="2"/>
      <c r="E442" s="2"/>
      <c r="F442" s="2"/>
      <c r="G442" s="173"/>
      <c r="H442" s="174"/>
      <c r="I442" s="173" t="e">
        <f>Tabela22[[#This Row],[PESO TOTAL]]/Tabela22[[#This Row],[QUANTIDADE]]</f>
        <v>#DIV/0!</v>
      </c>
      <c r="J442" s="2"/>
      <c r="K442" s="193"/>
      <c r="L442" s="8"/>
      <c r="M442" s="8"/>
      <c r="N442" s="8"/>
      <c r="O442" s="194"/>
      <c r="P442" s="195"/>
    </row>
    <row r="443" spans="1:16">
      <c r="A443" s="3"/>
      <c r="B443" s="3" t="str">
        <f>TEXT(Tabela22[[#This Row],[DATA]],"mmmm")</f>
        <v>janeiro</v>
      </c>
      <c r="C443" s="2"/>
      <c r="D443" s="2"/>
      <c r="E443" s="2"/>
      <c r="F443" s="2"/>
      <c r="G443" s="173"/>
      <c r="H443" s="174"/>
      <c r="I443" s="173" t="e">
        <f>Tabela22[[#This Row],[PESO TOTAL]]/Tabela22[[#This Row],[QUANTIDADE]]</f>
        <v>#DIV/0!</v>
      </c>
      <c r="J443" s="2"/>
      <c r="K443" s="193"/>
      <c r="L443" s="8"/>
      <c r="M443" s="8"/>
      <c r="N443" s="8"/>
      <c r="O443" s="194"/>
      <c r="P443" s="195"/>
    </row>
    <row r="444" spans="1:16">
      <c r="A444" s="3"/>
      <c r="B444" s="3" t="str">
        <f>TEXT(Tabela22[[#This Row],[DATA]],"mmmm")</f>
        <v>janeiro</v>
      </c>
      <c r="C444" s="2"/>
      <c r="D444" s="2"/>
      <c r="E444" s="2"/>
      <c r="F444" s="2"/>
      <c r="G444" s="173"/>
      <c r="H444" s="174"/>
      <c r="I444" s="173" t="e">
        <f>Tabela22[[#This Row],[PESO TOTAL]]/Tabela22[[#This Row],[QUANTIDADE]]</f>
        <v>#DIV/0!</v>
      </c>
      <c r="J444" s="2"/>
      <c r="K444" s="193"/>
      <c r="L444" s="8"/>
      <c r="M444" s="8"/>
      <c r="N444" s="8"/>
      <c r="O444" s="194"/>
      <c r="P444" s="195"/>
    </row>
    <row r="445" spans="1:16">
      <c r="A445" s="3"/>
      <c r="B445" s="3" t="str">
        <f>TEXT(Tabela22[[#This Row],[DATA]],"mmmm")</f>
        <v>janeiro</v>
      </c>
      <c r="C445" s="2"/>
      <c r="D445" s="2"/>
      <c r="E445" s="2"/>
      <c r="F445" s="2"/>
      <c r="G445" s="173"/>
      <c r="H445" s="174"/>
      <c r="I445" s="173" t="e">
        <f>Tabela22[[#This Row],[PESO TOTAL]]/Tabela22[[#This Row],[QUANTIDADE]]</f>
        <v>#DIV/0!</v>
      </c>
      <c r="J445" s="2"/>
      <c r="K445" s="193"/>
      <c r="L445" s="8"/>
      <c r="M445" s="8"/>
      <c r="N445" s="8"/>
      <c r="O445" s="194"/>
      <c r="P445" s="195"/>
    </row>
    <row r="446" spans="1:16">
      <c r="A446" s="3"/>
      <c r="B446" s="3" t="str">
        <f>TEXT(Tabela22[[#This Row],[DATA]],"mmmm")</f>
        <v>janeiro</v>
      </c>
      <c r="C446" s="2"/>
      <c r="D446" s="2"/>
      <c r="E446" s="2"/>
      <c r="F446" s="2"/>
      <c r="G446" s="173"/>
      <c r="H446" s="174"/>
      <c r="I446" s="173" t="e">
        <f>Tabela22[[#This Row],[PESO TOTAL]]/Tabela22[[#This Row],[QUANTIDADE]]</f>
        <v>#DIV/0!</v>
      </c>
      <c r="J446" s="2"/>
      <c r="K446" s="193"/>
      <c r="L446" s="8"/>
      <c r="M446" s="8"/>
      <c r="N446" s="8"/>
      <c r="O446" s="194"/>
      <c r="P446" s="195"/>
    </row>
    <row r="447" spans="1:16">
      <c r="A447" s="3"/>
      <c r="B447" s="3" t="str">
        <f>TEXT(Tabela22[[#This Row],[DATA]],"mmmm")</f>
        <v>janeiro</v>
      </c>
      <c r="C447" s="2"/>
      <c r="D447" s="2"/>
      <c r="E447" s="2"/>
      <c r="F447" s="2"/>
      <c r="G447" s="173"/>
      <c r="H447" s="174"/>
      <c r="I447" s="173" t="e">
        <f>Tabela22[[#This Row],[PESO TOTAL]]/Tabela22[[#This Row],[QUANTIDADE]]</f>
        <v>#DIV/0!</v>
      </c>
      <c r="J447" s="2"/>
      <c r="K447" s="193"/>
      <c r="L447" s="8"/>
      <c r="M447" s="8"/>
      <c r="N447" s="8"/>
      <c r="O447" s="194"/>
      <c r="P447" s="195"/>
    </row>
    <row r="448" spans="1:16">
      <c r="A448" s="3"/>
      <c r="B448" s="3" t="str">
        <f>TEXT(Tabela22[[#This Row],[DATA]],"mmmm")</f>
        <v>janeiro</v>
      </c>
      <c r="C448" s="2"/>
      <c r="D448" s="2"/>
      <c r="E448" s="2"/>
      <c r="F448" s="2"/>
      <c r="G448" s="173"/>
      <c r="H448" s="174"/>
      <c r="I448" s="173" t="e">
        <f>Tabela22[[#This Row],[PESO TOTAL]]/Tabela22[[#This Row],[QUANTIDADE]]</f>
        <v>#DIV/0!</v>
      </c>
      <c r="J448" s="2"/>
      <c r="K448" s="193"/>
      <c r="L448" s="8"/>
      <c r="M448" s="8"/>
      <c r="N448" s="8"/>
      <c r="O448" s="194"/>
      <c r="P448" s="195"/>
    </row>
    <row r="449" spans="1:16">
      <c r="A449" s="3"/>
      <c r="B449" s="3" t="str">
        <f>TEXT(Tabela22[[#This Row],[DATA]],"mmmm")</f>
        <v>janeiro</v>
      </c>
      <c r="C449" s="2"/>
      <c r="D449" s="2"/>
      <c r="E449" s="2"/>
      <c r="F449" s="2"/>
      <c r="G449" s="173"/>
      <c r="H449" s="174"/>
      <c r="I449" s="173" t="e">
        <f>Tabela22[[#This Row],[PESO TOTAL]]/Tabela22[[#This Row],[QUANTIDADE]]</f>
        <v>#DIV/0!</v>
      </c>
      <c r="J449" s="2"/>
      <c r="K449" s="193"/>
      <c r="L449" s="8"/>
      <c r="M449" s="8"/>
      <c r="N449" s="8"/>
      <c r="O449" s="194"/>
      <c r="P449" s="195"/>
    </row>
    <row r="450" spans="1:16">
      <c r="A450" s="3"/>
      <c r="B450" s="3" t="str">
        <f>TEXT(Tabela22[[#This Row],[DATA]],"mmmm")</f>
        <v>janeiro</v>
      </c>
      <c r="C450" s="2"/>
      <c r="D450" s="2"/>
      <c r="E450" s="2"/>
      <c r="F450" s="2"/>
      <c r="G450" s="173"/>
      <c r="H450" s="174"/>
      <c r="I450" s="173" t="e">
        <f>Tabela22[[#This Row],[PESO TOTAL]]/Tabela22[[#This Row],[QUANTIDADE]]</f>
        <v>#DIV/0!</v>
      </c>
      <c r="J450" s="2"/>
      <c r="K450" s="193"/>
      <c r="L450" s="8"/>
      <c r="M450" s="8"/>
      <c r="N450" s="8"/>
      <c r="O450" s="194"/>
      <c r="P450" s="195"/>
    </row>
    <row r="451" spans="1:16">
      <c r="A451" s="3"/>
      <c r="B451" s="3" t="str">
        <f>TEXT(Tabela22[[#This Row],[DATA]],"mmmm")</f>
        <v>janeiro</v>
      </c>
      <c r="C451" s="2"/>
      <c r="D451" s="2"/>
      <c r="E451" s="2"/>
      <c r="F451" s="2"/>
      <c r="G451" s="173"/>
      <c r="H451" s="174"/>
      <c r="I451" s="173" t="e">
        <f>Tabela22[[#This Row],[PESO TOTAL]]/Tabela22[[#This Row],[QUANTIDADE]]</f>
        <v>#DIV/0!</v>
      </c>
      <c r="J451" s="2"/>
      <c r="K451" s="193"/>
      <c r="L451" s="8"/>
      <c r="M451" s="8"/>
      <c r="N451" s="8"/>
      <c r="O451" s="194"/>
      <c r="P451" s="195"/>
    </row>
    <row r="452" spans="1:16">
      <c r="A452" s="3"/>
      <c r="B452" s="3" t="str">
        <f>TEXT(Tabela22[[#This Row],[DATA]],"mmmm")</f>
        <v>janeiro</v>
      </c>
      <c r="C452" s="2"/>
      <c r="D452" s="2"/>
      <c r="E452" s="2"/>
      <c r="F452" s="2"/>
      <c r="G452" s="173"/>
      <c r="H452" s="174"/>
      <c r="I452" s="173" t="e">
        <f>Tabela22[[#This Row],[PESO TOTAL]]/Tabela22[[#This Row],[QUANTIDADE]]</f>
        <v>#DIV/0!</v>
      </c>
      <c r="J452" s="2"/>
      <c r="K452" s="193"/>
      <c r="L452" s="8"/>
      <c r="M452" s="8"/>
      <c r="N452" s="8"/>
      <c r="O452" s="194"/>
      <c r="P452" s="195"/>
    </row>
    <row r="453" spans="1:16">
      <c r="A453" s="3"/>
      <c r="B453" s="3" t="str">
        <f>TEXT(Tabela22[[#This Row],[DATA]],"mmmm")</f>
        <v>janeiro</v>
      </c>
      <c r="C453" s="2"/>
      <c r="D453" s="2"/>
      <c r="E453" s="2"/>
      <c r="F453" s="2"/>
      <c r="G453" s="173"/>
      <c r="H453" s="174"/>
      <c r="I453" s="173" t="e">
        <f>Tabela22[[#This Row],[PESO TOTAL]]/Tabela22[[#This Row],[QUANTIDADE]]</f>
        <v>#DIV/0!</v>
      </c>
      <c r="J453" s="2"/>
      <c r="K453" s="193"/>
      <c r="L453" s="8"/>
      <c r="M453" s="8"/>
      <c r="N453" s="8"/>
      <c r="O453" s="194"/>
      <c r="P453" s="195"/>
    </row>
    <row r="454" spans="1:16">
      <c r="A454" s="3"/>
      <c r="B454" s="3" t="str">
        <f>TEXT(Tabela22[[#This Row],[DATA]],"mmmm")</f>
        <v>janeiro</v>
      </c>
      <c r="C454" s="2"/>
      <c r="D454" s="2"/>
      <c r="E454" s="2"/>
      <c r="F454" s="2"/>
      <c r="G454" s="173"/>
      <c r="H454" s="174"/>
      <c r="I454" s="173" t="e">
        <f>Tabela22[[#This Row],[PESO TOTAL]]/Tabela22[[#This Row],[QUANTIDADE]]</f>
        <v>#DIV/0!</v>
      </c>
      <c r="J454" s="2"/>
      <c r="K454" s="193"/>
      <c r="L454" s="8"/>
      <c r="M454" s="8"/>
      <c r="N454" s="8"/>
      <c r="O454" s="194"/>
      <c r="P454" s="195"/>
    </row>
    <row r="455" spans="1:16">
      <c r="A455" s="3"/>
      <c r="B455" s="3" t="str">
        <f>TEXT(Tabela22[[#This Row],[DATA]],"mmmm")</f>
        <v>janeiro</v>
      </c>
      <c r="C455" s="2"/>
      <c r="D455" s="2"/>
      <c r="E455" s="2"/>
      <c r="F455" s="2"/>
      <c r="G455" s="173"/>
      <c r="H455" s="174"/>
      <c r="I455" s="173" t="e">
        <f>Tabela22[[#This Row],[PESO TOTAL]]/Tabela22[[#This Row],[QUANTIDADE]]</f>
        <v>#DIV/0!</v>
      </c>
      <c r="J455" s="2"/>
      <c r="K455" s="193"/>
      <c r="L455" s="8"/>
      <c r="M455" s="8"/>
      <c r="N455" s="8"/>
      <c r="O455" s="194"/>
      <c r="P455" s="195"/>
    </row>
    <row r="456" spans="1:16">
      <c r="A456" s="3"/>
      <c r="B456" s="3" t="str">
        <f>TEXT(Tabela22[[#This Row],[DATA]],"mmmm")</f>
        <v>janeiro</v>
      </c>
      <c r="C456" s="2"/>
      <c r="D456" s="2"/>
      <c r="E456" s="2"/>
      <c r="F456" s="2"/>
      <c r="G456" s="173"/>
      <c r="H456" s="174"/>
      <c r="I456" s="173" t="e">
        <f>Tabela22[[#This Row],[PESO TOTAL]]/Tabela22[[#This Row],[QUANTIDADE]]</f>
        <v>#DIV/0!</v>
      </c>
      <c r="J456" s="2"/>
      <c r="K456" s="193"/>
      <c r="L456" s="8"/>
      <c r="M456" s="8"/>
      <c r="N456" s="8"/>
      <c r="O456" s="194"/>
      <c r="P456" s="195"/>
    </row>
    <row r="457" spans="1:16">
      <c r="A457" s="3"/>
      <c r="B457" s="3" t="str">
        <f>TEXT(Tabela22[[#This Row],[DATA]],"mmmm")</f>
        <v>janeiro</v>
      </c>
      <c r="C457" s="2"/>
      <c r="D457" s="2"/>
      <c r="E457" s="2"/>
      <c r="F457" s="2"/>
      <c r="G457" s="173"/>
      <c r="H457" s="174"/>
      <c r="I457" s="173" t="e">
        <f>Tabela22[[#This Row],[PESO TOTAL]]/Tabela22[[#This Row],[QUANTIDADE]]</f>
        <v>#DIV/0!</v>
      </c>
      <c r="J457" s="2"/>
      <c r="K457" s="193"/>
      <c r="L457" s="8"/>
      <c r="M457" s="8"/>
      <c r="N457" s="8"/>
      <c r="O457" s="194"/>
      <c r="P457" s="195"/>
    </row>
    <row r="458" spans="1:16">
      <c r="A458" s="3"/>
      <c r="B458" s="3" t="str">
        <f>TEXT(Tabela22[[#This Row],[DATA]],"mmmm")</f>
        <v>janeiro</v>
      </c>
      <c r="C458" s="2"/>
      <c r="D458" s="2"/>
      <c r="E458" s="2"/>
      <c r="F458" s="2"/>
      <c r="G458" s="173"/>
      <c r="H458" s="174"/>
      <c r="I458" s="173" t="e">
        <f>Tabela22[[#This Row],[PESO TOTAL]]/Tabela22[[#This Row],[QUANTIDADE]]</f>
        <v>#DIV/0!</v>
      </c>
      <c r="J458" s="2"/>
      <c r="K458" s="193"/>
      <c r="L458" s="8"/>
      <c r="M458" s="8"/>
      <c r="N458" s="8"/>
      <c r="O458" s="194"/>
      <c r="P458" s="195"/>
    </row>
    <row r="459" spans="1:16">
      <c r="A459" s="3"/>
      <c r="B459" s="3" t="str">
        <f>TEXT(Tabela22[[#This Row],[DATA]],"mmmm")</f>
        <v>janeiro</v>
      </c>
      <c r="C459" s="2"/>
      <c r="D459" s="2"/>
      <c r="E459" s="2"/>
      <c r="F459" s="2"/>
      <c r="G459" s="173"/>
      <c r="H459" s="174"/>
      <c r="I459" s="173" t="e">
        <f>Tabela22[[#This Row],[PESO TOTAL]]/Tabela22[[#This Row],[QUANTIDADE]]</f>
        <v>#DIV/0!</v>
      </c>
      <c r="J459" s="2"/>
      <c r="K459" s="193"/>
      <c r="L459" s="8"/>
      <c r="M459" s="8"/>
      <c r="N459" s="8"/>
      <c r="O459" s="194"/>
      <c r="P459" s="195"/>
    </row>
    <row r="460" spans="1:16">
      <c r="A460" s="3"/>
      <c r="B460" s="3" t="str">
        <f>TEXT(Tabela22[[#This Row],[DATA]],"mmmm")</f>
        <v>janeiro</v>
      </c>
      <c r="C460" s="2"/>
      <c r="D460" s="2"/>
      <c r="E460" s="2"/>
      <c r="F460" s="2"/>
      <c r="G460" s="173"/>
      <c r="H460" s="174"/>
      <c r="I460" s="173" t="e">
        <f>Tabela22[[#This Row],[PESO TOTAL]]/Tabela22[[#This Row],[QUANTIDADE]]</f>
        <v>#DIV/0!</v>
      </c>
      <c r="J460" s="2"/>
      <c r="K460" s="193"/>
      <c r="L460" s="8"/>
      <c r="M460" s="8"/>
      <c r="N460" s="8"/>
      <c r="O460" s="194"/>
      <c r="P460" s="195"/>
    </row>
    <row r="461" spans="1:16">
      <c r="A461" s="3"/>
      <c r="B461" s="3" t="str">
        <f>TEXT(Tabela22[[#This Row],[DATA]],"mmmm")</f>
        <v>janeiro</v>
      </c>
      <c r="C461" s="2"/>
      <c r="D461" s="2"/>
      <c r="E461" s="2"/>
      <c r="F461" s="2"/>
      <c r="G461" s="173"/>
      <c r="H461" s="174"/>
      <c r="I461" s="173" t="e">
        <f>Tabela22[[#This Row],[PESO TOTAL]]/Tabela22[[#This Row],[QUANTIDADE]]</f>
        <v>#DIV/0!</v>
      </c>
      <c r="J461" s="2"/>
      <c r="K461" s="193"/>
      <c r="L461" s="8"/>
      <c r="M461" s="8"/>
      <c r="N461" s="8"/>
      <c r="O461" s="194"/>
      <c r="P461" s="195"/>
    </row>
    <row r="462" spans="1:16">
      <c r="A462" s="3"/>
      <c r="B462" s="3" t="str">
        <f>TEXT(Tabela22[[#This Row],[DATA]],"mmmm")</f>
        <v>janeiro</v>
      </c>
      <c r="C462" s="2"/>
      <c r="D462" s="2"/>
      <c r="E462" s="2"/>
      <c r="F462" s="2"/>
      <c r="G462" s="173"/>
      <c r="H462" s="174"/>
      <c r="I462" s="173" t="e">
        <f>Tabela22[[#This Row],[PESO TOTAL]]/Tabela22[[#This Row],[QUANTIDADE]]</f>
        <v>#DIV/0!</v>
      </c>
      <c r="J462" s="2"/>
      <c r="K462" s="193"/>
      <c r="L462" s="8"/>
      <c r="M462" s="8"/>
      <c r="N462" s="8"/>
      <c r="O462" s="194"/>
      <c r="P462" s="195"/>
    </row>
    <row r="463" spans="1:16">
      <c r="A463" s="3"/>
      <c r="B463" s="3" t="str">
        <f>TEXT(Tabela22[[#This Row],[DATA]],"mmmm")</f>
        <v>janeiro</v>
      </c>
      <c r="C463" s="2"/>
      <c r="D463" s="2"/>
      <c r="E463" s="2"/>
      <c r="F463" s="2"/>
      <c r="G463" s="173"/>
      <c r="H463" s="174"/>
      <c r="I463" s="173" t="e">
        <f>Tabela22[[#This Row],[PESO TOTAL]]/Tabela22[[#This Row],[QUANTIDADE]]</f>
        <v>#DIV/0!</v>
      </c>
      <c r="J463" s="2"/>
      <c r="K463" s="193"/>
      <c r="L463" s="8"/>
      <c r="M463" s="8"/>
      <c r="N463" s="8"/>
      <c r="O463" s="194"/>
      <c r="P463" s="195"/>
    </row>
    <row r="464" spans="1:16">
      <c r="A464" s="3"/>
      <c r="B464" s="3" t="str">
        <f>TEXT(Tabela22[[#This Row],[DATA]],"mmmm")</f>
        <v>janeiro</v>
      </c>
      <c r="C464" s="2"/>
      <c r="D464" s="2"/>
      <c r="E464" s="2"/>
      <c r="F464" s="2"/>
      <c r="G464" s="173"/>
      <c r="H464" s="174"/>
      <c r="I464" s="173" t="e">
        <f>Tabela22[[#This Row],[PESO TOTAL]]/Tabela22[[#This Row],[QUANTIDADE]]</f>
        <v>#DIV/0!</v>
      </c>
      <c r="J464" s="2"/>
      <c r="K464" s="193"/>
      <c r="L464" s="8"/>
      <c r="M464" s="8"/>
      <c r="N464" s="8"/>
      <c r="O464" s="194"/>
      <c r="P464" s="195"/>
    </row>
    <row r="465" spans="1:16">
      <c r="A465" s="3"/>
      <c r="B465" s="3" t="str">
        <f>TEXT(Tabela22[[#This Row],[DATA]],"mmmm")</f>
        <v>janeiro</v>
      </c>
      <c r="C465" s="2"/>
      <c r="D465" s="2"/>
      <c r="E465" s="2"/>
      <c r="F465" s="2"/>
      <c r="G465" s="173"/>
      <c r="H465" s="174"/>
      <c r="I465" s="173" t="e">
        <f>Tabela22[[#This Row],[PESO TOTAL]]/Tabela22[[#This Row],[QUANTIDADE]]</f>
        <v>#DIV/0!</v>
      </c>
      <c r="J465" s="2"/>
      <c r="K465" s="193"/>
      <c r="L465" s="8"/>
      <c r="M465" s="8"/>
      <c r="N465" s="8"/>
      <c r="O465" s="194"/>
      <c r="P465" s="195"/>
    </row>
    <row r="466" spans="1:16">
      <c r="A466" s="3"/>
      <c r="B466" s="3" t="str">
        <f>TEXT(Tabela22[[#This Row],[DATA]],"mmmm")</f>
        <v>janeiro</v>
      </c>
      <c r="C466" s="2"/>
      <c r="D466" s="2"/>
      <c r="E466" s="2"/>
      <c r="F466" s="2"/>
      <c r="G466" s="173"/>
      <c r="H466" s="174"/>
      <c r="I466" s="173" t="e">
        <f>Tabela22[[#This Row],[PESO TOTAL]]/Tabela22[[#This Row],[QUANTIDADE]]</f>
        <v>#DIV/0!</v>
      </c>
      <c r="J466" s="2"/>
      <c r="K466" s="193"/>
      <c r="L466" s="8"/>
      <c r="M466" s="8"/>
      <c r="N466" s="8"/>
      <c r="O466" s="194"/>
      <c r="P466" s="195"/>
    </row>
    <row r="467" spans="1:16">
      <c r="A467" s="3"/>
      <c r="B467" s="3" t="str">
        <f>TEXT(Tabela22[[#This Row],[DATA]],"mmmm")</f>
        <v>janeiro</v>
      </c>
      <c r="C467" s="2"/>
      <c r="D467" s="2"/>
      <c r="E467" s="2"/>
      <c r="F467" s="2"/>
      <c r="G467" s="173"/>
      <c r="H467" s="174"/>
      <c r="I467" s="173" t="e">
        <f>Tabela22[[#This Row],[PESO TOTAL]]/Tabela22[[#This Row],[QUANTIDADE]]</f>
        <v>#DIV/0!</v>
      </c>
      <c r="J467" s="2"/>
      <c r="K467" s="193"/>
      <c r="L467" s="8"/>
      <c r="M467" s="8"/>
      <c r="N467" s="8"/>
      <c r="O467" s="194"/>
      <c r="P467" s="195"/>
    </row>
    <row r="468" spans="1:16">
      <c r="A468" s="3"/>
      <c r="B468" s="3" t="str">
        <f>TEXT(Tabela22[[#This Row],[DATA]],"mmmm")</f>
        <v>janeiro</v>
      </c>
      <c r="C468" s="2"/>
      <c r="D468" s="2"/>
      <c r="E468" s="2"/>
      <c r="F468" s="2"/>
      <c r="G468" s="173"/>
      <c r="H468" s="174"/>
      <c r="I468" s="173" t="e">
        <f>Tabela22[[#This Row],[PESO TOTAL]]/Tabela22[[#This Row],[QUANTIDADE]]</f>
        <v>#DIV/0!</v>
      </c>
      <c r="J468" s="2"/>
      <c r="K468" s="193"/>
      <c r="L468" s="8"/>
      <c r="M468" s="8"/>
      <c r="N468" s="8"/>
      <c r="O468" s="194"/>
      <c r="P468" s="195"/>
    </row>
    <row r="469" spans="1:16">
      <c r="A469" s="3"/>
      <c r="B469" s="3" t="str">
        <f>TEXT(Tabela22[[#This Row],[DATA]],"mmmm")</f>
        <v>janeiro</v>
      </c>
      <c r="C469" s="2"/>
      <c r="D469" s="2"/>
      <c r="E469" s="2"/>
      <c r="F469" s="2"/>
      <c r="G469" s="173"/>
      <c r="H469" s="174"/>
      <c r="I469" s="173" t="e">
        <f>Tabela22[[#This Row],[PESO TOTAL]]/Tabela22[[#This Row],[QUANTIDADE]]</f>
        <v>#DIV/0!</v>
      </c>
      <c r="J469" s="2"/>
      <c r="K469" s="193"/>
      <c r="L469" s="8"/>
      <c r="M469" s="8"/>
      <c r="N469" s="8"/>
      <c r="O469" s="194"/>
      <c r="P469" s="195"/>
    </row>
    <row r="470" spans="1:16">
      <c r="A470" s="3"/>
      <c r="B470" s="3" t="str">
        <f>TEXT(Tabela22[[#This Row],[DATA]],"mmmm")</f>
        <v>janeiro</v>
      </c>
      <c r="C470" s="2"/>
      <c r="D470" s="2"/>
      <c r="E470" s="2"/>
      <c r="F470" s="2"/>
      <c r="G470" s="173"/>
      <c r="H470" s="174"/>
      <c r="I470" s="173" t="e">
        <f>Tabela22[[#This Row],[PESO TOTAL]]/Tabela22[[#This Row],[QUANTIDADE]]</f>
        <v>#DIV/0!</v>
      </c>
      <c r="J470" s="2"/>
      <c r="K470" s="193"/>
      <c r="L470" s="8"/>
      <c r="M470" s="8"/>
      <c r="N470" s="8"/>
      <c r="O470" s="194"/>
      <c r="P470" s="195"/>
    </row>
    <row r="471" spans="1:16">
      <c r="A471" s="3"/>
      <c r="B471" s="3" t="str">
        <f>TEXT(Tabela22[[#This Row],[DATA]],"mmmm")</f>
        <v>janeiro</v>
      </c>
      <c r="C471" s="2"/>
      <c r="D471" s="2"/>
      <c r="E471" s="2"/>
      <c r="F471" s="2"/>
      <c r="G471" s="173"/>
      <c r="H471" s="174"/>
      <c r="I471" s="173" t="e">
        <f>Tabela22[[#This Row],[PESO TOTAL]]/Tabela22[[#This Row],[QUANTIDADE]]</f>
        <v>#DIV/0!</v>
      </c>
      <c r="J471" s="2"/>
      <c r="K471" s="193"/>
      <c r="L471" s="8"/>
      <c r="M471" s="8"/>
      <c r="N471" s="8"/>
      <c r="O471" s="194"/>
      <c r="P471" s="195"/>
    </row>
    <row r="472" spans="1:16">
      <c r="A472" s="3"/>
      <c r="B472" s="3" t="str">
        <f>TEXT(Tabela22[[#This Row],[DATA]],"mmmm")</f>
        <v>janeiro</v>
      </c>
      <c r="C472" s="2"/>
      <c r="D472" s="2"/>
      <c r="E472" s="2"/>
      <c r="F472" s="2"/>
      <c r="G472" s="173"/>
      <c r="H472" s="174"/>
      <c r="I472" s="173" t="e">
        <f>Tabela22[[#This Row],[PESO TOTAL]]/Tabela22[[#This Row],[QUANTIDADE]]</f>
        <v>#DIV/0!</v>
      </c>
      <c r="J472" s="2"/>
      <c r="K472" s="193"/>
      <c r="L472" s="8"/>
      <c r="M472" s="8"/>
      <c r="N472" s="8"/>
      <c r="O472" s="194"/>
      <c r="P472" s="195"/>
    </row>
    <row r="473" spans="1:16">
      <c r="A473" s="3"/>
      <c r="B473" s="3" t="str">
        <f>TEXT(Tabela22[[#This Row],[DATA]],"mmmm")</f>
        <v>janeiro</v>
      </c>
      <c r="C473" s="2"/>
      <c r="D473" s="2"/>
      <c r="E473" s="2"/>
      <c r="F473" s="2"/>
      <c r="G473" s="173"/>
      <c r="H473" s="174"/>
      <c r="I473" s="173" t="e">
        <f>Tabela22[[#This Row],[PESO TOTAL]]/Tabela22[[#This Row],[QUANTIDADE]]</f>
        <v>#DIV/0!</v>
      </c>
      <c r="J473" s="2"/>
      <c r="K473" s="193"/>
      <c r="L473" s="8"/>
      <c r="M473" s="8"/>
      <c r="N473" s="8"/>
      <c r="O473" s="194"/>
      <c r="P473" s="195"/>
    </row>
    <row r="474" spans="1:16">
      <c r="A474" s="3"/>
      <c r="B474" s="3" t="str">
        <f>TEXT(Tabela22[[#This Row],[DATA]],"mmmm")</f>
        <v>janeiro</v>
      </c>
      <c r="C474" s="2"/>
      <c r="D474" s="2"/>
      <c r="E474" s="2"/>
      <c r="F474" s="2"/>
      <c r="G474" s="173"/>
      <c r="H474" s="174"/>
      <c r="I474" s="173" t="e">
        <f>Tabela22[[#This Row],[PESO TOTAL]]/Tabela22[[#This Row],[QUANTIDADE]]</f>
        <v>#DIV/0!</v>
      </c>
      <c r="J474" s="2"/>
      <c r="K474" s="193"/>
      <c r="L474" s="8"/>
      <c r="M474" s="8"/>
      <c r="N474" s="8"/>
      <c r="O474" s="194"/>
      <c r="P474" s="195"/>
    </row>
    <row r="475" spans="1:16">
      <c r="A475" s="3"/>
      <c r="B475" s="3" t="str">
        <f>TEXT(Tabela22[[#This Row],[DATA]],"mmmm")</f>
        <v>janeiro</v>
      </c>
      <c r="C475" s="2"/>
      <c r="D475" s="2"/>
      <c r="E475" s="2"/>
      <c r="F475" s="2"/>
      <c r="G475" s="173"/>
      <c r="H475" s="174"/>
      <c r="I475" s="173" t="e">
        <f>Tabela22[[#This Row],[PESO TOTAL]]/Tabela22[[#This Row],[QUANTIDADE]]</f>
        <v>#DIV/0!</v>
      </c>
      <c r="J475" s="2"/>
      <c r="K475" s="193"/>
      <c r="L475" s="8"/>
      <c r="M475" s="8"/>
      <c r="N475" s="8"/>
      <c r="O475" s="194"/>
      <c r="P475" s="195"/>
    </row>
    <row r="476" spans="1:16">
      <c r="A476" s="3"/>
      <c r="B476" s="3" t="str">
        <f>TEXT(Tabela22[[#This Row],[DATA]],"mmmm")</f>
        <v>janeiro</v>
      </c>
      <c r="C476" s="2"/>
      <c r="D476" s="2"/>
      <c r="E476" s="2"/>
      <c r="F476" s="2"/>
      <c r="G476" s="173"/>
      <c r="H476" s="174"/>
      <c r="I476" s="173" t="e">
        <f>Tabela22[[#This Row],[PESO TOTAL]]/Tabela22[[#This Row],[QUANTIDADE]]</f>
        <v>#DIV/0!</v>
      </c>
      <c r="J476" s="2"/>
      <c r="K476" s="193"/>
      <c r="L476" s="8"/>
      <c r="M476" s="8"/>
      <c r="N476" s="8"/>
      <c r="O476" s="194"/>
      <c r="P476" s="195"/>
    </row>
    <row r="477" spans="1:16">
      <c r="A477" s="3"/>
      <c r="B477" s="3" t="str">
        <f>TEXT(Tabela22[[#This Row],[DATA]],"mmmm")</f>
        <v>janeiro</v>
      </c>
      <c r="C477" s="2"/>
      <c r="D477" s="2"/>
      <c r="E477" s="2"/>
      <c r="F477" s="2"/>
      <c r="G477" s="173"/>
      <c r="H477" s="174"/>
      <c r="I477" s="173" t="e">
        <f>Tabela22[[#This Row],[PESO TOTAL]]/Tabela22[[#This Row],[QUANTIDADE]]</f>
        <v>#DIV/0!</v>
      </c>
      <c r="J477" s="2"/>
      <c r="K477" s="193"/>
      <c r="L477" s="8"/>
      <c r="M477" s="8"/>
      <c r="N477" s="8"/>
      <c r="O477" s="194"/>
      <c r="P477" s="195"/>
    </row>
    <row r="478" spans="1:16">
      <c r="A478" s="3"/>
      <c r="B478" s="3" t="str">
        <f>TEXT(Tabela22[[#This Row],[DATA]],"mmmm")</f>
        <v>janeiro</v>
      </c>
      <c r="C478" s="2"/>
      <c r="D478" s="2"/>
      <c r="E478" s="2"/>
      <c r="F478" s="2"/>
      <c r="G478" s="173"/>
      <c r="H478" s="174"/>
      <c r="I478" s="173" t="e">
        <f>Tabela22[[#This Row],[PESO TOTAL]]/Tabela22[[#This Row],[QUANTIDADE]]</f>
        <v>#DIV/0!</v>
      </c>
      <c r="J478" s="2"/>
      <c r="K478" s="193"/>
      <c r="L478" s="8"/>
      <c r="M478" s="8"/>
      <c r="N478" s="8"/>
      <c r="O478" s="194"/>
      <c r="P478" s="195"/>
    </row>
    <row r="479" spans="1:16">
      <c r="A479" s="3"/>
      <c r="B479" s="3" t="str">
        <f>TEXT(Tabela22[[#This Row],[DATA]],"mmmm")</f>
        <v>janeiro</v>
      </c>
      <c r="C479" s="2"/>
      <c r="D479" s="2"/>
      <c r="E479" s="2"/>
      <c r="F479" s="2"/>
      <c r="G479" s="173"/>
      <c r="H479" s="174"/>
      <c r="I479" s="173" t="e">
        <f>Tabela22[[#This Row],[PESO TOTAL]]/Tabela22[[#This Row],[QUANTIDADE]]</f>
        <v>#DIV/0!</v>
      </c>
      <c r="J479" s="2"/>
      <c r="K479" s="193"/>
      <c r="L479" s="8"/>
      <c r="M479" s="8"/>
      <c r="N479" s="8"/>
      <c r="O479" s="194"/>
      <c r="P479" s="195"/>
    </row>
    <row r="480" spans="1:16">
      <c r="A480" s="3"/>
      <c r="B480" s="3" t="str">
        <f>TEXT(Tabela22[[#This Row],[DATA]],"mmmm")</f>
        <v>janeiro</v>
      </c>
      <c r="C480" s="2"/>
      <c r="D480" s="2"/>
      <c r="E480" s="2"/>
      <c r="F480" s="2"/>
      <c r="G480" s="173"/>
      <c r="H480" s="174"/>
      <c r="I480" s="173" t="e">
        <f>Tabela22[[#This Row],[PESO TOTAL]]/Tabela22[[#This Row],[QUANTIDADE]]</f>
        <v>#DIV/0!</v>
      </c>
      <c r="J480" s="2"/>
      <c r="K480" s="193"/>
      <c r="L480" s="8"/>
      <c r="M480" s="8"/>
      <c r="N480" s="8"/>
      <c r="O480" s="194"/>
      <c r="P480" s="195"/>
    </row>
    <row r="481" spans="1:16">
      <c r="A481" s="3"/>
      <c r="B481" s="3" t="str">
        <f>TEXT(Tabela22[[#This Row],[DATA]],"mmmm")</f>
        <v>janeiro</v>
      </c>
      <c r="C481" s="2"/>
      <c r="D481" s="2"/>
      <c r="E481" s="2"/>
      <c r="F481" s="2"/>
      <c r="G481" s="173"/>
      <c r="H481" s="174"/>
      <c r="I481" s="173" t="e">
        <f>Tabela22[[#This Row],[PESO TOTAL]]/Tabela22[[#This Row],[QUANTIDADE]]</f>
        <v>#DIV/0!</v>
      </c>
      <c r="J481" s="2"/>
      <c r="K481" s="193"/>
      <c r="L481" s="8"/>
      <c r="M481" s="8"/>
      <c r="N481" s="8"/>
      <c r="O481" s="194"/>
      <c r="P481" s="195"/>
    </row>
    <row r="482" spans="1:16">
      <c r="A482" s="3"/>
      <c r="B482" s="3" t="str">
        <f>TEXT(Tabela22[[#This Row],[DATA]],"mmmm")</f>
        <v>janeiro</v>
      </c>
      <c r="C482" s="2"/>
      <c r="D482" s="2"/>
      <c r="E482" s="2"/>
      <c r="F482" s="2"/>
      <c r="G482" s="173"/>
      <c r="H482" s="174"/>
      <c r="I482" s="173" t="e">
        <f>Tabela22[[#This Row],[PESO TOTAL]]/Tabela22[[#This Row],[QUANTIDADE]]</f>
        <v>#DIV/0!</v>
      </c>
      <c r="J482" s="2"/>
      <c r="K482" s="193"/>
      <c r="L482" s="8"/>
      <c r="M482" s="8"/>
      <c r="N482" s="8"/>
      <c r="O482" s="194"/>
      <c r="P482" s="195"/>
    </row>
    <row r="483" spans="1:16">
      <c r="A483" s="3"/>
      <c r="B483" s="3" t="str">
        <f>TEXT(Tabela22[[#This Row],[DATA]],"mmmm")</f>
        <v>janeiro</v>
      </c>
      <c r="C483" s="2"/>
      <c r="D483" s="2"/>
      <c r="E483" s="2"/>
      <c r="F483" s="2"/>
      <c r="G483" s="173"/>
      <c r="H483" s="174"/>
      <c r="I483" s="173" t="e">
        <f>Tabela22[[#This Row],[PESO TOTAL]]/Tabela22[[#This Row],[QUANTIDADE]]</f>
        <v>#DIV/0!</v>
      </c>
      <c r="J483" s="2"/>
      <c r="K483" s="193"/>
      <c r="L483" s="8"/>
      <c r="M483" s="8"/>
      <c r="N483" s="8"/>
      <c r="O483" s="194"/>
      <c r="P483" s="195"/>
    </row>
    <row r="484" spans="1:16">
      <c r="A484" s="3"/>
      <c r="B484" s="3" t="str">
        <f>TEXT(Tabela22[[#This Row],[DATA]],"mmmm")</f>
        <v>janeiro</v>
      </c>
      <c r="C484" s="2"/>
      <c r="D484" s="2"/>
      <c r="E484" s="2"/>
      <c r="F484" s="2"/>
      <c r="G484" s="173"/>
      <c r="H484" s="174"/>
      <c r="I484" s="173" t="e">
        <f>Tabela22[[#This Row],[PESO TOTAL]]/Tabela22[[#This Row],[QUANTIDADE]]</f>
        <v>#DIV/0!</v>
      </c>
      <c r="J484" s="2"/>
      <c r="K484" s="193"/>
      <c r="L484" s="8"/>
      <c r="M484" s="8"/>
      <c r="N484" s="8"/>
      <c r="O484" s="194"/>
      <c r="P484" s="195"/>
    </row>
    <row r="485" spans="1:16">
      <c r="A485" s="3"/>
      <c r="B485" s="3" t="str">
        <f>TEXT(Tabela22[[#This Row],[DATA]],"mmmm")</f>
        <v>janeiro</v>
      </c>
      <c r="C485" s="2"/>
      <c r="D485" s="2"/>
      <c r="E485" s="2"/>
      <c r="F485" s="2"/>
      <c r="G485" s="173"/>
      <c r="H485" s="174"/>
      <c r="I485" s="173" t="e">
        <f>Tabela22[[#This Row],[PESO TOTAL]]/Tabela22[[#This Row],[QUANTIDADE]]</f>
        <v>#DIV/0!</v>
      </c>
      <c r="J485" s="2"/>
      <c r="K485" s="193"/>
      <c r="L485" s="8"/>
      <c r="M485" s="8"/>
      <c r="N485" s="8"/>
      <c r="O485" s="194"/>
      <c r="P485" s="195"/>
    </row>
    <row r="486" spans="1:16">
      <c r="A486" s="3"/>
      <c r="B486" s="3" t="str">
        <f>TEXT(Tabela22[[#This Row],[DATA]],"mmmm")</f>
        <v>janeiro</v>
      </c>
      <c r="C486" s="2"/>
      <c r="D486" s="2"/>
      <c r="E486" s="2"/>
      <c r="F486" s="2"/>
      <c r="G486" s="173"/>
      <c r="H486" s="174"/>
      <c r="I486" s="173" t="e">
        <f>Tabela22[[#This Row],[PESO TOTAL]]/Tabela22[[#This Row],[QUANTIDADE]]</f>
        <v>#DIV/0!</v>
      </c>
      <c r="J486" s="2"/>
      <c r="K486" s="193"/>
      <c r="L486" s="8"/>
      <c r="M486" s="8"/>
      <c r="N486" s="8"/>
      <c r="O486" s="194"/>
      <c r="P486" s="195"/>
    </row>
    <row r="487" spans="1:16">
      <c r="A487" s="3"/>
      <c r="B487" s="3" t="str">
        <f>TEXT(Tabela22[[#This Row],[DATA]],"mmmm")</f>
        <v>janeiro</v>
      </c>
      <c r="C487" s="2"/>
      <c r="D487" s="2"/>
      <c r="E487" s="2"/>
      <c r="F487" s="2"/>
      <c r="G487" s="173"/>
      <c r="H487" s="174"/>
      <c r="I487" s="173" t="e">
        <f>Tabela22[[#This Row],[PESO TOTAL]]/Tabela22[[#This Row],[QUANTIDADE]]</f>
        <v>#DIV/0!</v>
      </c>
      <c r="J487" s="2"/>
      <c r="K487" s="193"/>
      <c r="L487" s="8"/>
      <c r="M487" s="8"/>
      <c r="N487" s="8"/>
      <c r="O487" s="194"/>
      <c r="P487" s="195"/>
    </row>
    <row r="488" spans="1:16">
      <c r="A488" s="3"/>
      <c r="B488" s="3" t="str">
        <f>TEXT(Tabela22[[#This Row],[DATA]],"mmmm")</f>
        <v>janeiro</v>
      </c>
      <c r="C488" s="2"/>
      <c r="D488" s="2"/>
      <c r="E488" s="2"/>
      <c r="F488" s="2"/>
      <c r="G488" s="173"/>
      <c r="H488" s="174"/>
      <c r="I488" s="173" t="e">
        <f>Tabela22[[#This Row],[PESO TOTAL]]/Tabela22[[#This Row],[QUANTIDADE]]</f>
        <v>#DIV/0!</v>
      </c>
      <c r="J488" s="2"/>
      <c r="K488" s="193"/>
      <c r="L488" s="8"/>
      <c r="M488" s="8"/>
      <c r="N488" s="8"/>
      <c r="O488" s="194"/>
      <c r="P488" s="195"/>
    </row>
    <row r="489" spans="1:16">
      <c r="A489" s="3"/>
      <c r="B489" s="3" t="str">
        <f>TEXT(Tabela22[[#This Row],[DATA]],"mmmm")</f>
        <v>janeiro</v>
      </c>
      <c r="C489" s="2"/>
      <c r="D489" s="2"/>
      <c r="E489" s="2"/>
      <c r="F489" s="2"/>
      <c r="G489" s="173"/>
      <c r="H489" s="174"/>
      <c r="I489" s="173" t="e">
        <f>Tabela22[[#This Row],[PESO TOTAL]]/Tabela22[[#This Row],[QUANTIDADE]]</f>
        <v>#DIV/0!</v>
      </c>
      <c r="J489" s="2"/>
      <c r="K489" s="193"/>
      <c r="L489" s="8"/>
      <c r="M489" s="8"/>
      <c r="N489" s="8"/>
      <c r="O489" s="194"/>
      <c r="P489" s="195"/>
    </row>
    <row r="490" spans="1:16">
      <c r="A490" s="3"/>
      <c r="B490" s="3" t="str">
        <f>TEXT(Tabela22[[#This Row],[DATA]],"mmmm")</f>
        <v>janeiro</v>
      </c>
      <c r="C490" s="2"/>
      <c r="D490" s="2"/>
      <c r="E490" s="2"/>
      <c r="F490" s="2"/>
      <c r="G490" s="173"/>
      <c r="H490" s="174"/>
      <c r="I490" s="173" t="e">
        <f>Tabela22[[#This Row],[PESO TOTAL]]/Tabela22[[#This Row],[QUANTIDADE]]</f>
        <v>#DIV/0!</v>
      </c>
      <c r="J490" s="2"/>
      <c r="K490" s="193"/>
      <c r="L490" s="8"/>
      <c r="M490" s="8"/>
      <c r="N490" s="8"/>
      <c r="O490" s="194"/>
      <c r="P490" s="195"/>
    </row>
    <row r="491" spans="1:16">
      <c r="A491" s="3"/>
      <c r="B491" s="3" t="str">
        <f>TEXT(Tabela22[[#This Row],[DATA]],"mmmm")</f>
        <v>janeiro</v>
      </c>
      <c r="C491" s="2"/>
      <c r="D491" s="2"/>
      <c r="E491" s="2"/>
      <c r="F491" s="2"/>
      <c r="G491" s="173"/>
      <c r="H491" s="174"/>
      <c r="I491" s="173" t="e">
        <f>Tabela22[[#This Row],[PESO TOTAL]]/Tabela22[[#This Row],[QUANTIDADE]]</f>
        <v>#DIV/0!</v>
      </c>
      <c r="J491" s="2"/>
      <c r="K491" s="193"/>
      <c r="L491" s="8"/>
      <c r="M491" s="8"/>
      <c r="N491" s="8"/>
      <c r="O491" s="194"/>
      <c r="P491" s="195"/>
    </row>
    <row r="492" spans="1:16">
      <c r="A492" s="3"/>
      <c r="B492" s="3" t="str">
        <f>TEXT(Tabela22[[#This Row],[DATA]],"mmmm")</f>
        <v>janeiro</v>
      </c>
      <c r="C492" s="2"/>
      <c r="D492" s="2"/>
      <c r="E492" s="2"/>
      <c r="F492" s="2"/>
      <c r="G492" s="173"/>
      <c r="H492" s="174"/>
      <c r="I492" s="173" t="e">
        <f>Tabela22[[#This Row],[PESO TOTAL]]/Tabela22[[#This Row],[QUANTIDADE]]</f>
        <v>#DIV/0!</v>
      </c>
      <c r="J492" s="2"/>
      <c r="K492" s="193"/>
      <c r="L492" s="8"/>
      <c r="M492" s="8"/>
      <c r="N492" s="8"/>
      <c r="O492" s="194"/>
      <c r="P492" s="195"/>
    </row>
    <row r="493" spans="1:16">
      <c r="A493" s="3"/>
      <c r="B493" s="3" t="str">
        <f>TEXT(Tabela22[[#This Row],[DATA]],"mmmm")</f>
        <v>janeiro</v>
      </c>
      <c r="C493" s="2"/>
      <c r="D493" s="2"/>
      <c r="E493" s="2"/>
      <c r="F493" s="2"/>
      <c r="G493" s="173"/>
      <c r="H493" s="174"/>
      <c r="I493" s="173" t="e">
        <f>Tabela22[[#This Row],[PESO TOTAL]]/Tabela22[[#This Row],[QUANTIDADE]]</f>
        <v>#DIV/0!</v>
      </c>
      <c r="J493" s="2"/>
      <c r="K493" s="193"/>
      <c r="L493" s="8"/>
      <c r="M493" s="8"/>
      <c r="N493" s="8"/>
      <c r="O493" s="194"/>
      <c r="P493" s="195"/>
    </row>
    <row r="494" spans="1:16">
      <c r="A494" s="3"/>
      <c r="B494" s="3" t="str">
        <f>TEXT(Tabela22[[#This Row],[DATA]],"mmmm")</f>
        <v>janeiro</v>
      </c>
      <c r="C494" s="2"/>
      <c r="D494" s="2"/>
      <c r="E494" s="2"/>
      <c r="F494" s="2"/>
      <c r="G494" s="173"/>
      <c r="H494" s="174"/>
      <c r="I494" s="173" t="e">
        <f>Tabela22[[#This Row],[PESO TOTAL]]/Tabela22[[#This Row],[QUANTIDADE]]</f>
        <v>#DIV/0!</v>
      </c>
      <c r="J494" s="2"/>
      <c r="K494" s="193"/>
      <c r="L494" s="8"/>
      <c r="M494" s="8"/>
      <c r="N494" s="8"/>
      <c r="O494" s="194"/>
      <c r="P494" s="195"/>
    </row>
    <row r="495" spans="1:16">
      <c r="A495" s="3"/>
      <c r="B495" s="3" t="str">
        <f>TEXT(Tabela22[[#This Row],[DATA]],"mmmm")</f>
        <v>janeiro</v>
      </c>
      <c r="C495" s="2"/>
      <c r="D495" s="2"/>
      <c r="E495" s="2"/>
      <c r="F495" s="2"/>
      <c r="G495" s="173"/>
      <c r="H495" s="174"/>
      <c r="I495" s="173" t="e">
        <f>Tabela22[[#This Row],[PESO TOTAL]]/Tabela22[[#This Row],[QUANTIDADE]]</f>
        <v>#DIV/0!</v>
      </c>
      <c r="J495" s="2"/>
      <c r="K495" s="193"/>
      <c r="L495" s="8"/>
      <c r="M495" s="8"/>
      <c r="N495" s="8"/>
      <c r="O495" s="194"/>
      <c r="P495" s="195"/>
    </row>
    <row r="496" spans="1:16">
      <c r="A496" s="3"/>
      <c r="B496" s="3" t="str">
        <f>TEXT(Tabela22[[#This Row],[DATA]],"mmmm")</f>
        <v>janeiro</v>
      </c>
      <c r="C496" s="2"/>
      <c r="D496" s="2"/>
      <c r="E496" s="2"/>
      <c r="F496" s="2"/>
      <c r="G496" s="173"/>
      <c r="H496" s="174"/>
      <c r="I496" s="173" t="e">
        <f>Tabela22[[#This Row],[PESO TOTAL]]/Tabela22[[#This Row],[QUANTIDADE]]</f>
        <v>#DIV/0!</v>
      </c>
      <c r="J496" s="2"/>
      <c r="K496" s="193"/>
      <c r="L496" s="8"/>
      <c r="M496" s="8"/>
      <c r="N496" s="8"/>
      <c r="O496" s="194"/>
      <c r="P496" s="195"/>
    </row>
    <row r="497" spans="1:16">
      <c r="A497" s="3"/>
      <c r="B497" s="3" t="str">
        <f>TEXT(Tabela22[[#This Row],[DATA]],"mmmm")</f>
        <v>janeiro</v>
      </c>
      <c r="C497" s="2"/>
      <c r="D497" s="2"/>
      <c r="E497" s="2"/>
      <c r="F497" s="2"/>
      <c r="G497" s="173"/>
      <c r="H497" s="174"/>
      <c r="I497" s="173" t="e">
        <f>Tabela22[[#This Row],[PESO TOTAL]]/Tabela22[[#This Row],[QUANTIDADE]]</f>
        <v>#DIV/0!</v>
      </c>
      <c r="J497" s="2"/>
      <c r="K497" s="193"/>
      <c r="L497" s="8"/>
      <c r="M497" s="8"/>
      <c r="N497" s="8"/>
      <c r="O497" s="194"/>
      <c r="P497" s="195"/>
    </row>
    <row r="498" spans="1:16">
      <c r="A498" s="3"/>
      <c r="B498" s="3" t="str">
        <f>TEXT(Tabela22[[#This Row],[DATA]],"mmmm")</f>
        <v>janeiro</v>
      </c>
      <c r="C498" s="2"/>
      <c r="D498" s="2"/>
      <c r="E498" s="2"/>
      <c r="F498" s="2"/>
      <c r="G498" s="173"/>
      <c r="H498" s="174"/>
      <c r="I498" s="173" t="e">
        <f>Tabela22[[#This Row],[PESO TOTAL]]/Tabela22[[#This Row],[QUANTIDADE]]</f>
        <v>#DIV/0!</v>
      </c>
      <c r="J498" s="2"/>
      <c r="K498" s="193"/>
      <c r="L498" s="8"/>
      <c r="M498" s="8"/>
      <c r="N498" s="8"/>
      <c r="O498" s="194"/>
      <c r="P498" s="195"/>
    </row>
    <row r="499" spans="1:16">
      <c r="A499" s="3"/>
      <c r="B499" s="3" t="str">
        <f>TEXT(Tabela22[[#This Row],[DATA]],"mmmm")</f>
        <v>janeiro</v>
      </c>
      <c r="C499" s="2"/>
      <c r="D499" s="2"/>
      <c r="E499" s="2"/>
      <c r="F499" s="2"/>
      <c r="G499" s="173"/>
      <c r="H499" s="174"/>
      <c r="I499" s="173" t="e">
        <f>Tabela22[[#This Row],[PESO TOTAL]]/Tabela22[[#This Row],[QUANTIDADE]]</f>
        <v>#DIV/0!</v>
      </c>
      <c r="J499" s="2"/>
      <c r="K499" s="193"/>
      <c r="L499" s="8"/>
      <c r="M499" s="8"/>
      <c r="N499" s="8"/>
      <c r="O499" s="194"/>
      <c r="P499" s="195"/>
    </row>
    <row r="500" spans="1:16">
      <c r="A500" s="3"/>
      <c r="B500" s="3" t="str">
        <f>TEXT(Tabela22[[#This Row],[DATA]],"mmmm")</f>
        <v>janeiro</v>
      </c>
      <c r="C500" s="2"/>
      <c r="D500" s="2"/>
      <c r="E500" s="2"/>
      <c r="F500" s="2"/>
      <c r="G500" s="173"/>
      <c r="H500" s="174"/>
      <c r="I500" s="173" t="e">
        <f>Tabela22[[#This Row],[PESO TOTAL]]/Tabela22[[#This Row],[QUANTIDADE]]</f>
        <v>#DIV/0!</v>
      </c>
      <c r="J500" s="2"/>
      <c r="K500" s="193"/>
      <c r="L500" s="8"/>
      <c r="M500" s="8"/>
      <c r="N500" s="8"/>
      <c r="O500" s="194"/>
      <c r="P500" s="195"/>
    </row>
    <row r="501" spans="1:16">
      <c r="A501" s="3"/>
      <c r="B501" s="3" t="str">
        <f>TEXT(Tabela22[[#This Row],[DATA]],"mmmm")</f>
        <v>janeiro</v>
      </c>
      <c r="C501" s="2"/>
      <c r="D501" s="2"/>
      <c r="E501" s="2"/>
      <c r="F501" s="2"/>
      <c r="G501" s="173"/>
      <c r="H501" s="174"/>
      <c r="I501" s="173" t="e">
        <f>Tabela22[[#This Row],[PESO TOTAL]]/Tabela22[[#This Row],[QUANTIDADE]]</f>
        <v>#DIV/0!</v>
      </c>
      <c r="J501" s="2"/>
      <c r="K501" s="193"/>
      <c r="L501" s="8"/>
      <c r="M501" s="8"/>
      <c r="N501" s="8"/>
      <c r="O501" s="194"/>
      <c r="P501" s="195"/>
    </row>
    <row r="502" spans="1:16">
      <c r="A502" s="3"/>
      <c r="B502" s="3" t="str">
        <f>TEXT(Tabela22[[#This Row],[DATA]],"mmmm")</f>
        <v>janeiro</v>
      </c>
      <c r="C502" s="2"/>
      <c r="D502" s="2"/>
      <c r="E502" s="2"/>
      <c r="F502" s="2"/>
      <c r="G502" s="173"/>
      <c r="H502" s="174"/>
      <c r="I502" s="173" t="e">
        <f>Tabela22[[#This Row],[PESO TOTAL]]/Tabela22[[#This Row],[QUANTIDADE]]</f>
        <v>#DIV/0!</v>
      </c>
      <c r="J502" s="2"/>
      <c r="K502" s="193"/>
      <c r="L502" s="8"/>
      <c r="M502" s="8"/>
      <c r="N502" s="8"/>
      <c r="O502" s="194"/>
      <c r="P502" s="195"/>
    </row>
    <row r="503" spans="1:16">
      <c r="A503" s="3"/>
      <c r="B503" s="3" t="str">
        <f>TEXT(Tabela22[[#This Row],[DATA]],"mmmm")</f>
        <v>janeiro</v>
      </c>
      <c r="C503" s="2"/>
      <c r="D503" s="2"/>
      <c r="E503" s="2"/>
      <c r="F503" s="2"/>
      <c r="G503" s="173"/>
      <c r="H503" s="174"/>
      <c r="I503" s="173" t="e">
        <f>Tabela22[[#This Row],[PESO TOTAL]]/Tabela22[[#This Row],[QUANTIDADE]]</f>
        <v>#DIV/0!</v>
      </c>
      <c r="J503" s="2"/>
      <c r="K503" s="193"/>
      <c r="L503" s="8"/>
      <c r="M503" s="8"/>
      <c r="N503" s="8"/>
      <c r="O503" s="194"/>
      <c r="P503" s="195"/>
    </row>
    <row r="504" spans="1:16">
      <c r="A504" s="3"/>
      <c r="B504" s="3" t="str">
        <f>TEXT(Tabela22[[#This Row],[DATA]],"mmmm")</f>
        <v>janeiro</v>
      </c>
      <c r="C504" s="2"/>
      <c r="D504" s="2"/>
      <c r="E504" s="2"/>
      <c r="F504" s="2"/>
      <c r="G504" s="173"/>
      <c r="H504" s="174"/>
      <c r="I504" s="173" t="e">
        <f>Tabela22[[#This Row],[PESO TOTAL]]/Tabela22[[#This Row],[QUANTIDADE]]</f>
        <v>#DIV/0!</v>
      </c>
      <c r="J504" s="2"/>
      <c r="K504" s="193"/>
      <c r="L504" s="8"/>
      <c r="M504" s="8"/>
      <c r="N504" s="8"/>
      <c r="O504" s="194"/>
      <c r="P504" s="195"/>
    </row>
    <row r="505" spans="1:16">
      <c r="A505" s="3"/>
      <c r="B505" s="3" t="str">
        <f>TEXT(Tabela22[[#This Row],[DATA]],"mmmm")</f>
        <v>janeiro</v>
      </c>
      <c r="C505" s="2"/>
      <c r="D505" s="2"/>
      <c r="E505" s="2"/>
      <c r="F505" s="2"/>
      <c r="G505" s="173"/>
      <c r="H505" s="174"/>
      <c r="I505" s="173" t="e">
        <f>Tabela22[[#This Row],[PESO TOTAL]]/Tabela22[[#This Row],[QUANTIDADE]]</f>
        <v>#DIV/0!</v>
      </c>
      <c r="J505" s="2"/>
      <c r="K505" s="193"/>
      <c r="L505" s="8"/>
      <c r="M505" s="8"/>
      <c r="N505" s="8"/>
      <c r="O505" s="194"/>
      <c r="P505" s="195"/>
    </row>
    <row r="506" spans="1:16">
      <c r="A506" s="3"/>
      <c r="B506" s="3" t="str">
        <f>TEXT(Tabela22[[#This Row],[DATA]],"mmmm")</f>
        <v>janeiro</v>
      </c>
      <c r="C506" s="2"/>
      <c r="D506" s="2"/>
      <c r="E506" s="2"/>
      <c r="F506" s="2"/>
      <c r="G506" s="173"/>
      <c r="H506" s="174"/>
      <c r="I506" s="173" t="e">
        <f>Tabela22[[#This Row],[PESO TOTAL]]/Tabela22[[#This Row],[QUANTIDADE]]</f>
        <v>#DIV/0!</v>
      </c>
      <c r="J506" s="2"/>
      <c r="K506" s="193"/>
      <c r="L506" s="8"/>
      <c r="M506" s="8"/>
      <c r="N506" s="8"/>
      <c r="O506" s="194"/>
      <c r="P506" s="195"/>
    </row>
    <row r="507" spans="1:16">
      <c r="A507" s="3"/>
      <c r="B507" s="3" t="str">
        <f>TEXT(Tabela22[[#This Row],[DATA]],"mmmm")</f>
        <v>janeiro</v>
      </c>
      <c r="C507" s="2"/>
      <c r="D507" s="2"/>
      <c r="E507" s="2"/>
      <c r="F507" s="2"/>
      <c r="G507" s="173"/>
      <c r="H507" s="174"/>
      <c r="I507" s="173" t="e">
        <f>Tabela22[[#This Row],[PESO TOTAL]]/Tabela22[[#This Row],[QUANTIDADE]]</f>
        <v>#DIV/0!</v>
      </c>
      <c r="J507" s="2"/>
      <c r="K507" s="193"/>
      <c r="L507" s="8"/>
      <c r="M507" s="8"/>
      <c r="N507" s="8"/>
      <c r="O507" s="194"/>
      <c r="P507" s="195"/>
    </row>
    <row r="508" spans="1:16">
      <c r="A508" s="3"/>
      <c r="B508" s="3" t="str">
        <f>TEXT(Tabela22[[#This Row],[DATA]],"mmmm")</f>
        <v>janeiro</v>
      </c>
      <c r="C508" s="2"/>
      <c r="D508" s="2"/>
      <c r="E508" s="2"/>
      <c r="F508" s="2"/>
      <c r="G508" s="173"/>
      <c r="H508" s="174"/>
      <c r="I508" s="173" t="e">
        <f>Tabela22[[#This Row],[PESO TOTAL]]/Tabela22[[#This Row],[QUANTIDADE]]</f>
        <v>#DIV/0!</v>
      </c>
      <c r="J508" s="2"/>
      <c r="K508" s="193"/>
      <c r="L508" s="8"/>
      <c r="M508" s="8"/>
      <c r="N508" s="8"/>
      <c r="O508" s="194"/>
      <c r="P508" s="195"/>
    </row>
    <row r="509" spans="1:16">
      <c r="A509" s="3"/>
      <c r="B509" s="3" t="str">
        <f>TEXT(Tabela22[[#This Row],[DATA]],"mmmm")</f>
        <v>janeiro</v>
      </c>
      <c r="C509" s="2"/>
      <c r="D509" s="2"/>
      <c r="E509" s="2"/>
      <c r="F509" s="2"/>
      <c r="G509" s="173"/>
      <c r="H509" s="174"/>
      <c r="I509" s="173" t="e">
        <f>Tabela22[[#This Row],[PESO TOTAL]]/Tabela22[[#This Row],[QUANTIDADE]]</f>
        <v>#DIV/0!</v>
      </c>
      <c r="J509" s="2"/>
      <c r="K509" s="193"/>
      <c r="L509" s="8"/>
      <c r="M509" s="8"/>
      <c r="N509" s="8"/>
      <c r="O509" s="194"/>
      <c r="P509" s="195"/>
    </row>
    <row r="510" spans="1:16">
      <c r="A510" s="3"/>
      <c r="B510" s="3" t="str">
        <f>TEXT(Tabela22[[#This Row],[DATA]],"mmmm")</f>
        <v>janeiro</v>
      </c>
      <c r="C510" s="2"/>
      <c r="D510" s="2"/>
      <c r="E510" s="2"/>
      <c r="F510" s="2"/>
      <c r="G510" s="173"/>
      <c r="H510" s="174"/>
      <c r="I510" s="173" t="e">
        <f>Tabela22[[#This Row],[PESO TOTAL]]/Tabela22[[#This Row],[QUANTIDADE]]</f>
        <v>#DIV/0!</v>
      </c>
      <c r="J510" s="2"/>
      <c r="K510" s="193"/>
      <c r="L510" s="8"/>
      <c r="M510" s="8"/>
      <c r="N510" s="8"/>
      <c r="O510" s="194"/>
      <c r="P510" s="195"/>
    </row>
    <row r="511" spans="1:16">
      <c r="A511" s="3"/>
      <c r="B511" s="3" t="str">
        <f>TEXT(Tabela22[[#This Row],[DATA]],"mmmm")</f>
        <v>janeiro</v>
      </c>
      <c r="C511" s="2"/>
      <c r="D511" s="2"/>
      <c r="E511" s="2"/>
      <c r="F511" s="2"/>
      <c r="G511" s="173"/>
      <c r="H511" s="174"/>
      <c r="I511" s="173" t="e">
        <f>Tabela22[[#This Row],[PESO TOTAL]]/Tabela22[[#This Row],[QUANTIDADE]]</f>
        <v>#DIV/0!</v>
      </c>
      <c r="J511" s="2"/>
      <c r="K511" s="193"/>
      <c r="L511" s="8"/>
      <c r="M511" s="8"/>
      <c r="N511" s="8"/>
      <c r="O511" s="194"/>
      <c r="P511" s="195"/>
    </row>
    <row r="512" spans="1:16">
      <c r="A512" s="3"/>
      <c r="B512" s="3" t="str">
        <f>TEXT(Tabela22[[#This Row],[DATA]],"mmmm")</f>
        <v>janeiro</v>
      </c>
      <c r="C512" s="2"/>
      <c r="D512" s="2"/>
      <c r="E512" s="2"/>
      <c r="F512" s="2"/>
      <c r="G512" s="173"/>
      <c r="H512" s="174"/>
      <c r="I512" s="173" t="e">
        <f>Tabela22[[#This Row],[PESO TOTAL]]/Tabela22[[#This Row],[QUANTIDADE]]</f>
        <v>#DIV/0!</v>
      </c>
      <c r="J512" s="2"/>
      <c r="K512" s="193"/>
      <c r="L512" s="8"/>
      <c r="M512" s="8"/>
      <c r="N512" s="8"/>
      <c r="O512" s="194"/>
      <c r="P512" s="195"/>
    </row>
    <row r="513" spans="1:16">
      <c r="A513" s="3"/>
      <c r="B513" s="3" t="str">
        <f>TEXT(Tabela22[[#This Row],[DATA]],"mmmm")</f>
        <v>janeiro</v>
      </c>
      <c r="C513" s="2"/>
      <c r="D513" s="2"/>
      <c r="E513" s="2"/>
      <c r="F513" s="2"/>
      <c r="G513" s="173"/>
      <c r="H513" s="174"/>
      <c r="I513" s="173" t="e">
        <f>Tabela22[[#This Row],[PESO TOTAL]]/Tabela22[[#This Row],[QUANTIDADE]]</f>
        <v>#DIV/0!</v>
      </c>
      <c r="J513" s="2"/>
      <c r="K513" s="193"/>
      <c r="L513" s="8"/>
      <c r="M513" s="8"/>
      <c r="N513" s="8"/>
      <c r="O513" s="194"/>
      <c r="P513" s="195"/>
    </row>
    <row r="514" spans="1:16">
      <c r="A514" s="3"/>
      <c r="B514" s="3" t="str">
        <f>TEXT(Tabela22[[#This Row],[DATA]],"mmmm")</f>
        <v>janeiro</v>
      </c>
      <c r="C514" s="2"/>
      <c r="D514" s="2"/>
      <c r="E514" s="2"/>
      <c r="F514" s="2"/>
      <c r="G514" s="173"/>
      <c r="H514" s="174"/>
      <c r="I514" s="173" t="e">
        <f>Tabela22[[#This Row],[PESO TOTAL]]/Tabela22[[#This Row],[QUANTIDADE]]</f>
        <v>#DIV/0!</v>
      </c>
      <c r="J514" s="2"/>
      <c r="K514" s="193"/>
      <c r="L514" s="8"/>
      <c r="M514" s="8"/>
      <c r="N514" s="8"/>
      <c r="O514" s="194"/>
      <c r="P514" s="195"/>
    </row>
    <row r="515" spans="1:16">
      <c r="A515" s="3"/>
      <c r="B515" s="3" t="str">
        <f>TEXT(Tabela22[[#This Row],[DATA]],"mmmm")</f>
        <v>janeiro</v>
      </c>
      <c r="C515" s="2"/>
      <c r="D515" s="2"/>
      <c r="E515" s="2"/>
      <c r="F515" s="2"/>
      <c r="G515" s="173"/>
      <c r="H515" s="174"/>
      <c r="I515" s="173" t="e">
        <f>Tabela22[[#This Row],[PESO TOTAL]]/Tabela22[[#This Row],[QUANTIDADE]]</f>
        <v>#DIV/0!</v>
      </c>
      <c r="J515" s="2"/>
      <c r="K515" s="193"/>
      <c r="L515" s="8"/>
      <c r="M515" s="8"/>
      <c r="N515" s="8"/>
      <c r="O515" s="194"/>
      <c r="P515" s="195"/>
    </row>
    <row r="516" spans="1:16">
      <c r="A516" s="3"/>
      <c r="B516" s="3" t="str">
        <f>TEXT(Tabela22[[#This Row],[DATA]],"mmmm")</f>
        <v>janeiro</v>
      </c>
      <c r="C516" s="2"/>
      <c r="D516" s="2"/>
      <c r="E516" s="2"/>
      <c r="F516" s="2"/>
      <c r="G516" s="173"/>
      <c r="H516" s="174"/>
      <c r="I516" s="173" t="e">
        <f>Tabela22[[#This Row],[PESO TOTAL]]/Tabela22[[#This Row],[QUANTIDADE]]</f>
        <v>#DIV/0!</v>
      </c>
      <c r="J516" s="2"/>
      <c r="K516" s="193"/>
      <c r="L516" s="8"/>
      <c r="M516" s="8"/>
      <c r="N516" s="8"/>
      <c r="O516" s="194"/>
      <c r="P516" s="195"/>
    </row>
    <row r="517" spans="1:16">
      <c r="A517" s="3"/>
      <c r="B517" s="3" t="str">
        <f>TEXT(Tabela22[[#This Row],[DATA]],"mmmm")</f>
        <v>janeiro</v>
      </c>
      <c r="C517" s="2"/>
      <c r="D517" s="2"/>
      <c r="E517" s="2"/>
      <c r="F517" s="2"/>
      <c r="G517" s="173"/>
      <c r="H517" s="174"/>
      <c r="I517" s="173" t="e">
        <f>Tabela22[[#This Row],[PESO TOTAL]]/Tabela22[[#This Row],[QUANTIDADE]]</f>
        <v>#DIV/0!</v>
      </c>
      <c r="J517" s="2"/>
      <c r="K517" s="193"/>
      <c r="L517" s="8"/>
      <c r="M517" s="8"/>
      <c r="N517" s="8"/>
      <c r="O517" s="194"/>
      <c r="P517" s="195"/>
    </row>
    <row r="518" spans="1:16">
      <c r="A518" s="3"/>
      <c r="B518" s="3" t="str">
        <f>TEXT(Tabela22[[#This Row],[DATA]],"mmmm")</f>
        <v>janeiro</v>
      </c>
      <c r="C518" s="2"/>
      <c r="D518" s="2"/>
      <c r="E518" s="2"/>
      <c r="F518" s="2"/>
      <c r="G518" s="173"/>
      <c r="H518" s="174"/>
      <c r="I518" s="173" t="e">
        <f>Tabela22[[#This Row],[PESO TOTAL]]/Tabela22[[#This Row],[QUANTIDADE]]</f>
        <v>#DIV/0!</v>
      </c>
      <c r="J518" s="2"/>
      <c r="K518" s="193"/>
      <c r="L518" s="8"/>
      <c r="M518" s="8"/>
      <c r="N518" s="8"/>
      <c r="O518" s="194"/>
      <c r="P518" s="195"/>
    </row>
    <row r="519" spans="1:16">
      <c r="A519" s="3"/>
      <c r="B519" s="3" t="str">
        <f>TEXT(Tabela22[[#This Row],[DATA]],"mmmm")</f>
        <v>janeiro</v>
      </c>
      <c r="C519" s="2"/>
      <c r="D519" s="2"/>
      <c r="E519" s="2"/>
      <c r="F519" s="2"/>
      <c r="G519" s="173"/>
      <c r="H519" s="174"/>
      <c r="I519" s="173" t="e">
        <f>Tabela22[[#This Row],[PESO TOTAL]]/Tabela22[[#This Row],[QUANTIDADE]]</f>
        <v>#DIV/0!</v>
      </c>
      <c r="J519" s="2"/>
      <c r="K519" s="193"/>
      <c r="L519" s="8"/>
      <c r="M519" s="8"/>
      <c r="N519" s="8"/>
      <c r="O519" s="194"/>
      <c r="P519" s="195"/>
    </row>
    <row r="520" spans="1:16">
      <c r="A520" s="3"/>
      <c r="B520" s="3" t="str">
        <f>TEXT(Tabela22[[#This Row],[DATA]],"mmmm")</f>
        <v>janeiro</v>
      </c>
      <c r="C520" s="2"/>
      <c r="D520" s="2"/>
      <c r="E520" s="2"/>
      <c r="F520" s="2"/>
      <c r="G520" s="173"/>
      <c r="H520" s="174"/>
      <c r="I520" s="173" t="e">
        <f>Tabela22[[#This Row],[PESO TOTAL]]/Tabela22[[#This Row],[QUANTIDADE]]</f>
        <v>#DIV/0!</v>
      </c>
      <c r="J520" s="2"/>
      <c r="K520" s="193"/>
      <c r="L520" s="8"/>
      <c r="M520" s="8"/>
      <c r="N520" s="8"/>
      <c r="O520" s="194"/>
      <c r="P520" s="195"/>
    </row>
    <row r="521" spans="1:16">
      <c r="A521" s="3"/>
      <c r="B521" s="3" t="str">
        <f>TEXT(Tabela22[[#This Row],[DATA]],"mmmm")</f>
        <v>janeiro</v>
      </c>
      <c r="C521" s="2"/>
      <c r="D521" s="2"/>
      <c r="E521" s="2"/>
      <c r="F521" s="2"/>
      <c r="G521" s="173"/>
      <c r="H521" s="174"/>
      <c r="I521" s="173" t="e">
        <f>Tabela22[[#This Row],[PESO TOTAL]]/Tabela22[[#This Row],[QUANTIDADE]]</f>
        <v>#DIV/0!</v>
      </c>
      <c r="J521" s="2"/>
      <c r="K521" s="193"/>
      <c r="L521" s="8"/>
      <c r="M521" s="8"/>
      <c r="N521" s="8"/>
      <c r="O521" s="194"/>
      <c r="P521" s="195"/>
    </row>
    <row r="522" spans="1:16">
      <c r="A522" s="3"/>
      <c r="B522" s="3" t="str">
        <f>TEXT(Tabela22[[#This Row],[DATA]],"mmmm")</f>
        <v>janeiro</v>
      </c>
      <c r="C522" s="2"/>
      <c r="D522" s="2"/>
      <c r="E522" s="2"/>
      <c r="F522" s="2"/>
      <c r="G522" s="173"/>
      <c r="H522" s="174"/>
      <c r="I522" s="173" t="e">
        <f>Tabela22[[#This Row],[PESO TOTAL]]/Tabela22[[#This Row],[QUANTIDADE]]</f>
        <v>#DIV/0!</v>
      </c>
      <c r="J522" s="2"/>
      <c r="K522" s="193"/>
      <c r="L522" s="8"/>
      <c r="M522" s="8"/>
      <c r="N522" s="8"/>
      <c r="O522" s="194"/>
      <c r="P522" s="195"/>
    </row>
    <row r="523" spans="1:16">
      <c r="A523" s="3"/>
      <c r="B523" s="3" t="str">
        <f>TEXT(Tabela22[[#This Row],[DATA]],"mmmm")</f>
        <v>janeiro</v>
      </c>
      <c r="C523" s="2"/>
      <c r="D523" s="2"/>
      <c r="E523" s="2"/>
      <c r="F523" s="2"/>
      <c r="G523" s="173"/>
      <c r="H523" s="174"/>
      <c r="I523" s="173" t="e">
        <f>Tabela22[[#This Row],[PESO TOTAL]]/Tabela22[[#This Row],[QUANTIDADE]]</f>
        <v>#DIV/0!</v>
      </c>
      <c r="J523" s="2"/>
      <c r="K523" s="193"/>
      <c r="L523" s="8"/>
      <c r="M523" s="8"/>
      <c r="N523" s="8"/>
      <c r="O523" s="194"/>
      <c r="P523" s="195"/>
    </row>
    <row r="524" spans="1:16">
      <c r="A524" s="3"/>
      <c r="B524" s="3" t="str">
        <f>TEXT(Tabela22[[#This Row],[DATA]],"mmmm")</f>
        <v>janeiro</v>
      </c>
      <c r="C524" s="2"/>
      <c r="D524" s="2"/>
      <c r="E524" s="2"/>
      <c r="F524" s="2"/>
      <c r="G524" s="173"/>
      <c r="H524" s="174"/>
      <c r="I524" s="173" t="e">
        <f>Tabela22[[#This Row],[PESO TOTAL]]/Tabela22[[#This Row],[QUANTIDADE]]</f>
        <v>#DIV/0!</v>
      </c>
      <c r="J524" s="2"/>
      <c r="K524" s="193"/>
      <c r="L524" s="8"/>
      <c r="M524" s="8"/>
      <c r="N524" s="8"/>
      <c r="O524" s="194"/>
      <c r="P524" s="195"/>
    </row>
    <row r="525" spans="1:16">
      <c r="A525" s="3"/>
      <c r="B525" s="3" t="str">
        <f>TEXT(Tabela22[[#This Row],[DATA]],"mmmm")</f>
        <v>janeiro</v>
      </c>
      <c r="C525" s="2"/>
      <c r="D525" s="2"/>
      <c r="E525" s="2"/>
      <c r="F525" s="2"/>
      <c r="G525" s="173"/>
      <c r="H525" s="174"/>
      <c r="I525" s="173" t="e">
        <f>Tabela22[[#This Row],[PESO TOTAL]]/Tabela22[[#This Row],[QUANTIDADE]]</f>
        <v>#DIV/0!</v>
      </c>
      <c r="J525" s="2"/>
      <c r="K525" s="193"/>
      <c r="L525" s="8"/>
      <c r="M525" s="8"/>
      <c r="N525" s="8"/>
      <c r="O525" s="194"/>
      <c r="P525" s="195"/>
    </row>
    <row r="526" spans="1:16">
      <c r="A526" s="3"/>
      <c r="B526" s="3" t="str">
        <f>TEXT(Tabela22[[#This Row],[DATA]],"mmmm")</f>
        <v>janeiro</v>
      </c>
      <c r="C526" s="2"/>
      <c r="D526" s="2"/>
      <c r="E526" s="2"/>
      <c r="F526" s="2"/>
      <c r="G526" s="173"/>
      <c r="H526" s="174"/>
      <c r="I526" s="173" t="e">
        <f>Tabela22[[#This Row],[PESO TOTAL]]/Tabela22[[#This Row],[QUANTIDADE]]</f>
        <v>#DIV/0!</v>
      </c>
      <c r="J526" s="2"/>
      <c r="K526" s="193"/>
      <c r="L526" s="8"/>
      <c r="M526" s="8"/>
      <c r="N526" s="8"/>
      <c r="O526" s="194"/>
      <c r="P526" s="195"/>
    </row>
    <row r="527" spans="1:16">
      <c r="A527" s="3"/>
      <c r="B527" s="3" t="str">
        <f>TEXT(Tabela22[[#This Row],[DATA]],"mmmm")</f>
        <v>janeiro</v>
      </c>
      <c r="C527" s="2"/>
      <c r="D527" s="2"/>
      <c r="E527" s="2"/>
      <c r="F527" s="2"/>
      <c r="G527" s="173"/>
      <c r="H527" s="174"/>
      <c r="I527" s="173" t="e">
        <f>Tabela22[[#This Row],[PESO TOTAL]]/Tabela22[[#This Row],[QUANTIDADE]]</f>
        <v>#DIV/0!</v>
      </c>
      <c r="J527" s="2"/>
      <c r="K527" s="193"/>
      <c r="L527" s="8"/>
      <c r="M527" s="8"/>
      <c r="N527" s="8"/>
      <c r="O527" s="194"/>
      <c r="P527" s="195"/>
    </row>
    <row r="528" spans="1:16">
      <c r="A528" s="3"/>
      <c r="B528" s="3" t="str">
        <f>TEXT(Tabela22[[#This Row],[DATA]],"mmmm")</f>
        <v>janeiro</v>
      </c>
      <c r="C528" s="2"/>
      <c r="D528" s="2"/>
      <c r="E528" s="2"/>
      <c r="F528" s="2"/>
      <c r="G528" s="173"/>
      <c r="H528" s="174"/>
      <c r="I528" s="173" t="e">
        <f>Tabela22[[#This Row],[PESO TOTAL]]/Tabela22[[#This Row],[QUANTIDADE]]</f>
        <v>#DIV/0!</v>
      </c>
      <c r="J528" s="2"/>
      <c r="K528" s="193"/>
      <c r="L528" s="8"/>
      <c r="M528" s="8"/>
      <c r="N528" s="8"/>
      <c r="O528" s="194"/>
      <c r="P528" s="195"/>
    </row>
    <row r="529" spans="1:16">
      <c r="A529" s="3"/>
      <c r="B529" s="3" t="str">
        <f>TEXT(Tabela22[[#This Row],[DATA]],"mmmm")</f>
        <v>janeiro</v>
      </c>
      <c r="C529" s="2"/>
      <c r="D529" s="2"/>
      <c r="E529" s="2"/>
      <c r="F529" s="2"/>
      <c r="G529" s="173"/>
      <c r="H529" s="174"/>
      <c r="I529" s="173" t="e">
        <f>Tabela22[[#This Row],[PESO TOTAL]]/Tabela22[[#This Row],[QUANTIDADE]]</f>
        <v>#DIV/0!</v>
      </c>
      <c r="J529" s="2"/>
      <c r="K529" s="193"/>
      <c r="L529" s="8"/>
      <c r="M529" s="8"/>
      <c r="N529" s="8"/>
      <c r="O529" s="194"/>
      <c r="P529" s="195"/>
    </row>
    <row r="530" spans="1:16">
      <c r="A530" s="3"/>
      <c r="B530" s="3" t="str">
        <f>TEXT(Tabela22[[#This Row],[DATA]],"mmmm")</f>
        <v>janeiro</v>
      </c>
      <c r="C530" s="2"/>
      <c r="D530" s="2"/>
      <c r="E530" s="2"/>
      <c r="F530" s="2"/>
      <c r="G530" s="173"/>
      <c r="H530" s="174"/>
      <c r="I530" s="173" t="e">
        <f>Tabela22[[#This Row],[PESO TOTAL]]/Tabela22[[#This Row],[QUANTIDADE]]</f>
        <v>#DIV/0!</v>
      </c>
      <c r="J530" s="2"/>
      <c r="K530" s="193"/>
      <c r="L530" s="8"/>
      <c r="M530" s="8"/>
      <c r="N530" s="8"/>
      <c r="O530" s="194"/>
      <c r="P530" s="195"/>
    </row>
    <row r="531" spans="1:16">
      <c r="A531" s="3"/>
      <c r="B531" s="3" t="str">
        <f>TEXT(Tabela22[[#This Row],[DATA]],"mmmm")</f>
        <v>janeiro</v>
      </c>
      <c r="C531" s="2"/>
      <c r="D531" s="2"/>
      <c r="E531" s="2"/>
      <c r="F531" s="2"/>
      <c r="G531" s="173"/>
      <c r="H531" s="174"/>
      <c r="I531" s="173" t="e">
        <f>Tabela22[[#This Row],[PESO TOTAL]]/Tabela22[[#This Row],[QUANTIDADE]]</f>
        <v>#DIV/0!</v>
      </c>
      <c r="J531" s="2"/>
      <c r="K531" s="193"/>
      <c r="L531" s="8"/>
      <c r="M531" s="8"/>
      <c r="N531" s="8"/>
      <c r="O531" s="194"/>
      <c r="P531" s="195"/>
    </row>
    <row r="532" spans="1:16">
      <c r="A532" s="3"/>
      <c r="B532" s="3" t="str">
        <f>TEXT(Tabela22[[#This Row],[DATA]],"mmmm")</f>
        <v>janeiro</v>
      </c>
      <c r="C532" s="2"/>
      <c r="D532" s="2"/>
      <c r="E532" s="2"/>
      <c r="F532" s="2"/>
      <c r="G532" s="173"/>
      <c r="H532" s="174"/>
      <c r="I532" s="173" t="e">
        <f>Tabela22[[#This Row],[PESO TOTAL]]/Tabela22[[#This Row],[QUANTIDADE]]</f>
        <v>#DIV/0!</v>
      </c>
      <c r="J532" s="2"/>
      <c r="K532" s="193"/>
      <c r="L532" s="8"/>
      <c r="M532" s="8"/>
      <c r="N532" s="8"/>
      <c r="O532" s="194"/>
      <c r="P532" s="195"/>
    </row>
    <row r="533" spans="1:16">
      <c r="A533" s="3"/>
      <c r="B533" s="3" t="str">
        <f>TEXT(Tabela22[[#This Row],[DATA]],"mmmm")</f>
        <v>janeiro</v>
      </c>
      <c r="C533" s="2"/>
      <c r="D533" s="2"/>
      <c r="E533" s="2"/>
      <c r="F533" s="2"/>
      <c r="G533" s="173"/>
      <c r="H533" s="174"/>
      <c r="I533" s="173" t="e">
        <f>Tabela22[[#This Row],[PESO TOTAL]]/Tabela22[[#This Row],[QUANTIDADE]]</f>
        <v>#DIV/0!</v>
      </c>
      <c r="J533" s="2"/>
      <c r="K533" s="193"/>
      <c r="L533" s="8"/>
      <c r="M533" s="8"/>
      <c r="N533" s="8"/>
      <c r="O533" s="194"/>
      <c r="P533" s="195"/>
    </row>
    <row r="534" spans="1:16">
      <c r="A534" s="3"/>
      <c r="B534" s="3" t="str">
        <f>TEXT(Tabela22[[#This Row],[DATA]],"mmmm")</f>
        <v>janeiro</v>
      </c>
      <c r="C534" s="2"/>
      <c r="D534" s="2"/>
      <c r="E534" s="2"/>
      <c r="F534" s="2"/>
      <c r="G534" s="173"/>
      <c r="H534" s="174"/>
      <c r="I534" s="173" t="e">
        <f>Tabela22[[#This Row],[PESO TOTAL]]/Tabela22[[#This Row],[QUANTIDADE]]</f>
        <v>#DIV/0!</v>
      </c>
      <c r="J534" s="2"/>
      <c r="K534" s="193"/>
      <c r="L534" s="8"/>
      <c r="M534" s="8"/>
      <c r="N534" s="8"/>
      <c r="O534" s="194"/>
      <c r="P534" s="195"/>
    </row>
    <row r="535" spans="1:16">
      <c r="A535" s="3"/>
      <c r="B535" s="3" t="str">
        <f>TEXT(Tabela22[[#This Row],[DATA]],"mmmm")</f>
        <v>janeiro</v>
      </c>
      <c r="C535" s="2"/>
      <c r="D535" s="2"/>
      <c r="E535" s="2"/>
      <c r="F535" s="2"/>
      <c r="G535" s="173"/>
      <c r="H535" s="174"/>
      <c r="I535" s="173" t="e">
        <f>Tabela22[[#This Row],[PESO TOTAL]]/Tabela22[[#This Row],[QUANTIDADE]]</f>
        <v>#DIV/0!</v>
      </c>
      <c r="J535" s="2"/>
      <c r="K535" s="193"/>
      <c r="L535" s="8"/>
      <c r="M535" s="8"/>
      <c r="N535" s="8"/>
      <c r="O535" s="194"/>
      <c r="P535" s="195"/>
    </row>
    <row r="536" spans="1:16">
      <c r="A536" s="3"/>
      <c r="B536" s="3" t="str">
        <f>TEXT(Tabela22[[#This Row],[DATA]],"mmmm")</f>
        <v>janeiro</v>
      </c>
      <c r="C536" s="2"/>
      <c r="D536" s="2"/>
      <c r="E536" s="2"/>
      <c r="F536" s="2"/>
      <c r="G536" s="173"/>
      <c r="H536" s="174"/>
      <c r="I536" s="173" t="e">
        <f>Tabela22[[#This Row],[PESO TOTAL]]/Tabela22[[#This Row],[QUANTIDADE]]</f>
        <v>#DIV/0!</v>
      </c>
      <c r="J536" s="2"/>
      <c r="K536" s="193"/>
      <c r="L536" s="8"/>
      <c r="M536" s="8"/>
      <c r="N536" s="8"/>
      <c r="O536" s="194"/>
      <c r="P536" s="195"/>
    </row>
    <row r="537" spans="1:16">
      <c r="A537" s="3"/>
      <c r="B537" s="3" t="str">
        <f>TEXT(Tabela22[[#This Row],[DATA]],"mmmm")</f>
        <v>janeiro</v>
      </c>
      <c r="C537" s="2"/>
      <c r="D537" s="2"/>
      <c r="E537" s="2"/>
      <c r="F537" s="2"/>
      <c r="G537" s="173"/>
      <c r="H537" s="174"/>
      <c r="I537" s="173" t="e">
        <f>Tabela22[[#This Row],[PESO TOTAL]]/Tabela22[[#This Row],[QUANTIDADE]]</f>
        <v>#DIV/0!</v>
      </c>
      <c r="J537" s="2"/>
      <c r="K537" s="193"/>
      <c r="L537" s="8"/>
      <c r="M537" s="8"/>
      <c r="N537" s="8"/>
      <c r="O537" s="194"/>
      <c r="P537" s="195"/>
    </row>
    <row r="538" spans="1:16">
      <c r="A538" s="3"/>
      <c r="B538" s="3" t="str">
        <f>TEXT(Tabela22[[#This Row],[DATA]],"mmmm")</f>
        <v>janeiro</v>
      </c>
      <c r="C538" s="2"/>
      <c r="D538" s="2"/>
      <c r="E538" s="2"/>
      <c r="F538" s="2"/>
      <c r="G538" s="173"/>
      <c r="H538" s="174"/>
      <c r="I538" s="173" t="e">
        <f>Tabela22[[#This Row],[PESO TOTAL]]/Tabela22[[#This Row],[QUANTIDADE]]</f>
        <v>#DIV/0!</v>
      </c>
      <c r="J538" s="2"/>
      <c r="K538" s="193"/>
      <c r="L538" s="8"/>
      <c r="M538" s="8"/>
      <c r="N538" s="8"/>
      <c r="O538" s="194"/>
      <c r="P538" s="195"/>
    </row>
    <row r="539" spans="1:16">
      <c r="A539" s="3"/>
      <c r="B539" s="3" t="str">
        <f>TEXT(Tabela22[[#This Row],[DATA]],"mmmm")</f>
        <v>janeiro</v>
      </c>
      <c r="C539" s="2"/>
      <c r="D539" s="2"/>
      <c r="E539" s="2"/>
      <c r="F539" s="2"/>
      <c r="G539" s="173"/>
      <c r="H539" s="174"/>
      <c r="I539" s="173" t="e">
        <f>Tabela22[[#This Row],[PESO TOTAL]]/Tabela22[[#This Row],[QUANTIDADE]]</f>
        <v>#DIV/0!</v>
      </c>
      <c r="J539" s="2"/>
      <c r="K539" s="193"/>
      <c r="L539" s="8"/>
      <c r="M539" s="8"/>
      <c r="N539" s="8"/>
      <c r="O539" s="194"/>
      <c r="P539" s="195"/>
    </row>
    <row r="540" spans="1:16">
      <c r="A540" s="3"/>
      <c r="B540" s="3" t="str">
        <f>TEXT(Tabela22[[#This Row],[DATA]],"mmmm")</f>
        <v>janeiro</v>
      </c>
      <c r="C540" s="2"/>
      <c r="D540" s="2"/>
      <c r="E540" s="2"/>
      <c r="F540" s="2"/>
      <c r="G540" s="173"/>
      <c r="H540" s="174"/>
      <c r="I540" s="173" t="e">
        <f>Tabela22[[#This Row],[PESO TOTAL]]/Tabela22[[#This Row],[QUANTIDADE]]</f>
        <v>#DIV/0!</v>
      </c>
      <c r="J540" s="2"/>
      <c r="K540" s="193"/>
      <c r="L540" s="8"/>
      <c r="M540" s="8"/>
      <c r="N540" s="8"/>
      <c r="O540" s="194"/>
      <c r="P540" s="195"/>
    </row>
    <row r="541" spans="1:16">
      <c r="A541" s="3"/>
      <c r="B541" s="3" t="str">
        <f>TEXT(Tabela22[[#This Row],[DATA]],"mmmm")</f>
        <v>janeiro</v>
      </c>
      <c r="C541" s="2"/>
      <c r="D541" s="2"/>
      <c r="E541" s="2"/>
      <c r="F541" s="2"/>
      <c r="G541" s="173"/>
      <c r="H541" s="174"/>
      <c r="I541" s="173" t="e">
        <f>Tabela22[[#This Row],[PESO TOTAL]]/Tabela22[[#This Row],[QUANTIDADE]]</f>
        <v>#DIV/0!</v>
      </c>
      <c r="J541" s="2"/>
      <c r="K541" s="193"/>
      <c r="L541" s="8"/>
      <c r="M541" s="8"/>
      <c r="N541" s="8"/>
      <c r="O541" s="194"/>
      <c r="P541" s="195"/>
    </row>
    <row r="542" spans="1:16">
      <c r="A542" s="3"/>
      <c r="B542" s="3" t="str">
        <f>TEXT(Tabela22[[#This Row],[DATA]],"mmmm")</f>
        <v>janeiro</v>
      </c>
      <c r="C542" s="2"/>
      <c r="D542" s="2"/>
      <c r="E542" s="2"/>
      <c r="F542" s="2"/>
      <c r="G542" s="173"/>
      <c r="H542" s="174"/>
      <c r="I542" s="173" t="e">
        <f>Tabela22[[#This Row],[PESO TOTAL]]/Tabela22[[#This Row],[QUANTIDADE]]</f>
        <v>#DIV/0!</v>
      </c>
      <c r="J542" s="2"/>
      <c r="K542" s="193"/>
      <c r="L542" s="8"/>
      <c r="M542" s="8"/>
      <c r="N542" s="8"/>
      <c r="O542" s="194"/>
      <c r="P542" s="195"/>
    </row>
    <row r="543" spans="1:16">
      <c r="A543" s="3"/>
      <c r="B543" s="3" t="str">
        <f>TEXT(Tabela22[[#This Row],[DATA]],"mmmm")</f>
        <v>janeiro</v>
      </c>
      <c r="C543" s="2"/>
      <c r="D543" s="2"/>
      <c r="E543" s="2"/>
      <c r="F543" s="2"/>
      <c r="G543" s="173"/>
      <c r="H543" s="174"/>
      <c r="I543" s="173" t="e">
        <f>Tabela22[[#This Row],[PESO TOTAL]]/Tabela22[[#This Row],[QUANTIDADE]]</f>
        <v>#DIV/0!</v>
      </c>
      <c r="J543" s="2"/>
      <c r="K543" s="193"/>
      <c r="L543" s="8"/>
      <c r="M543" s="8"/>
      <c r="N543" s="8"/>
      <c r="O543" s="194"/>
      <c r="P543" s="195"/>
    </row>
    <row r="544" spans="1:16">
      <c r="A544" s="3"/>
      <c r="B544" s="3" t="str">
        <f>TEXT(Tabela22[[#This Row],[DATA]],"mmmm")</f>
        <v>janeiro</v>
      </c>
      <c r="C544" s="2"/>
      <c r="D544" s="2"/>
      <c r="E544" s="2"/>
      <c r="F544" s="2"/>
      <c r="G544" s="173"/>
      <c r="H544" s="174"/>
      <c r="I544" s="173" t="e">
        <f>Tabela22[[#This Row],[PESO TOTAL]]/Tabela22[[#This Row],[QUANTIDADE]]</f>
        <v>#DIV/0!</v>
      </c>
      <c r="J544" s="2"/>
      <c r="K544" s="193"/>
      <c r="L544" s="8"/>
      <c r="M544" s="8"/>
      <c r="N544" s="8"/>
      <c r="O544" s="194"/>
      <c r="P544" s="195"/>
    </row>
    <row r="545" spans="1:16">
      <c r="A545" s="3"/>
      <c r="B545" s="3" t="str">
        <f>TEXT(Tabela22[[#This Row],[DATA]],"mmmm")</f>
        <v>janeiro</v>
      </c>
      <c r="C545" s="2"/>
      <c r="D545" s="2"/>
      <c r="E545" s="2"/>
      <c r="F545" s="2"/>
      <c r="G545" s="173"/>
      <c r="H545" s="174"/>
      <c r="I545" s="173" t="e">
        <f>Tabela22[[#This Row],[PESO TOTAL]]/Tabela22[[#This Row],[QUANTIDADE]]</f>
        <v>#DIV/0!</v>
      </c>
      <c r="J545" s="2"/>
      <c r="K545" s="193"/>
      <c r="L545" s="8"/>
      <c r="M545" s="8"/>
      <c r="N545" s="8"/>
      <c r="O545" s="194"/>
      <c r="P545" s="195"/>
    </row>
    <row r="546" spans="1:16">
      <c r="A546" s="3"/>
      <c r="B546" s="3" t="str">
        <f>TEXT(Tabela22[[#This Row],[DATA]],"mmmm")</f>
        <v>janeiro</v>
      </c>
      <c r="C546" s="2"/>
      <c r="D546" s="2"/>
      <c r="E546" s="2"/>
      <c r="F546" s="2"/>
      <c r="G546" s="173"/>
      <c r="H546" s="174"/>
      <c r="I546" s="173" t="e">
        <f>Tabela22[[#This Row],[PESO TOTAL]]/Tabela22[[#This Row],[QUANTIDADE]]</f>
        <v>#DIV/0!</v>
      </c>
      <c r="J546" s="2"/>
      <c r="K546" s="193"/>
      <c r="L546" s="8"/>
      <c r="M546" s="8"/>
      <c r="N546" s="8"/>
      <c r="O546" s="194"/>
      <c r="P546" s="195"/>
    </row>
    <row r="547" spans="1:16">
      <c r="A547" s="3"/>
      <c r="B547" s="3" t="str">
        <f>TEXT(Tabela22[[#This Row],[DATA]],"mmmm")</f>
        <v>janeiro</v>
      </c>
      <c r="C547" s="2"/>
      <c r="D547" s="2"/>
      <c r="E547" s="2"/>
      <c r="F547" s="2"/>
      <c r="G547" s="173"/>
      <c r="H547" s="174"/>
      <c r="I547" s="173" t="e">
        <f>Tabela22[[#This Row],[PESO TOTAL]]/Tabela22[[#This Row],[QUANTIDADE]]</f>
        <v>#DIV/0!</v>
      </c>
      <c r="J547" s="2"/>
      <c r="K547" s="193"/>
      <c r="L547" s="8"/>
      <c r="M547" s="8"/>
      <c r="N547" s="8"/>
      <c r="O547" s="194"/>
      <c r="P547" s="195"/>
    </row>
    <row r="548" spans="1:16">
      <c r="A548" s="3"/>
      <c r="B548" s="3" t="str">
        <f>TEXT(Tabela22[[#This Row],[DATA]],"mmmm")</f>
        <v>janeiro</v>
      </c>
      <c r="C548" s="2"/>
      <c r="D548" s="2"/>
      <c r="E548" s="2"/>
      <c r="F548" s="2"/>
      <c r="G548" s="173"/>
      <c r="H548" s="174"/>
      <c r="I548" s="173" t="e">
        <f>Tabela22[[#This Row],[PESO TOTAL]]/Tabela22[[#This Row],[QUANTIDADE]]</f>
        <v>#DIV/0!</v>
      </c>
      <c r="J548" s="2"/>
      <c r="K548" s="193"/>
      <c r="L548" s="8"/>
      <c r="M548" s="8"/>
      <c r="N548" s="8"/>
      <c r="O548" s="194"/>
      <c r="P548" s="195"/>
    </row>
    <row r="549" spans="1:16">
      <c r="A549" s="3"/>
      <c r="B549" s="3" t="str">
        <f>TEXT(Tabela22[[#This Row],[DATA]],"mmmm")</f>
        <v>janeiro</v>
      </c>
      <c r="C549" s="2"/>
      <c r="D549" s="2"/>
      <c r="E549" s="2"/>
      <c r="F549" s="2"/>
      <c r="G549" s="173"/>
      <c r="H549" s="174"/>
      <c r="I549" s="173" t="e">
        <f>Tabela22[[#This Row],[PESO TOTAL]]/Tabela22[[#This Row],[QUANTIDADE]]</f>
        <v>#DIV/0!</v>
      </c>
      <c r="J549" s="2"/>
      <c r="K549" s="193"/>
      <c r="L549" s="8"/>
      <c r="M549" s="8"/>
      <c r="N549" s="8"/>
      <c r="O549" s="194"/>
      <c r="P549" s="195"/>
    </row>
    <row r="550" spans="1:16">
      <c r="B550" s="1" t="str">
        <f>TEXT(Tabela22[[#This Row],[DATA]],"mmmm")</f>
        <v>janeiro</v>
      </c>
      <c r="G550" s="197"/>
      <c r="H550" s="174"/>
      <c r="I550" s="173" t="e">
        <f>Tabela22[[#This Row],[PESO TOTAL]]/Tabela22[[#This Row],[QUANTIDADE]]</f>
        <v>#DIV/0!</v>
      </c>
      <c r="K550" s="198"/>
      <c r="O550" s="199"/>
      <c r="P550" s="195"/>
    </row>
    <row r="551" spans="1:16">
      <c r="B551" s="1" t="str">
        <f>TEXT(Tabela22[[#This Row],[DATA]],"mmmm")</f>
        <v>janeiro</v>
      </c>
      <c r="G551" s="197"/>
      <c r="H551" s="174"/>
      <c r="I551" s="173" t="e">
        <f>Tabela22[[#This Row],[PESO TOTAL]]/Tabela22[[#This Row],[QUANTIDADE]]</f>
        <v>#DIV/0!</v>
      </c>
      <c r="K551" s="198"/>
      <c r="O551" s="199"/>
      <c r="P551" s="195"/>
    </row>
    <row r="552" spans="1:16">
      <c r="B552" s="1" t="str">
        <f>TEXT(Tabela22[[#This Row],[DATA]],"mmmm")</f>
        <v>janeiro</v>
      </c>
      <c r="G552" s="197"/>
      <c r="H552" s="174"/>
      <c r="I552" s="173" t="e">
        <f>Tabela22[[#This Row],[PESO TOTAL]]/Tabela22[[#This Row],[QUANTIDADE]]</f>
        <v>#DIV/0!</v>
      </c>
      <c r="K552" s="198"/>
      <c r="O552" s="199"/>
      <c r="P552" s="195"/>
    </row>
    <row r="553" spans="1:16">
      <c r="B553" s="1" t="str">
        <f>TEXT(Tabela22[[#This Row],[DATA]],"mmmm")</f>
        <v>janeiro</v>
      </c>
      <c r="G553" s="197"/>
      <c r="H553" s="174"/>
      <c r="I553" s="173" t="e">
        <f>Tabela22[[#This Row],[PESO TOTAL]]/Tabela22[[#This Row],[QUANTIDADE]]</f>
        <v>#DIV/0!</v>
      </c>
      <c r="K553" s="198"/>
      <c r="O553" s="199"/>
      <c r="P553" s="90"/>
    </row>
    <row r="554" spans="1:16">
      <c r="B554" s="1" t="str">
        <f>TEXT(Tabela22[[#This Row],[DATA]],"mmmm")</f>
        <v>janeiro</v>
      </c>
      <c r="G554" s="197"/>
      <c r="H554" s="174"/>
      <c r="I554" s="173" t="e">
        <f>Tabela22[[#This Row],[PESO TOTAL]]/Tabela22[[#This Row],[QUANTIDADE]]</f>
        <v>#DIV/0!</v>
      </c>
      <c r="K554" s="198"/>
      <c r="O554" s="199"/>
      <c r="P554" s="90"/>
    </row>
    <row r="555" spans="1:16">
      <c r="B555" s="1" t="str">
        <f>TEXT(Tabela22[[#This Row],[DATA]],"mmmm")</f>
        <v>janeiro</v>
      </c>
      <c r="G555" s="197"/>
      <c r="H555" s="174"/>
      <c r="I555" s="173" t="e">
        <f>Tabela22[[#This Row],[PESO TOTAL]]/Tabela22[[#This Row],[QUANTIDADE]]</f>
        <v>#DIV/0!</v>
      </c>
      <c r="K555" s="198"/>
      <c r="O555" s="199"/>
      <c r="P555" s="90"/>
    </row>
    <row r="556" spans="1:16">
      <c r="B556" s="1" t="str">
        <f>TEXT(Tabela22[[#This Row],[DATA]],"mmmm")</f>
        <v>janeiro</v>
      </c>
      <c r="G556" s="197"/>
      <c r="H556" s="174"/>
      <c r="I556" s="173" t="e">
        <f>Tabela22[[#This Row],[PESO TOTAL]]/Tabela22[[#This Row],[QUANTIDADE]]</f>
        <v>#DIV/0!</v>
      </c>
      <c r="K556" s="198"/>
      <c r="O556" s="199"/>
      <c r="P556" s="90"/>
    </row>
    <row r="557" spans="1:16">
      <c r="B557" s="1" t="str">
        <f>TEXT(Tabela22[[#This Row],[DATA]],"mmmm")</f>
        <v>janeiro</v>
      </c>
      <c r="G557" s="197"/>
      <c r="H557" s="174"/>
      <c r="I557" s="173" t="e">
        <f>Tabela22[[#This Row],[PESO TOTAL]]/Tabela22[[#This Row],[QUANTIDADE]]</f>
        <v>#DIV/0!</v>
      </c>
      <c r="K557" s="198"/>
      <c r="O557" s="199"/>
      <c r="P557" s="90"/>
    </row>
    <row r="558" spans="1:16">
      <c r="B558" s="1" t="str">
        <f>TEXT(Tabela22[[#This Row],[DATA]],"mmmm")</f>
        <v>janeiro</v>
      </c>
      <c r="G558" s="197"/>
      <c r="H558" s="174"/>
      <c r="I558" s="173" t="e">
        <f>Tabela22[[#This Row],[PESO TOTAL]]/Tabela22[[#This Row],[QUANTIDADE]]</f>
        <v>#DIV/0!</v>
      </c>
      <c r="K558" s="198"/>
      <c r="O558" s="199"/>
      <c r="P558" s="90"/>
    </row>
    <row r="559" spans="1:16">
      <c r="B559" s="1" t="str">
        <f>TEXT(Tabela22[[#This Row],[DATA]],"mmmm")</f>
        <v>janeiro</v>
      </c>
      <c r="G559" s="197"/>
      <c r="H559" s="174"/>
      <c r="I559" s="173" t="e">
        <f>Tabela22[[#This Row],[PESO TOTAL]]/Tabela22[[#This Row],[QUANTIDADE]]</f>
        <v>#DIV/0!</v>
      </c>
      <c r="K559" s="198"/>
      <c r="O559" s="199"/>
      <c r="P559" s="90"/>
    </row>
    <row r="560" spans="1:16">
      <c r="B560" s="1" t="str">
        <f>TEXT(Tabela22[[#This Row],[DATA]],"mmmm")</f>
        <v>janeiro</v>
      </c>
      <c r="G560" s="197"/>
      <c r="H560" s="174"/>
      <c r="I560" s="173" t="e">
        <f>Tabela22[[#This Row],[PESO TOTAL]]/Tabela22[[#This Row],[QUANTIDADE]]</f>
        <v>#DIV/0!</v>
      </c>
      <c r="K560" s="198"/>
      <c r="O560" s="199"/>
      <c r="P560" s="90"/>
    </row>
    <row r="561" spans="2:16">
      <c r="B561" s="1" t="str">
        <f>TEXT(Tabela22[[#This Row],[DATA]],"mmmm")</f>
        <v>janeiro</v>
      </c>
      <c r="G561" s="197"/>
      <c r="H561" s="174"/>
      <c r="I561" s="173" t="e">
        <f>Tabela22[[#This Row],[PESO TOTAL]]/Tabela22[[#This Row],[QUANTIDADE]]</f>
        <v>#DIV/0!</v>
      </c>
      <c r="K561" s="198"/>
      <c r="O561" s="199"/>
      <c r="P561" s="90"/>
    </row>
    <row r="562" spans="2:16">
      <c r="B562" s="1" t="str">
        <f>TEXT(Tabela22[[#This Row],[DATA]],"mmmm")</f>
        <v>janeiro</v>
      </c>
      <c r="G562" s="197"/>
      <c r="H562" s="174"/>
      <c r="I562" s="173" t="e">
        <f>Tabela22[[#This Row],[PESO TOTAL]]/Tabela22[[#This Row],[QUANTIDADE]]</f>
        <v>#DIV/0!</v>
      </c>
      <c r="K562" s="198"/>
      <c r="O562" s="199"/>
      <c r="P562" s="90"/>
    </row>
    <row r="563" spans="2:16">
      <c r="B563" s="1" t="str">
        <f>TEXT(Tabela22[[#This Row],[DATA]],"mmmm")</f>
        <v>janeiro</v>
      </c>
      <c r="G563" s="197"/>
      <c r="H563" s="174"/>
      <c r="I563" s="173" t="e">
        <f>Tabela22[[#This Row],[PESO TOTAL]]/Tabela22[[#This Row],[QUANTIDADE]]</f>
        <v>#DIV/0!</v>
      </c>
      <c r="K563" s="198"/>
      <c r="O563" s="199"/>
      <c r="P563" s="90"/>
    </row>
    <row r="564" spans="2:16">
      <c r="B564" s="1" t="str">
        <f>TEXT(Tabela22[[#This Row],[DATA]],"mmmm")</f>
        <v>janeiro</v>
      </c>
      <c r="G564" s="197"/>
      <c r="H564" s="174"/>
      <c r="I564" s="173" t="e">
        <f>Tabela22[[#This Row],[PESO TOTAL]]/Tabela22[[#This Row],[QUANTIDADE]]</f>
        <v>#DIV/0!</v>
      </c>
      <c r="K564" s="198"/>
      <c r="O564" s="199"/>
      <c r="P564" s="90"/>
    </row>
    <row r="565" spans="2:16">
      <c r="B565" s="1" t="str">
        <f>TEXT(Tabela22[[#This Row],[DATA]],"mmmm")</f>
        <v>janeiro</v>
      </c>
      <c r="G565" s="197"/>
      <c r="H565" s="174"/>
      <c r="I565" s="173" t="e">
        <f>Tabela22[[#This Row],[PESO TOTAL]]/Tabela22[[#This Row],[QUANTIDADE]]</f>
        <v>#DIV/0!</v>
      </c>
      <c r="K565" s="198"/>
      <c r="O565" s="199"/>
      <c r="P565" s="90"/>
    </row>
    <row r="566" spans="2:16">
      <c r="B566" s="1" t="str">
        <f>TEXT(Tabela22[[#This Row],[DATA]],"mmmm")</f>
        <v>janeiro</v>
      </c>
      <c r="G566" s="197"/>
      <c r="H566" s="174"/>
      <c r="I566" s="173" t="e">
        <f>Tabela22[[#This Row],[PESO TOTAL]]/Tabela22[[#This Row],[QUANTIDADE]]</f>
        <v>#DIV/0!</v>
      </c>
      <c r="K566" s="198"/>
      <c r="O566" s="199"/>
      <c r="P566" s="90"/>
    </row>
    <row r="567" spans="2:16">
      <c r="B567" s="1" t="str">
        <f>TEXT(Tabela22[[#This Row],[DATA]],"mmmm")</f>
        <v>janeiro</v>
      </c>
      <c r="G567" s="197"/>
      <c r="H567" s="174"/>
      <c r="I567" s="173" t="e">
        <f>Tabela22[[#This Row],[PESO TOTAL]]/Tabela22[[#This Row],[QUANTIDADE]]</f>
        <v>#DIV/0!</v>
      </c>
      <c r="K567" s="198"/>
      <c r="O567" s="199"/>
      <c r="P567" s="90"/>
    </row>
    <row r="568" spans="2:16">
      <c r="B568" s="1" t="str">
        <f>TEXT(Tabela22[[#This Row],[DATA]],"mmmm")</f>
        <v>janeiro</v>
      </c>
      <c r="G568" s="197"/>
      <c r="H568" s="174"/>
      <c r="I568" s="173" t="e">
        <f>Tabela22[[#This Row],[PESO TOTAL]]/Tabela22[[#This Row],[QUANTIDADE]]</f>
        <v>#DIV/0!</v>
      </c>
      <c r="K568" s="198"/>
      <c r="O568" s="199"/>
      <c r="P568" s="90"/>
    </row>
    <row r="569" spans="2:16">
      <c r="B569" s="1" t="str">
        <f>TEXT(Tabela22[[#This Row],[DATA]],"mmmm")</f>
        <v>janeiro</v>
      </c>
      <c r="G569" s="197"/>
      <c r="H569" s="174"/>
      <c r="I569" s="173" t="e">
        <f>Tabela22[[#This Row],[PESO TOTAL]]/Tabela22[[#This Row],[QUANTIDADE]]</f>
        <v>#DIV/0!</v>
      </c>
      <c r="K569" s="198"/>
      <c r="O569" s="199"/>
      <c r="P569" s="90"/>
    </row>
    <row r="570" spans="2:16">
      <c r="B570" s="1" t="str">
        <f>TEXT(Tabela22[[#This Row],[DATA]],"mmmm")</f>
        <v>janeiro</v>
      </c>
      <c r="G570" s="197"/>
      <c r="H570" s="174"/>
      <c r="I570" s="173" t="e">
        <f>Tabela22[[#This Row],[PESO TOTAL]]/Tabela22[[#This Row],[QUANTIDADE]]</f>
        <v>#DIV/0!</v>
      </c>
      <c r="K570" s="198"/>
      <c r="O570" s="199"/>
      <c r="P570" s="90"/>
    </row>
    <row r="571" spans="2:16">
      <c r="B571" s="1" t="str">
        <f>TEXT(Tabela22[[#This Row],[DATA]],"mmmm")</f>
        <v>janeiro</v>
      </c>
      <c r="G571" s="197"/>
      <c r="H571" s="174"/>
      <c r="I571" s="173" t="e">
        <f>Tabela22[[#This Row],[PESO TOTAL]]/Tabela22[[#This Row],[QUANTIDADE]]</f>
        <v>#DIV/0!</v>
      </c>
      <c r="K571" s="198"/>
      <c r="O571" s="199"/>
      <c r="P571" s="90"/>
    </row>
    <row r="572" spans="2:16">
      <c r="B572" s="1" t="str">
        <f>TEXT(Tabela22[[#This Row],[DATA]],"mmmm")</f>
        <v>janeiro</v>
      </c>
      <c r="G572" s="197"/>
      <c r="H572" s="174"/>
      <c r="I572" s="173" t="e">
        <f>Tabela22[[#This Row],[PESO TOTAL]]/Tabela22[[#This Row],[QUANTIDADE]]</f>
        <v>#DIV/0!</v>
      </c>
      <c r="K572" s="198"/>
      <c r="O572" s="199"/>
      <c r="P572" s="90"/>
    </row>
  </sheetData>
  <mergeCells count="5">
    <mergeCell ref="A1:O1"/>
    <mergeCell ref="A4:C4"/>
    <mergeCell ref="A18:G18"/>
    <mergeCell ref="D2:I3"/>
    <mergeCell ref="J2:N3"/>
  </mergeCells>
  <dataValidations count="3">
    <dataValidation type="list" allowBlank="1" showInputMessage="1" showErrorMessage="1" sqref="C20:C1048576" xr:uid="{00000000-0002-0000-0200-000000000000}">
      <formula1>$A$5:$A$14</formula1>
    </dataValidation>
    <dataValidation type="list" allowBlank="1" showInputMessage="1" showErrorMessage="1" sqref="D20:D572" xr:uid="{00000000-0002-0000-0200-000001000000}">
      <formula1>$S$1:$S$9</formula1>
    </dataValidation>
    <dataValidation type="list" allowBlank="1" showInputMessage="1" showErrorMessage="1" sqref="D573:D1048576" xr:uid="{00000000-0002-0000-0200-000002000000}">
      <formula1>$S$1:$S$7</formula1>
    </dataValidation>
  </dataValidations>
  <printOptions horizontalCentered="1" verticalCentered="1"/>
  <pageMargins left="0.511811023622047" right="0.511811023622047" top="0.78740157480314998" bottom="0.78740157480314998" header="0.31496062992126" footer="0.31496062992126"/>
  <pageSetup paperSize="9" scale="52" orientation="landscape"/>
  <rowBreaks count="1" manualBreakCount="1">
    <brk id="9" max="14" man="1"/>
  </rowBreaks>
  <colBreaks count="1" manualBreakCount="1">
    <brk id="11" max="14" man="1"/>
  </colBreaks>
  <ignoredErrors>
    <ignoredError sqref="B20:B28" calculatedColumn="1"/>
    <ignoredError sqref="G5:I5 J6:N14 E5:E11 E13:E14 K5:N5 G6:H14" unlockedFormula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S572"/>
  <sheetViews>
    <sheetView showGridLines="0" zoomScale="70" zoomScaleNormal="70" zoomScaleSheetLayoutView="50" workbookViewId="0">
      <selection sqref="A1:O1"/>
    </sheetView>
  </sheetViews>
  <sheetFormatPr defaultColWidth="9" defaultRowHeight="14.4"/>
  <cols>
    <col min="1" max="1" width="15" customWidth="1"/>
    <col min="2" max="2" width="16.6640625" customWidth="1"/>
    <col min="3" max="3" width="23" customWidth="1"/>
    <col min="4" max="4" width="31.109375" customWidth="1"/>
    <col min="5" max="5" width="18.109375" customWidth="1"/>
    <col min="6" max="6" width="17.6640625" customWidth="1"/>
    <col min="7" max="7" width="16.33203125" customWidth="1"/>
    <col min="8" max="8" width="17.88671875" style="114" customWidth="1"/>
    <col min="9" max="9" width="17.88671875" customWidth="1"/>
    <col min="10" max="10" width="13.5546875" customWidth="1"/>
    <col min="11" max="11" width="18.5546875" style="115" customWidth="1"/>
    <col min="12" max="12" width="16.88671875" style="115" customWidth="1"/>
    <col min="13" max="13" width="19.5546875" style="115" customWidth="1"/>
    <col min="14" max="14" width="16.6640625" style="115" customWidth="1"/>
    <col min="15" max="15" width="18.5546875" style="115" customWidth="1"/>
    <col min="16" max="16" width="38.5546875" customWidth="1"/>
    <col min="17" max="17" width="17.44140625" customWidth="1"/>
    <col min="18" max="18" width="11" customWidth="1"/>
    <col min="19" max="19" width="19.88671875" customWidth="1"/>
  </cols>
  <sheetData>
    <row r="1" spans="1:19" ht="25.8">
      <c r="A1" s="236" t="s">
        <v>47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7"/>
      <c r="Q1" s="7"/>
      <c r="S1" s="141" t="s">
        <v>1</v>
      </c>
    </row>
    <row r="2" spans="1:19" ht="25.8">
      <c r="A2" s="142"/>
      <c r="B2" s="142"/>
      <c r="C2" s="142"/>
      <c r="D2" s="243" t="s">
        <v>2</v>
      </c>
      <c r="E2" s="244"/>
      <c r="F2" s="244"/>
      <c r="G2" s="244"/>
      <c r="H2" s="244"/>
      <c r="I2" s="245"/>
      <c r="J2" s="243" t="s">
        <v>3</v>
      </c>
      <c r="K2" s="244"/>
      <c r="L2" s="244"/>
      <c r="M2" s="244"/>
      <c r="N2" s="245"/>
      <c r="O2" s="176" t="s">
        <v>4</v>
      </c>
      <c r="S2" s="141" t="s">
        <v>5</v>
      </c>
    </row>
    <row r="3" spans="1:19" ht="25.8">
      <c r="A3" s="143"/>
      <c r="B3" s="143"/>
      <c r="C3" s="144"/>
      <c r="D3" s="246"/>
      <c r="E3" s="247"/>
      <c r="F3" s="247"/>
      <c r="G3" s="247"/>
      <c r="H3" s="247"/>
      <c r="I3" s="248"/>
      <c r="J3" s="249"/>
      <c r="K3" s="250"/>
      <c r="L3" s="250"/>
      <c r="M3" s="250"/>
      <c r="N3" s="251"/>
      <c r="O3" s="177"/>
      <c r="S3" s="141" t="s">
        <v>6</v>
      </c>
    </row>
    <row r="4" spans="1:19" ht="25.8">
      <c r="A4" s="237" t="s">
        <v>7</v>
      </c>
      <c r="B4" s="238"/>
      <c r="C4" s="239"/>
      <c r="D4" s="145" t="s">
        <v>8</v>
      </c>
      <c r="E4" s="145" t="s">
        <v>1</v>
      </c>
      <c r="F4" s="145" t="s">
        <v>9</v>
      </c>
      <c r="G4" s="145" t="s">
        <v>5</v>
      </c>
      <c r="H4" s="145" t="s">
        <v>6</v>
      </c>
      <c r="I4" s="145" t="s">
        <v>10</v>
      </c>
      <c r="J4" s="145" t="s">
        <v>11</v>
      </c>
      <c r="K4" s="145" t="s">
        <v>12</v>
      </c>
      <c r="L4" s="145" t="s">
        <v>13</v>
      </c>
      <c r="M4" s="145" t="s">
        <v>14</v>
      </c>
      <c r="N4" s="145" t="s">
        <v>10</v>
      </c>
      <c r="O4" s="178" t="s">
        <v>15</v>
      </c>
      <c r="S4" s="141" t="s">
        <v>11</v>
      </c>
    </row>
    <row r="5" spans="1:19" ht="25.8">
      <c r="A5" s="146" t="s">
        <v>16</v>
      </c>
      <c r="B5" s="147"/>
      <c r="C5" s="148"/>
      <c r="D5" s="149"/>
      <c r="E5" s="149">
        <f t="shared" ref="E5:E15" si="0">SUMIFS($E$20:$E$1048576,$D$20:$D$1048576,$E$4,$C$20:$C$1048576,A5)</f>
        <v>0</v>
      </c>
      <c r="F5" s="149">
        <f t="shared" ref="F5:F14" si="1">SUMIFS($E$20:$E$1048576,$D$20:$D$1048576,$F$4,$C$20:$C$1048576,B5)</f>
        <v>0</v>
      </c>
      <c r="G5" s="150">
        <f t="shared" ref="G5:G15" si="2">SUMIFS($E$20:$E$1048576,$D$20:$D$1048576,$G$4,$C$20:$C$1048576,A5)</f>
        <v>0</v>
      </c>
      <c r="H5" s="150">
        <f t="shared" ref="H5:H15" si="3">SUMIFS($E$20:$E$1048576,$D$20:$D$1048576,$H$4,$C$20:$C$1048576,A5)</f>
        <v>0</v>
      </c>
      <c r="I5" s="156">
        <f>SUM(D5:H5)</f>
        <v>0</v>
      </c>
      <c r="J5" s="179">
        <f t="shared" ref="J5:J15" si="4">SUMIFS($E$20:$E$1048576,$D$20:$D$1048576,$J$4,$C$20:$C$1048576,A5)</f>
        <v>0</v>
      </c>
      <c r="K5" s="179">
        <f t="shared" ref="K5:K15" si="5">SUMIFS($E$20:$E$1048576,$D$20:$D$1048576,$K$4,$C$20:$C$1048576,A5)</f>
        <v>0</v>
      </c>
      <c r="L5" s="179">
        <f t="shared" ref="L5:L15" si="6">SUMIFS($E$20:$E$1048576,$D$20:$D$1048576,$L$4,$C$20:$C$1048576,A5)</f>
        <v>0</v>
      </c>
      <c r="M5" s="180">
        <f t="shared" ref="M5:M15" si="7">SUMIFS($E$20:$E$1048576,$D$20:$D$1048576,$M$4,$C$20:$C$1048576,A5)</f>
        <v>0</v>
      </c>
      <c r="N5" s="156">
        <f>SUM(J5:M5)</f>
        <v>0</v>
      </c>
      <c r="O5" s="181">
        <f>SUM(I5-N5)</f>
        <v>0</v>
      </c>
      <c r="S5" s="141" t="s">
        <v>12</v>
      </c>
    </row>
    <row r="6" spans="1:19" ht="25.8">
      <c r="A6" s="151" t="s">
        <v>17</v>
      </c>
      <c r="B6" s="152"/>
      <c r="C6" s="153"/>
      <c r="D6" s="149"/>
      <c r="E6" s="149">
        <f t="shared" si="0"/>
        <v>0</v>
      </c>
      <c r="F6" s="149">
        <f t="shared" si="1"/>
        <v>0</v>
      </c>
      <c r="G6" s="150">
        <f t="shared" si="2"/>
        <v>0</v>
      </c>
      <c r="H6" s="150">
        <f t="shared" si="3"/>
        <v>0</v>
      </c>
      <c r="I6" s="156">
        <f t="shared" ref="I6:I15" si="8">SUM(D6:H6)</f>
        <v>0</v>
      </c>
      <c r="J6" s="179">
        <f t="shared" si="4"/>
        <v>0</v>
      </c>
      <c r="K6" s="179">
        <f t="shared" si="5"/>
        <v>0</v>
      </c>
      <c r="L6" s="179">
        <f t="shared" si="6"/>
        <v>0</v>
      </c>
      <c r="M6" s="180">
        <f t="shared" si="7"/>
        <v>0</v>
      </c>
      <c r="N6" s="156">
        <f t="shared" ref="N6:N15" si="9">SUM(J6:M6)</f>
        <v>0</v>
      </c>
      <c r="O6" s="181">
        <f t="shared" ref="O6:O15" si="10">SUM(I6-N6)</f>
        <v>0</v>
      </c>
      <c r="S6" s="141" t="s">
        <v>14</v>
      </c>
    </row>
    <row r="7" spans="1:19" ht="25.8">
      <c r="A7" s="152" t="s">
        <v>18</v>
      </c>
      <c r="B7" s="154"/>
      <c r="C7" s="153"/>
      <c r="D7" s="149"/>
      <c r="E7" s="149">
        <f t="shared" si="0"/>
        <v>0</v>
      </c>
      <c r="F7" s="149">
        <f t="shared" si="1"/>
        <v>0</v>
      </c>
      <c r="G7" s="150">
        <f t="shared" si="2"/>
        <v>0</v>
      </c>
      <c r="H7" s="150">
        <f t="shared" si="3"/>
        <v>0</v>
      </c>
      <c r="I7" s="156">
        <f t="shared" si="8"/>
        <v>0</v>
      </c>
      <c r="J7" s="179">
        <f t="shared" si="4"/>
        <v>0</v>
      </c>
      <c r="K7" s="179">
        <f t="shared" si="5"/>
        <v>0</v>
      </c>
      <c r="L7" s="179">
        <f t="shared" si="6"/>
        <v>0</v>
      </c>
      <c r="M7" s="180">
        <f t="shared" si="7"/>
        <v>0</v>
      </c>
      <c r="N7" s="156">
        <f t="shared" si="9"/>
        <v>0</v>
      </c>
      <c r="O7" s="181">
        <f t="shared" si="10"/>
        <v>0</v>
      </c>
      <c r="S7" s="141" t="s">
        <v>8</v>
      </c>
    </row>
    <row r="8" spans="1:19" ht="25.8">
      <c r="A8" s="155" t="s">
        <v>19</v>
      </c>
      <c r="B8" s="154"/>
      <c r="C8" s="153"/>
      <c r="D8" s="156"/>
      <c r="E8" s="149">
        <f t="shared" si="0"/>
        <v>0</v>
      </c>
      <c r="F8" s="149">
        <f t="shared" si="1"/>
        <v>0</v>
      </c>
      <c r="G8" s="150">
        <f t="shared" si="2"/>
        <v>0</v>
      </c>
      <c r="H8" s="150">
        <f t="shared" si="3"/>
        <v>0</v>
      </c>
      <c r="I8" s="156">
        <f t="shared" si="8"/>
        <v>0</v>
      </c>
      <c r="J8" s="179">
        <f t="shared" si="4"/>
        <v>0</v>
      </c>
      <c r="K8" s="179">
        <f t="shared" si="5"/>
        <v>0</v>
      </c>
      <c r="L8" s="179">
        <f t="shared" si="6"/>
        <v>0</v>
      </c>
      <c r="M8" s="180">
        <f t="shared" si="7"/>
        <v>0</v>
      </c>
      <c r="N8" s="156">
        <f t="shared" si="9"/>
        <v>0</v>
      </c>
      <c r="O8" s="181">
        <f t="shared" si="10"/>
        <v>0</v>
      </c>
      <c r="S8" s="141" t="s">
        <v>9</v>
      </c>
    </row>
    <row r="9" spans="1:19" ht="25.8">
      <c r="A9" s="155" t="s">
        <v>20</v>
      </c>
      <c r="B9" s="154"/>
      <c r="C9" s="153"/>
      <c r="D9" s="149"/>
      <c r="E9" s="149">
        <f t="shared" si="0"/>
        <v>0</v>
      </c>
      <c r="F9" s="149">
        <f t="shared" si="1"/>
        <v>0</v>
      </c>
      <c r="G9" s="150">
        <f t="shared" si="2"/>
        <v>0</v>
      </c>
      <c r="H9" s="150">
        <f t="shared" si="3"/>
        <v>0</v>
      </c>
      <c r="I9" s="156">
        <f t="shared" si="8"/>
        <v>0</v>
      </c>
      <c r="J9" s="179">
        <f t="shared" si="4"/>
        <v>0</v>
      </c>
      <c r="K9" s="179">
        <f t="shared" si="5"/>
        <v>0</v>
      </c>
      <c r="L9" s="179">
        <f t="shared" si="6"/>
        <v>0</v>
      </c>
      <c r="M9" s="180">
        <f t="shared" si="7"/>
        <v>0</v>
      </c>
      <c r="N9" s="156">
        <f t="shared" si="9"/>
        <v>0</v>
      </c>
      <c r="O9" s="181">
        <f t="shared" si="10"/>
        <v>0</v>
      </c>
      <c r="S9" s="141" t="s">
        <v>13</v>
      </c>
    </row>
    <row r="10" spans="1:19" ht="25.8">
      <c r="A10" s="151" t="s">
        <v>21</v>
      </c>
      <c r="B10" s="155"/>
      <c r="C10" s="157"/>
      <c r="D10" s="149"/>
      <c r="E10" s="149">
        <f t="shared" si="0"/>
        <v>0</v>
      </c>
      <c r="F10" s="149">
        <f t="shared" si="1"/>
        <v>0</v>
      </c>
      <c r="G10" s="150">
        <f t="shared" si="2"/>
        <v>0</v>
      </c>
      <c r="H10" s="150">
        <f t="shared" si="3"/>
        <v>0</v>
      </c>
      <c r="I10" s="156">
        <f t="shared" si="8"/>
        <v>0</v>
      </c>
      <c r="J10" s="179">
        <f t="shared" si="4"/>
        <v>0</v>
      </c>
      <c r="K10" s="179">
        <f t="shared" si="5"/>
        <v>0</v>
      </c>
      <c r="L10" s="179">
        <f t="shared" si="6"/>
        <v>0</v>
      </c>
      <c r="M10" s="180">
        <f t="shared" si="7"/>
        <v>0</v>
      </c>
      <c r="N10" s="156">
        <f t="shared" si="9"/>
        <v>0</v>
      </c>
      <c r="O10" s="181">
        <f t="shared" si="10"/>
        <v>0</v>
      </c>
    </row>
    <row r="11" spans="1:19" ht="25.8">
      <c r="A11" s="151" t="s">
        <v>22</v>
      </c>
      <c r="B11" s="155"/>
      <c r="C11" s="157"/>
      <c r="D11" s="149"/>
      <c r="E11" s="149">
        <f t="shared" si="0"/>
        <v>0</v>
      </c>
      <c r="F11" s="149">
        <f t="shared" si="1"/>
        <v>0</v>
      </c>
      <c r="G11" s="150">
        <f t="shared" si="2"/>
        <v>0</v>
      </c>
      <c r="H11" s="150">
        <f t="shared" si="3"/>
        <v>0</v>
      </c>
      <c r="I11" s="156">
        <f t="shared" si="8"/>
        <v>0</v>
      </c>
      <c r="J11" s="179">
        <f t="shared" si="4"/>
        <v>0</v>
      </c>
      <c r="K11" s="179">
        <f t="shared" si="5"/>
        <v>0</v>
      </c>
      <c r="L11" s="179">
        <f t="shared" si="6"/>
        <v>0</v>
      </c>
      <c r="M11" s="180">
        <f t="shared" si="7"/>
        <v>0</v>
      </c>
      <c r="N11" s="156">
        <f t="shared" si="9"/>
        <v>0</v>
      </c>
      <c r="O11" s="181">
        <f t="shared" si="10"/>
        <v>0</v>
      </c>
    </row>
    <row r="12" spans="1:19" ht="25.8">
      <c r="A12" s="151" t="s">
        <v>24</v>
      </c>
      <c r="B12" s="155"/>
      <c r="C12" s="157"/>
      <c r="D12" s="149"/>
      <c r="E12" s="149">
        <f t="shared" si="0"/>
        <v>0</v>
      </c>
      <c r="F12" s="149">
        <f t="shared" si="1"/>
        <v>0</v>
      </c>
      <c r="G12" s="150">
        <f t="shared" si="2"/>
        <v>0</v>
      </c>
      <c r="H12" s="150">
        <f t="shared" si="3"/>
        <v>0</v>
      </c>
      <c r="I12" s="156">
        <f t="shared" si="8"/>
        <v>0</v>
      </c>
      <c r="J12" s="179">
        <f t="shared" si="4"/>
        <v>0</v>
      </c>
      <c r="K12" s="179">
        <f t="shared" si="5"/>
        <v>0</v>
      </c>
      <c r="L12" s="179">
        <f t="shared" si="6"/>
        <v>0</v>
      </c>
      <c r="M12" s="180">
        <f t="shared" si="7"/>
        <v>0</v>
      </c>
      <c r="N12" s="156">
        <f t="shared" si="9"/>
        <v>0</v>
      </c>
      <c r="O12" s="181">
        <f t="shared" si="10"/>
        <v>0</v>
      </c>
    </row>
    <row r="13" spans="1:19" ht="25.8">
      <c r="A13" s="152" t="s">
        <v>26</v>
      </c>
      <c r="B13" s="154"/>
      <c r="C13" s="153"/>
      <c r="D13" s="149"/>
      <c r="E13" s="149">
        <f t="shared" si="0"/>
        <v>0</v>
      </c>
      <c r="F13" s="149">
        <f t="shared" si="1"/>
        <v>0</v>
      </c>
      <c r="G13" s="150">
        <f t="shared" si="2"/>
        <v>0</v>
      </c>
      <c r="H13" s="150">
        <f t="shared" si="3"/>
        <v>0</v>
      </c>
      <c r="I13" s="156">
        <f t="shared" si="8"/>
        <v>0</v>
      </c>
      <c r="J13" s="179">
        <f t="shared" si="4"/>
        <v>0</v>
      </c>
      <c r="K13" s="179">
        <f t="shared" si="5"/>
        <v>0</v>
      </c>
      <c r="L13" s="179">
        <f t="shared" si="6"/>
        <v>0</v>
      </c>
      <c r="M13" s="180">
        <f t="shared" si="7"/>
        <v>0</v>
      </c>
      <c r="N13" s="156">
        <f t="shared" si="9"/>
        <v>0</v>
      </c>
      <c r="O13" s="181">
        <f t="shared" si="10"/>
        <v>0</v>
      </c>
    </row>
    <row r="14" spans="1:19" ht="25.8">
      <c r="A14" s="158" t="s">
        <v>28</v>
      </c>
      <c r="B14" s="159"/>
      <c r="C14" s="160"/>
      <c r="D14" s="161"/>
      <c r="E14" s="161">
        <f t="shared" si="0"/>
        <v>0</v>
      </c>
      <c r="F14" s="161">
        <f t="shared" si="1"/>
        <v>0</v>
      </c>
      <c r="G14" s="162">
        <f t="shared" si="2"/>
        <v>0</v>
      </c>
      <c r="H14" s="162">
        <f t="shared" si="3"/>
        <v>0</v>
      </c>
      <c r="I14" s="182">
        <f t="shared" si="8"/>
        <v>0</v>
      </c>
      <c r="J14" s="183">
        <f t="shared" si="4"/>
        <v>0</v>
      </c>
      <c r="K14" s="183">
        <f t="shared" si="5"/>
        <v>0</v>
      </c>
      <c r="L14" s="183">
        <f t="shared" si="6"/>
        <v>0</v>
      </c>
      <c r="M14" s="184">
        <f t="shared" si="7"/>
        <v>0</v>
      </c>
      <c r="N14" s="182">
        <f t="shared" si="9"/>
        <v>0</v>
      </c>
      <c r="O14" s="204">
        <f t="shared" si="10"/>
        <v>0</v>
      </c>
    </row>
    <row r="15" spans="1:19" ht="25.8">
      <c r="A15" s="163" t="s">
        <v>29</v>
      </c>
      <c r="B15" s="163"/>
      <c r="C15" s="142"/>
      <c r="D15" s="156"/>
      <c r="E15" s="156">
        <f t="shared" si="0"/>
        <v>0</v>
      </c>
      <c r="F15" s="156">
        <v>0</v>
      </c>
      <c r="G15" s="156">
        <f t="shared" si="2"/>
        <v>0</v>
      </c>
      <c r="H15" s="156">
        <f t="shared" si="3"/>
        <v>0</v>
      </c>
      <c r="I15" s="182">
        <f t="shared" si="8"/>
        <v>0</v>
      </c>
      <c r="J15" s="156">
        <f t="shared" si="4"/>
        <v>0</v>
      </c>
      <c r="K15" s="156">
        <f t="shared" si="5"/>
        <v>0</v>
      </c>
      <c r="L15" s="156">
        <f t="shared" si="6"/>
        <v>0</v>
      </c>
      <c r="M15" s="156">
        <f t="shared" si="7"/>
        <v>0</v>
      </c>
      <c r="N15" s="156">
        <f t="shared" si="9"/>
        <v>0</v>
      </c>
      <c r="O15" s="204">
        <f t="shared" si="10"/>
        <v>0</v>
      </c>
    </row>
    <row r="16" spans="1:19" ht="25.8">
      <c r="A16" s="164" t="s">
        <v>10</v>
      </c>
      <c r="B16" s="165"/>
      <c r="C16" s="166"/>
      <c r="D16" s="167">
        <f>SUM(D5:D15)</f>
        <v>0</v>
      </c>
      <c r="E16" s="167">
        <f t="shared" ref="E16:O16" si="11">SUM(E5:E15)</f>
        <v>0</v>
      </c>
      <c r="F16" s="167">
        <f t="shared" si="11"/>
        <v>0</v>
      </c>
      <c r="G16" s="167">
        <f t="shared" si="11"/>
        <v>0</v>
      </c>
      <c r="H16" s="167">
        <f t="shared" si="11"/>
        <v>0</v>
      </c>
      <c r="I16" s="167">
        <f t="shared" si="11"/>
        <v>0</v>
      </c>
      <c r="J16" s="205">
        <f t="shared" si="11"/>
        <v>0</v>
      </c>
      <c r="K16" s="205">
        <f t="shared" si="11"/>
        <v>0</v>
      </c>
      <c r="L16" s="205">
        <f t="shared" si="11"/>
        <v>0</v>
      </c>
      <c r="M16" s="205">
        <f t="shared" si="11"/>
        <v>0</v>
      </c>
      <c r="N16" s="205">
        <f t="shared" si="11"/>
        <v>0</v>
      </c>
      <c r="O16" s="186">
        <f t="shared" si="11"/>
        <v>0</v>
      </c>
    </row>
    <row r="17" spans="1:17">
      <c r="H17"/>
      <c r="K17"/>
      <c r="L17"/>
      <c r="M17"/>
      <c r="N17"/>
      <c r="O17"/>
    </row>
    <row r="18" spans="1:17" ht="30" customHeight="1">
      <c r="A18" s="240" t="s">
        <v>30</v>
      </c>
      <c r="B18" s="241"/>
      <c r="C18" s="241"/>
      <c r="D18" s="241"/>
      <c r="E18" s="241"/>
      <c r="F18" s="241"/>
      <c r="G18" s="242"/>
      <c r="H18" s="168"/>
      <c r="I18" s="168"/>
      <c r="J18" s="168"/>
      <c r="K18" s="168"/>
      <c r="L18" s="168"/>
      <c r="M18" s="168"/>
      <c r="N18" s="168"/>
      <c r="O18" s="168"/>
      <c r="P18" s="168"/>
      <c r="Q18" s="196"/>
    </row>
    <row r="19" spans="1:17" ht="22.5" customHeight="1">
      <c r="A19" s="169" t="s">
        <v>31</v>
      </c>
      <c r="B19" s="169" t="s">
        <v>32</v>
      </c>
      <c r="C19" s="169" t="s">
        <v>33</v>
      </c>
      <c r="D19" s="170" t="s">
        <v>34</v>
      </c>
      <c r="E19" s="169" t="s">
        <v>35</v>
      </c>
      <c r="F19" s="169" t="s">
        <v>36</v>
      </c>
      <c r="G19" s="171" t="s">
        <v>37</v>
      </c>
      <c r="H19" s="172" t="s">
        <v>38</v>
      </c>
      <c r="I19" s="172" t="s">
        <v>39</v>
      </c>
      <c r="J19" s="187"/>
      <c r="K19" s="187"/>
      <c r="L19" s="187"/>
      <c r="M19" s="187"/>
      <c r="N19" s="187"/>
      <c r="O19" s="187"/>
      <c r="P19" s="187"/>
    </row>
    <row r="20" spans="1:17">
      <c r="A20" s="3"/>
      <c r="B20" s="3" t="str">
        <f>TEXT(Tabela223[[#This Row],[DATA]],"mmm")</f>
        <v>jan</v>
      </c>
      <c r="C20" s="2"/>
      <c r="D20" s="2"/>
      <c r="E20" s="2"/>
      <c r="F20" s="2"/>
      <c r="G20" s="173"/>
      <c r="H20" s="174"/>
      <c r="I20" s="173" t="e">
        <f>Tabela22[[#This Row],[PESO TOTAL]]/Tabela22[[#This Row],[QUANTIDADE]]</f>
        <v>#VALUE!</v>
      </c>
      <c r="J20" s="188"/>
      <c r="K20" s="189"/>
      <c r="L20" s="190"/>
      <c r="M20" s="190"/>
      <c r="N20" s="190"/>
      <c r="O20" s="191"/>
      <c r="P20" s="192"/>
    </row>
    <row r="21" spans="1:17">
      <c r="A21" s="3"/>
      <c r="B21" s="3" t="str">
        <f>TEXT(Tabela223[[#This Row],[DATA]],"mmm")</f>
        <v>jan</v>
      </c>
      <c r="C21" s="2"/>
      <c r="D21" s="2"/>
      <c r="E21" s="2"/>
      <c r="F21" s="2"/>
      <c r="G21" s="173"/>
      <c r="H21" s="174"/>
      <c r="I21" s="173">
        <f>Tabela22[[#This Row],[PESO TOTAL]]/Tabela22[[#This Row],[QUANTIDADE]]</f>
        <v>0</v>
      </c>
      <c r="J21" s="188"/>
      <c r="K21" s="193"/>
      <c r="L21" s="8"/>
      <c r="M21" s="8"/>
      <c r="N21" s="8"/>
      <c r="O21" s="194"/>
      <c r="P21" s="195"/>
    </row>
    <row r="22" spans="1:17">
      <c r="A22" s="3"/>
      <c r="B22" s="3" t="str">
        <f>TEXT(Tabela223[[#This Row],[DATA]],"mmm")</f>
        <v>jan</v>
      </c>
      <c r="C22" s="2"/>
      <c r="D22" s="2"/>
      <c r="E22" s="2"/>
      <c r="F22" s="2"/>
      <c r="G22" s="173"/>
      <c r="H22" s="174"/>
      <c r="I22" s="173" t="e">
        <f>Tabela22[[#This Row],[PESO TOTAL]]/Tabela22[[#This Row],[QUANTIDADE]]</f>
        <v>#DIV/0!</v>
      </c>
      <c r="J22" s="188"/>
      <c r="K22" s="193"/>
      <c r="L22" s="8"/>
      <c r="M22" s="8"/>
      <c r="N22" s="8"/>
      <c r="O22" s="194"/>
      <c r="P22" s="195"/>
    </row>
    <row r="23" spans="1:17">
      <c r="A23" s="3"/>
      <c r="B23" s="3" t="str">
        <f>TEXT(Tabela223[[#This Row],[DATA]],"mmm")</f>
        <v>jan</v>
      </c>
      <c r="C23" s="2"/>
      <c r="D23" s="2"/>
      <c r="E23" s="2"/>
      <c r="F23" s="2"/>
      <c r="G23" s="173"/>
      <c r="H23" s="174"/>
      <c r="I23" s="173" t="e">
        <f>Tabela22[[#This Row],[PESO TOTAL]]/Tabela22[[#This Row],[QUANTIDADE]]</f>
        <v>#DIV/0!</v>
      </c>
      <c r="J23" s="188"/>
      <c r="K23" s="193"/>
      <c r="L23" s="8"/>
      <c r="M23" s="8"/>
      <c r="N23" s="8"/>
      <c r="O23" s="194"/>
      <c r="P23" s="195"/>
    </row>
    <row r="24" spans="1:17">
      <c r="A24" s="3"/>
      <c r="B24" s="3" t="str">
        <f>TEXT(Tabela223[[#This Row],[DATA]],"mmm")</f>
        <v>jan</v>
      </c>
      <c r="C24" s="2"/>
      <c r="D24" s="2"/>
      <c r="E24" s="2"/>
      <c r="F24" s="2"/>
      <c r="G24" s="173"/>
      <c r="H24" s="174"/>
      <c r="I24" s="173" t="e">
        <f>Tabela22[[#This Row],[PESO TOTAL]]/Tabela22[[#This Row],[QUANTIDADE]]</f>
        <v>#DIV/0!</v>
      </c>
      <c r="J24" s="188"/>
      <c r="K24" s="193"/>
      <c r="L24" s="8"/>
      <c r="M24" s="8"/>
      <c r="N24" s="8"/>
      <c r="O24" s="194"/>
      <c r="P24" s="195"/>
    </row>
    <row r="25" spans="1:17">
      <c r="A25" s="3"/>
      <c r="B25" s="3" t="str">
        <f>TEXT(Tabela223[[#This Row],[DATA]],"mmm")</f>
        <v>jan</v>
      </c>
      <c r="C25" s="2"/>
      <c r="D25" s="2"/>
      <c r="E25" s="2"/>
      <c r="F25" s="2"/>
      <c r="G25" s="173"/>
      <c r="H25" s="174"/>
      <c r="I25" s="173" t="e">
        <f>Tabela22[[#This Row],[PESO TOTAL]]/Tabela22[[#This Row],[QUANTIDADE]]</f>
        <v>#DIV/0!</v>
      </c>
      <c r="J25" s="188"/>
      <c r="K25" s="193"/>
      <c r="L25" s="8"/>
      <c r="M25" s="8"/>
      <c r="N25" s="8"/>
      <c r="O25" s="194"/>
      <c r="P25" s="195"/>
    </row>
    <row r="26" spans="1:17">
      <c r="A26" s="3"/>
      <c r="B26" s="3" t="str">
        <f>TEXT(Tabela223[[#This Row],[DATA]],"mmm")</f>
        <v>jan</v>
      </c>
      <c r="C26" s="2"/>
      <c r="D26" s="2"/>
      <c r="E26" s="2"/>
      <c r="F26" s="2"/>
      <c r="G26" s="173"/>
      <c r="H26" s="174"/>
      <c r="I26" s="173" t="e">
        <f>Tabela22[[#This Row],[PESO TOTAL]]/Tabela22[[#This Row],[QUANTIDADE]]</f>
        <v>#DIV/0!</v>
      </c>
      <c r="J26" s="188"/>
      <c r="K26" s="193"/>
      <c r="L26" s="8"/>
      <c r="M26" s="8"/>
      <c r="N26" s="8"/>
      <c r="O26" s="194"/>
      <c r="P26" s="195"/>
    </row>
    <row r="27" spans="1:17">
      <c r="A27" s="3"/>
      <c r="B27" s="3" t="str">
        <f>TEXT(Tabela223[[#This Row],[DATA]],"mmm")</f>
        <v>jan</v>
      </c>
      <c r="C27" s="2"/>
      <c r="D27" s="2"/>
      <c r="E27" s="2"/>
      <c r="F27" s="2"/>
      <c r="G27" s="173"/>
      <c r="H27" s="174"/>
      <c r="I27" s="173" t="e">
        <f>Tabela22[[#This Row],[PESO TOTAL]]/Tabela22[[#This Row],[QUANTIDADE]]</f>
        <v>#DIV/0!</v>
      </c>
      <c r="J27" s="188"/>
      <c r="K27" s="193"/>
      <c r="L27" s="8"/>
      <c r="M27" s="8"/>
      <c r="N27" s="8"/>
      <c r="O27" s="194"/>
      <c r="P27" s="195"/>
    </row>
    <row r="28" spans="1:17">
      <c r="A28" s="3"/>
      <c r="B28" s="3" t="str">
        <f>TEXT(Tabela223[[#This Row],[DATA]],"mmmm")</f>
        <v>janeiro</v>
      </c>
      <c r="C28" s="2"/>
      <c r="D28" s="2"/>
      <c r="E28" s="2"/>
      <c r="F28" s="2"/>
      <c r="G28" s="173"/>
      <c r="H28" s="174"/>
      <c r="I28" s="173" t="e">
        <f>Tabela22[[#This Row],[PESO TOTAL]]/Tabela22[[#This Row],[QUANTIDADE]]</f>
        <v>#DIV/0!</v>
      </c>
      <c r="J28" s="2"/>
      <c r="K28" s="193"/>
      <c r="L28" s="8"/>
      <c r="M28" s="8"/>
      <c r="N28" s="8"/>
      <c r="O28" s="194"/>
      <c r="P28" s="195"/>
    </row>
    <row r="29" spans="1:17">
      <c r="A29" s="3"/>
      <c r="B29" s="3" t="str">
        <f>TEXT(Tabela223[[#This Row],[DATA]],"mmmm")</f>
        <v>janeiro</v>
      </c>
      <c r="C29" s="2"/>
      <c r="D29" s="2"/>
      <c r="E29" s="2"/>
      <c r="F29" s="2"/>
      <c r="G29" s="173"/>
      <c r="H29" s="174"/>
      <c r="I29" s="173" t="e">
        <f>Tabela22[[#This Row],[PESO TOTAL]]/Tabela22[[#This Row],[QUANTIDADE]]</f>
        <v>#DIV/0!</v>
      </c>
      <c r="J29" s="2"/>
      <c r="K29" s="193"/>
      <c r="L29" s="8"/>
      <c r="M29" s="8"/>
      <c r="N29" s="8"/>
      <c r="O29" s="194"/>
      <c r="P29" s="195"/>
    </row>
    <row r="30" spans="1:17">
      <c r="A30" s="3"/>
      <c r="B30" s="3" t="str">
        <f>TEXT(Tabela223[[#This Row],[DATA]],"mmmm")</f>
        <v>janeiro</v>
      </c>
      <c r="C30" s="2"/>
      <c r="D30" s="2"/>
      <c r="E30" s="2"/>
      <c r="F30" s="2"/>
      <c r="G30" s="173"/>
      <c r="H30" s="174"/>
      <c r="I30" s="173" t="e">
        <f>Tabela22[[#This Row],[PESO TOTAL]]/Tabela22[[#This Row],[QUANTIDADE]]</f>
        <v>#DIV/0!</v>
      </c>
      <c r="J30" s="2"/>
      <c r="K30" s="193"/>
      <c r="L30" s="8"/>
      <c r="M30" s="8"/>
      <c r="N30" s="8"/>
      <c r="O30" s="194"/>
      <c r="P30" s="195"/>
    </row>
    <row r="31" spans="1:17">
      <c r="A31" s="3"/>
      <c r="B31" s="3" t="str">
        <f>TEXT(Tabela223[[#This Row],[DATA]],"mmmm")</f>
        <v>janeiro</v>
      </c>
      <c r="C31" s="2"/>
      <c r="D31" s="2"/>
      <c r="E31" s="2"/>
      <c r="F31" s="2"/>
      <c r="G31" s="173"/>
      <c r="H31" s="174"/>
      <c r="I31" s="173" t="e">
        <f>Tabela22[[#This Row],[PESO TOTAL]]/Tabela22[[#This Row],[QUANTIDADE]]</f>
        <v>#DIV/0!</v>
      </c>
      <c r="J31" s="2"/>
      <c r="K31" s="193"/>
      <c r="L31" s="8"/>
      <c r="M31" s="8"/>
      <c r="N31" s="8"/>
      <c r="O31" s="194"/>
      <c r="P31" s="195"/>
    </row>
    <row r="32" spans="1:17">
      <c r="A32" s="3"/>
      <c r="B32" s="3" t="str">
        <f>TEXT(Tabela223[[#This Row],[DATA]],"mmmm")</f>
        <v>janeiro</v>
      </c>
      <c r="C32" s="2"/>
      <c r="D32" s="2"/>
      <c r="E32" s="2"/>
      <c r="F32" s="2"/>
      <c r="G32" s="173"/>
      <c r="H32" s="174"/>
      <c r="I32" s="173" t="e">
        <f>Tabela22[[#This Row],[PESO TOTAL]]/Tabela22[[#This Row],[QUANTIDADE]]</f>
        <v>#DIV/0!</v>
      </c>
      <c r="J32" s="2"/>
      <c r="K32" s="193"/>
      <c r="L32" s="8"/>
      <c r="M32" s="8"/>
      <c r="N32" s="8"/>
      <c r="O32" s="194"/>
      <c r="P32" s="195"/>
    </row>
    <row r="33" spans="1:16">
      <c r="A33" s="3"/>
      <c r="B33" s="3" t="str">
        <f>TEXT(Tabela223[[#This Row],[DATA]],"mmmm")</f>
        <v>janeiro</v>
      </c>
      <c r="C33" s="2"/>
      <c r="D33" s="2"/>
      <c r="E33" s="2"/>
      <c r="F33" s="2"/>
      <c r="G33" s="173"/>
      <c r="H33" s="174"/>
      <c r="I33" s="173" t="e">
        <f>Tabela22[[#This Row],[PESO TOTAL]]/Tabela22[[#This Row],[QUANTIDADE]]</f>
        <v>#DIV/0!</v>
      </c>
      <c r="J33" s="2"/>
      <c r="K33" s="193"/>
      <c r="L33" s="8"/>
      <c r="M33" s="8"/>
      <c r="N33" s="8"/>
      <c r="O33" s="194"/>
      <c r="P33" s="195"/>
    </row>
    <row r="34" spans="1:16">
      <c r="A34" s="3"/>
      <c r="B34" s="3" t="str">
        <f>TEXT(Tabela223[[#This Row],[DATA]],"mmmm")</f>
        <v>janeiro</v>
      </c>
      <c r="C34" s="2"/>
      <c r="D34" s="2"/>
      <c r="E34" s="2"/>
      <c r="F34" s="2"/>
      <c r="G34" s="173"/>
      <c r="H34" s="174"/>
      <c r="I34" s="173" t="e">
        <f>Tabela22[[#This Row],[PESO TOTAL]]/Tabela22[[#This Row],[QUANTIDADE]]</f>
        <v>#DIV/0!</v>
      </c>
      <c r="J34" s="2"/>
      <c r="K34" s="193"/>
      <c r="L34" s="8"/>
      <c r="M34" s="8"/>
      <c r="N34" s="8"/>
      <c r="O34" s="194"/>
      <c r="P34" s="195"/>
    </row>
    <row r="35" spans="1:16">
      <c r="A35" s="3"/>
      <c r="B35" s="3" t="str">
        <f>TEXT(Tabela223[[#This Row],[DATA]],"mmmm")</f>
        <v>janeiro</v>
      </c>
      <c r="C35" s="2"/>
      <c r="D35" s="2"/>
      <c r="E35" s="2"/>
      <c r="F35" s="2"/>
      <c r="G35" s="173"/>
      <c r="H35" s="174"/>
      <c r="I35" s="173" t="e">
        <f>Tabela22[[#This Row],[PESO TOTAL]]/Tabela22[[#This Row],[QUANTIDADE]]</f>
        <v>#DIV/0!</v>
      </c>
      <c r="J35" s="2"/>
      <c r="K35" s="193"/>
      <c r="L35" s="8"/>
      <c r="M35" s="8"/>
      <c r="N35" s="8"/>
      <c r="O35" s="194"/>
      <c r="P35" s="195"/>
    </row>
    <row r="36" spans="1:16">
      <c r="A36" s="3"/>
      <c r="B36" s="3" t="str">
        <f>TEXT(Tabela223[[#This Row],[DATA]],"mmmm")</f>
        <v>janeiro</v>
      </c>
      <c r="C36" s="2"/>
      <c r="D36" s="2"/>
      <c r="E36" s="2"/>
      <c r="F36" s="2"/>
      <c r="G36" s="173"/>
      <c r="H36" s="174"/>
      <c r="I36" s="173" t="e">
        <f>Tabela22[[#This Row],[PESO TOTAL]]/Tabela22[[#This Row],[QUANTIDADE]]</f>
        <v>#DIV/0!</v>
      </c>
      <c r="J36" s="2"/>
      <c r="K36" s="193"/>
      <c r="L36" s="8"/>
      <c r="M36" s="8"/>
      <c r="N36" s="8"/>
      <c r="O36" s="194"/>
      <c r="P36" s="195"/>
    </row>
    <row r="37" spans="1:16">
      <c r="A37" s="3"/>
      <c r="B37" s="3" t="str">
        <f>TEXT(Tabela223[[#This Row],[DATA]],"mmmm")</f>
        <v>janeiro</v>
      </c>
      <c r="C37" s="2"/>
      <c r="D37" s="2"/>
      <c r="E37" s="2"/>
      <c r="F37" s="2"/>
      <c r="G37" s="173"/>
      <c r="H37" s="174"/>
      <c r="I37" s="173" t="e">
        <f>Tabela22[[#This Row],[PESO TOTAL]]/Tabela22[[#This Row],[QUANTIDADE]]</f>
        <v>#DIV/0!</v>
      </c>
      <c r="J37" s="2"/>
      <c r="K37" s="193"/>
      <c r="L37" s="8"/>
      <c r="M37" s="8"/>
      <c r="N37" s="8"/>
      <c r="O37" s="194"/>
      <c r="P37" s="195"/>
    </row>
    <row r="38" spans="1:16">
      <c r="A38" s="3"/>
      <c r="B38" s="3" t="str">
        <f>TEXT(Tabela223[[#This Row],[DATA]],"mmmm")</f>
        <v>janeiro</v>
      </c>
      <c r="C38" s="2"/>
      <c r="D38" s="2"/>
      <c r="E38" s="2"/>
      <c r="F38" s="2"/>
      <c r="G38" s="173"/>
      <c r="H38" s="174"/>
      <c r="I38" s="173" t="e">
        <f>Tabela22[[#This Row],[PESO TOTAL]]/Tabela22[[#This Row],[QUANTIDADE]]</f>
        <v>#DIV/0!</v>
      </c>
      <c r="J38" s="2"/>
      <c r="K38" s="193"/>
      <c r="L38" s="8"/>
      <c r="M38" s="8"/>
      <c r="N38" s="8"/>
      <c r="O38" s="194"/>
      <c r="P38" s="195"/>
    </row>
    <row r="39" spans="1:16">
      <c r="A39" s="3"/>
      <c r="B39" s="3" t="str">
        <f>TEXT(Tabela223[[#This Row],[DATA]],"mmmm")</f>
        <v>janeiro</v>
      </c>
      <c r="C39" s="2"/>
      <c r="D39" s="2"/>
      <c r="E39" s="2"/>
      <c r="F39" s="2"/>
      <c r="G39" s="173"/>
      <c r="H39" s="174"/>
      <c r="I39" s="173" t="e">
        <f>Tabela22[[#This Row],[PESO TOTAL]]/Tabela22[[#This Row],[QUANTIDADE]]</f>
        <v>#DIV/0!</v>
      </c>
      <c r="J39" s="2"/>
      <c r="K39" s="193"/>
      <c r="L39" s="8"/>
      <c r="M39" s="8"/>
      <c r="N39" s="8"/>
      <c r="O39" s="194"/>
      <c r="P39" s="195"/>
    </row>
    <row r="40" spans="1:16">
      <c r="A40" s="3"/>
      <c r="B40" s="3" t="str">
        <f>TEXT(Tabela223[[#This Row],[DATA]],"mmmm")</f>
        <v>janeiro</v>
      </c>
      <c r="C40" s="2"/>
      <c r="D40" s="2"/>
      <c r="E40" s="2"/>
      <c r="F40" s="2"/>
      <c r="G40" s="173"/>
      <c r="H40" s="174"/>
      <c r="I40" s="173" t="e">
        <f>Tabela22[[#This Row],[PESO TOTAL]]/Tabela22[[#This Row],[QUANTIDADE]]</f>
        <v>#DIV/0!</v>
      </c>
      <c r="J40" s="2"/>
      <c r="K40" s="193"/>
      <c r="L40" s="8"/>
      <c r="M40" s="8"/>
      <c r="N40" s="8"/>
      <c r="O40" s="194"/>
      <c r="P40" s="195"/>
    </row>
    <row r="41" spans="1:16">
      <c r="A41" s="3"/>
      <c r="B41" s="3" t="str">
        <f>TEXT(Tabela223[[#This Row],[DATA]],"mmmm")</f>
        <v>janeiro</v>
      </c>
      <c r="C41" s="2"/>
      <c r="D41" s="2"/>
      <c r="E41" s="2"/>
      <c r="F41" s="2"/>
      <c r="G41" s="173"/>
      <c r="H41" s="174"/>
      <c r="I41" s="173" t="e">
        <f>Tabela22[[#This Row],[PESO TOTAL]]/Tabela22[[#This Row],[QUANTIDADE]]</f>
        <v>#DIV/0!</v>
      </c>
      <c r="J41" s="2"/>
      <c r="K41" s="193"/>
      <c r="L41" s="8"/>
      <c r="M41" s="8"/>
      <c r="N41" s="8"/>
      <c r="O41" s="194"/>
      <c r="P41" s="195"/>
    </row>
    <row r="42" spans="1:16">
      <c r="A42" s="3"/>
      <c r="B42" s="3" t="str">
        <f>TEXT(Tabela223[[#This Row],[DATA]],"mmmm")</f>
        <v>janeiro</v>
      </c>
      <c r="C42" s="2"/>
      <c r="D42" s="2"/>
      <c r="E42" s="2"/>
      <c r="F42" s="2"/>
      <c r="G42" s="173"/>
      <c r="H42" s="174"/>
      <c r="I42" s="173" t="e">
        <f>Tabela22[[#This Row],[PESO TOTAL]]/Tabela22[[#This Row],[QUANTIDADE]]</f>
        <v>#DIV/0!</v>
      </c>
      <c r="J42" s="2"/>
      <c r="K42" s="193"/>
      <c r="L42" s="8"/>
      <c r="M42" s="8"/>
      <c r="N42" s="8"/>
      <c r="O42" s="194"/>
      <c r="P42" s="195"/>
    </row>
    <row r="43" spans="1:16">
      <c r="A43" s="3"/>
      <c r="B43" s="3" t="str">
        <f>TEXT(Tabela223[[#This Row],[DATA]],"mmmm")</f>
        <v>janeiro</v>
      </c>
      <c r="C43" s="2"/>
      <c r="D43" s="2"/>
      <c r="E43" s="2"/>
      <c r="F43" s="2"/>
      <c r="G43" s="173"/>
      <c r="H43" s="174"/>
      <c r="I43" s="173" t="e">
        <f>Tabela22[[#This Row],[PESO TOTAL]]/Tabela22[[#This Row],[QUANTIDADE]]</f>
        <v>#DIV/0!</v>
      </c>
      <c r="J43" s="2"/>
      <c r="K43" s="193"/>
      <c r="L43" s="8"/>
      <c r="M43" s="8"/>
      <c r="N43" s="8"/>
      <c r="O43" s="194"/>
      <c r="P43" s="195"/>
    </row>
    <row r="44" spans="1:16">
      <c r="A44" s="3"/>
      <c r="B44" s="3" t="str">
        <f>TEXT(Tabela223[[#This Row],[DATA]],"mmmm")</f>
        <v>janeiro</v>
      </c>
      <c r="C44" s="2"/>
      <c r="D44" s="2"/>
      <c r="E44" s="2"/>
      <c r="F44" s="2"/>
      <c r="G44" s="173"/>
      <c r="H44" s="174"/>
      <c r="I44" s="173" t="e">
        <f>Tabela22[[#This Row],[PESO TOTAL]]/Tabela22[[#This Row],[QUANTIDADE]]</f>
        <v>#DIV/0!</v>
      </c>
      <c r="J44" s="2"/>
      <c r="K44" s="193"/>
      <c r="L44" s="8"/>
      <c r="M44" s="8"/>
      <c r="N44" s="8"/>
      <c r="O44" s="194"/>
      <c r="P44" s="195"/>
    </row>
    <row r="45" spans="1:16">
      <c r="A45" s="3"/>
      <c r="B45" s="3" t="str">
        <f>TEXT(Tabela223[[#This Row],[DATA]],"mmmm")</f>
        <v>janeiro</v>
      </c>
      <c r="C45" s="2"/>
      <c r="D45" s="2"/>
      <c r="E45" s="2"/>
      <c r="F45" s="2"/>
      <c r="G45" s="173"/>
      <c r="H45" s="174"/>
      <c r="I45" s="173" t="e">
        <f>Tabela22[[#This Row],[PESO TOTAL]]/Tabela22[[#This Row],[QUANTIDADE]]</f>
        <v>#DIV/0!</v>
      </c>
      <c r="J45" s="2"/>
      <c r="K45" s="193"/>
      <c r="L45" s="8"/>
      <c r="M45" s="8"/>
      <c r="N45" s="8"/>
      <c r="O45" s="194"/>
      <c r="P45" s="195"/>
    </row>
    <row r="46" spans="1:16">
      <c r="A46" s="3"/>
      <c r="B46" s="3" t="str">
        <f>TEXT(Tabela223[[#This Row],[DATA]],"mmmm")</f>
        <v>janeiro</v>
      </c>
      <c r="C46" s="2"/>
      <c r="D46" s="2"/>
      <c r="E46" s="2"/>
      <c r="F46" s="2"/>
      <c r="G46" s="173"/>
      <c r="H46" s="174"/>
      <c r="I46" s="173" t="e">
        <f>Tabela22[[#This Row],[PESO TOTAL]]/Tabela22[[#This Row],[QUANTIDADE]]</f>
        <v>#DIV/0!</v>
      </c>
      <c r="J46" s="2"/>
      <c r="K46" s="193"/>
      <c r="L46" s="8"/>
      <c r="M46" s="8"/>
      <c r="N46" s="8"/>
      <c r="O46" s="194"/>
      <c r="P46" s="195"/>
    </row>
    <row r="47" spans="1:16">
      <c r="A47" s="3"/>
      <c r="B47" s="3" t="str">
        <f>TEXT(Tabela223[[#This Row],[DATA]],"mmmm")</f>
        <v>janeiro</v>
      </c>
      <c r="C47" s="2"/>
      <c r="D47" s="2"/>
      <c r="E47" s="2"/>
      <c r="F47" s="2"/>
      <c r="G47" s="173"/>
      <c r="H47" s="174"/>
      <c r="I47" s="173" t="e">
        <f>Tabela22[[#This Row],[PESO TOTAL]]/Tabela22[[#This Row],[QUANTIDADE]]</f>
        <v>#DIV/0!</v>
      </c>
      <c r="J47" s="2"/>
      <c r="K47" s="193"/>
      <c r="L47" s="8"/>
      <c r="M47" s="8"/>
      <c r="N47" s="8"/>
      <c r="O47" s="194"/>
      <c r="P47" s="195"/>
    </row>
    <row r="48" spans="1:16">
      <c r="A48" s="3"/>
      <c r="B48" s="3" t="str">
        <f>TEXT(Tabela223[[#This Row],[DATA]],"mmmm")</f>
        <v>janeiro</v>
      </c>
      <c r="C48" s="2"/>
      <c r="D48" s="2"/>
      <c r="E48" s="2"/>
      <c r="F48" s="2"/>
      <c r="G48" s="173"/>
      <c r="H48" s="174"/>
      <c r="I48" s="173" t="e">
        <f>Tabela22[[#This Row],[PESO TOTAL]]/Tabela22[[#This Row],[QUANTIDADE]]</f>
        <v>#DIV/0!</v>
      </c>
      <c r="J48" s="2"/>
      <c r="K48" s="193"/>
      <c r="L48" s="8"/>
      <c r="M48" s="8"/>
      <c r="N48" s="8"/>
      <c r="O48" s="194"/>
      <c r="P48" s="195"/>
    </row>
    <row r="49" spans="1:16">
      <c r="A49" s="3"/>
      <c r="B49" s="3" t="str">
        <f>TEXT(Tabela223[[#This Row],[DATA]],"mmmm")</f>
        <v>janeiro</v>
      </c>
      <c r="C49" s="2"/>
      <c r="D49" s="2"/>
      <c r="E49" s="2"/>
      <c r="F49" s="2"/>
      <c r="G49" s="173"/>
      <c r="H49" s="174"/>
      <c r="I49" s="173" t="e">
        <f>Tabela22[[#This Row],[PESO TOTAL]]/Tabela22[[#This Row],[QUANTIDADE]]</f>
        <v>#DIV/0!</v>
      </c>
      <c r="J49" s="2"/>
      <c r="K49" s="193"/>
      <c r="L49" s="8"/>
      <c r="M49" s="8"/>
      <c r="N49" s="8"/>
      <c r="O49" s="194"/>
      <c r="P49" s="195"/>
    </row>
    <row r="50" spans="1:16">
      <c r="A50" s="3"/>
      <c r="B50" s="3" t="str">
        <f>TEXT(Tabela223[[#This Row],[DATA]],"mmmm")</f>
        <v>janeiro</v>
      </c>
      <c r="C50" s="2"/>
      <c r="D50" s="2"/>
      <c r="E50" s="2"/>
      <c r="F50" s="2"/>
      <c r="G50" s="173"/>
      <c r="H50" s="174"/>
      <c r="I50" s="173" t="e">
        <f>Tabela22[[#This Row],[PESO TOTAL]]/Tabela22[[#This Row],[QUANTIDADE]]</f>
        <v>#DIV/0!</v>
      </c>
      <c r="J50" s="2"/>
      <c r="K50" s="193"/>
      <c r="L50" s="8"/>
      <c r="M50" s="8"/>
      <c r="N50" s="8"/>
      <c r="O50" s="194"/>
      <c r="P50" s="195"/>
    </row>
    <row r="51" spans="1:16">
      <c r="A51" s="3"/>
      <c r="B51" s="3" t="str">
        <f>TEXT(Tabela223[[#This Row],[DATA]],"mmmm")</f>
        <v>janeiro</v>
      </c>
      <c r="C51" s="2"/>
      <c r="D51" s="2"/>
      <c r="E51" s="2"/>
      <c r="F51" s="2"/>
      <c r="G51" s="173"/>
      <c r="H51" s="174"/>
      <c r="I51" s="173" t="e">
        <f>Tabela22[[#This Row],[PESO TOTAL]]/Tabela22[[#This Row],[QUANTIDADE]]</f>
        <v>#DIV/0!</v>
      </c>
      <c r="J51" s="2"/>
      <c r="K51" s="193"/>
      <c r="L51" s="8"/>
      <c r="M51" s="8"/>
      <c r="N51" s="8"/>
      <c r="O51" s="194"/>
      <c r="P51" s="195"/>
    </row>
    <row r="52" spans="1:16">
      <c r="A52" s="3"/>
      <c r="B52" s="3" t="str">
        <f>TEXT(Tabela223[[#This Row],[DATA]],"mmmm")</f>
        <v>janeiro</v>
      </c>
      <c r="C52" s="2"/>
      <c r="D52" s="2"/>
      <c r="E52" s="2"/>
      <c r="F52" s="2"/>
      <c r="G52" s="173"/>
      <c r="H52" s="174"/>
      <c r="I52" s="173" t="e">
        <f>Tabela22[[#This Row],[PESO TOTAL]]/Tabela22[[#This Row],[QUANTIDADE]]</f>
        <v>#DIV/0!</v>
      </c>
      <c r="J52" s="2"/>
      <c r="K52" s="193"/>
      <c r="L52" s="8"/>
      <c r="M52" s="8"/>
      <c r="N52" s="8"/>
      <c r="O52" s="194"/>
      <c r="P52" s="195"/>
    </row>
    <row r="53" spans="1:16">
      <c r="A53" s="3"/>
      <c r="B53" s="3" t="str">
        <f>TEXT(Tabela223[[#This Row],[DATA]],"mmmm")</f>
        <v>janeiro</v>
      </c>
      <c r="C53" s="2"/>
      <c r="D53" s="2"/>
      <c r="E53" s="2"/>
      <c r="F53" s="2"/>
      <c r="G53" s="173"/>
      <c r="H53" s="174"/>
      <c r="I53" s="173" t="e">
        <f>Tabela22[[#This Row],[PESO TOTAL]]/Tabela22[[#This Row],[QUANTIDADE]]</f>
        <v>#DIV/0!</v>
      </c>
      <c r="J53" s="2"/>
      <c r="K53" s="193"/>
      <c r="L53" s="8"/>
      <c r="M53" s="8"/>
      <c r="N53" s="8"/>
      <c r="O53" s="194"/>
      <c r="P53" s="195"/>
    </row>
    <row r="54" spans="1:16">
      <c r="A54" s="3"/>
      <c r="B54" s="3" t="str">
        <f>TEXT(Tabela223[[#This Row],[DATA]],"mmmm")</f>
        <v>janeiro</v>
      </c>
      <c r="C54" s="2"/>
      <c r="D54" s="2"/>
      <c r="E54" s="2"/>
      <c r="F54" s="2"/>
      <c r="G54" s="173"/>
      <c r="H54" s="174"/>
      <c r="I54" s="173" t="e">
        <f>Tabela22[[#This Row],[PESO TOTAL]]/Tabela22[[#This Row],[QUANTIDADE]]</f>
        <v>#DIV/0!</v>
      </c>
      <c r="J54" s="2"/>
      <c r="K54" s="193"/>
      <c r="L54" s="8"/>
      <c r="M54" s="8"/>
      <c r="N54" s="8"/>
      <c r="O54" s="194"/>
      <c r="P54" s="195"/>
    </row>
    <row r="55" spans="1:16">
      <c r="A55" s="3"/>
      <c r="B55" s="3" t="str">
        <f>TEXT(Tabela223[[#This Row],[DATA]],"mmmm")</f>
        <v>janeiro</v>
      </c>
      <c r="C55" s="2"/>
      <c r="D55" s="2"/>
      <c r="E55" s="2"/>
      <c r="F55" s="2"/>
      <c r="G55" s="173"/>
      <c r="H55" s="174"/>
      <c r="I55" s="173" t="e">
        <f>Tabela22[[#This Row],[PESO TOTAL]]/Tabela22[[#This Row],[QUANTIDADE]]</f>
        <v>#DIV/0!</v>
      </c>
      <c r="J55" s="2"/>
      <c r="K55" s="193"/>
      <c r="L55" s="8"/>
      <c r="M55" s="8"/>
      <c r="N55" s="8"/>
      <c r="O55" s="194"/>
      <c r="P55" s="195"/>
    </row>
    <row r="56" spans="1:16">
      <c r="A56" s="3"/>
      <c r="B56" s="3" t="str">
        <f>TEXT(Tabela223[[#This Row],[DATA]],"mmmm")</f>
        <v>janeiro</v>
      </c>
      <c r="C56" s="2"/>
      <c r="D56" s="2"/>
      <c r="E56" s="2"/>
      <c r="F56" s="2"/>
      <c r="G56" s="173"/>
      <c r="H56" s="174"/>
      <c r="I56" s="173" t="e">
        <f>Tabela22[[#This Row],[PESO TOTAL]]/Tabela22[[#This Row],[QUANTIDADE]]</f>
        <v>#DIV/0!</v>
      </c>
      <c r="J56" s="2"/>
      <c r="K56" s="193"/>
      <c r="L56" s="8"/>
      <c r="M56" s="8"/>
      <c r="N56" s="8"/>
      <c r="O56" s="194"/>
      <c r="P56" s="195"/>
    </row>
    <row r="57" spans="1:16">
      <c r="A57" s="3"/>
      <c r="B57" s="3" t="str">
        <f>TEXT(Tabela223[[#This Row],[DATA]],"mmmm")</f>
        <v>janeiro</v>
      </c>
      <c r="C57" s="2"/>
      <c r="D57" s="2"/>
      <c r="E57" s="2"/>
      <c r="F57" s="2"/>
      <c r="G57" s="173"/>
      <c r="H57" s="174"/>
      <c r="I57" s="173" t="e">
        <f>Tabela22[[#This Row],[PESO TOTAL]]/Tabela22[[#This Row],[QUANTIDADE]]</f>
        <v>#DIV/0!</v>
      </c>
      <c r="J57" s="2"/>
      <c r="K57" s="193"/>
      <c r="L57" s="8"/>
      <c r="M57" s="8"/>
      <c r="N57" s="8"/>
      <c r="O57" s="194"/>
      <c r="P57" s="195"/>
    </row>
    <row r="58" spans="1:16">
      <c r="A58" s="3"/>
      <c r="B58" s="3" t="str">
        <f>TEXT(Tabela223[[#This Row],[DATA]],"mmmm")</f>
        <v>janeiro</v>
      </c>
      <c r="C58" s="2"/>
      <c r="D58" s="2"/>
      <c r="E58" s="2"/>
      <c r="F58" s="2"/>
      <c r="G58" s="173"/>
      <c r="H58" s="174"/>
      <c r="I58" s="173" t="e">
        <f>Tabela22[[#This Row],[PESO TOTAL]]/Tabela22[[#This Row],[QUANTIDADE]]</f>
        <v>#DIV/0!</v>
      </c>
      <c r="J58" s="2"/>
      <c r="K58" s="193"/>
      <c r="L58" s="8"/>
      <c r="M58" s="8"/>
      <c r="N58" s="8"/>
      <c r="O58" s="194"/>
      <c r="P58" s="195"/>
    </row>
    <row r="59" spans="1:16">
      <c r="A59" s="3"/>
      <c r="B59" s="3" t="str">
        <f>TEXT(Tabela223[[#This Row],[DATA]],"mmmm")</f>
        <v>janeiro</v>
      </c>
      <c r="C59" s="2"/>
      <c r="D59" s="2"/>
      <c r="E59" s="2"/>
      <c r="F59" s="2"/>
      <c r="G59" s="173"/>
      <c r="H59" s="174"/>
      <c r="I59" s="173" t="e">
        <f>Tabela22[[#This Row],[PESO TOTAL]]/Tabela22[[#This Row],[QUANTIDADE]]</f>
        <v>#DIV/0!</v>
      </c>
      <c r="J59" s="2"/>
      <c r="K59" s="193"/>
      <c r="L59" s="8"/>
      <c r="M59" s="8"/>
      <c r="N59" s="8"/>
      <c r="O59" s="194"/>
      <c r="P59" s="195"/>
    </row>
    <row r="60" spans="1:16">
      <c r="A60" s="3"/>
      <c r="B60" s="3" t="str">
        <f>TEXT(Tabela223[[#This Row],[DATA]],"mmmm")</f>
        <v>janeiro</v>
      </c>
      <c r="C60" s="2"/>
      <c r="D60" s="2"/>
      <c r="E60" s="2"/>
      <c r="F60" s="2"/>
      <c r="G60" s="173"/>
      <c r="H60" s="174"/>
      <c r="I60" s="173" t="e">
        <f>Tabela22[[#This Row],[PESO TOTAL]]/Tabela22[[#This Row],[QUANTIDADE]]</f>
        <v>#DIV/0!</v>
      </c>
      <c r="J60" s="2"/>
      <c r="K60" s="193"/>
      <c r="L60" s="8"/>
      <c r="M60" s="8"/>
      <c r="N60" s="8"/>
      <c r="O60" s="194"/>
      <c r="P60" s="195"/>
    </row>
    <row r="61" spans="1:16">
      <c r="A61" s="3"/>
      <c r="B61" s="3" t="str">
        <f>TEXT(Tabela223[[#This Row],[DATA]],"mmmm")</f>
        <v>janeiro</v>
      </c>
      <c r="C61" s="2"/>
      <c r="D61" s="2"/>
      <c r="E61" s="2"/>
      <c r="F61" s="2"/>
      <c r="G61" s="173"/>
      <c r="H61" s="174"/>
      <c r="I61" s="173" t="e">
        <f>Tabela22[[#This Row],[PESO TOTAL]]/Tabela22[[#This Row],[QUANTIDADE]]</f>
        <v>#DIV/0!</v>
      </c>
      <c r="J61" s="2"/>
      <c r="K61" s="193"/>
      <c r="L61" s="8"/>
      <c r="M61" s="8"/>
      <c r="N61" s="8"/>
      <c r="O61" s="194"/>
      <c r="P61" s="195"/>
    </row>
    <row r="62" spans="1:16">
      <c r="A62" s="3"/>
      <c r="B62" s="3" t="str">
        <f>TEXT(Tabela223[[#This Row],[DATA]],"mmmm")</f>
        <v>janeiro</v>
      </c>
      <c r="C62" s="2"/>
      <c r="D62" s="2"/>
      <c r="E62" s="2"/>
      <c r="F62" s="2"/>
      <c r="G62" s="173"/>
      <c r="H62" s="174"/>
      <c r="I62" s="173" t="e">
        <f>Tabela22[[#This Row],[PESO TOTAL]]/Tabela22[[#This Row],[QUANTIDADE]]</f>
        <v>#DIV/0!</v>
      </c>
      <c r="J62" s="2"/>
      <c r="K62" s="193"/>
      <c r="L62" s="8"/>
      <c r="M62" s="8"/>
      <c r="N62" s="8"/>
      <c r="O62" s="194"/>
      <c r="P62" s="195"/>
    </row>
    <row r="63" spans="1:16">
      <c r="A63" s="3"/>
      <c r="B63" s="3" t="str">
        <f>TEXT(Tabela223[[#This Row],[DATA]],"mmmm")</f>
        <v>janeiro</v>
      </c>
      <c r="C63" s="2"/>
      <c r="D63" s="2"/>
      <c r="E63" s="2"/>
      <c r="F63" s="2"/>
      <c r="G63" s="173"/>
      <c r="H63" s="174"/>
      <c r="I63" s="173" t="e">
        <f>Tabela22[[#This Row],[PESO TOTAL]]/Tabela22[[#This Row],[QUANTIDADE]]</f>
        <v>#DIV/0!</v>
      </c>
      <c r="J63" s="2"/>
      <c r="K63" s="193"/>
      <c r="L63" s="8"/>
      <c r="M63" s="8"/>
      <c r="N63" s="8"/>
      <c r="O63" s="194"/>
      <c r="P63" s="195"/>
    </row>
    <row r="64" spans="1:16">
      <c r="A64" s="3"/>
      <c r="B64" s="3" t="str">
        <f>TEXT(Tabela223[[#This Row],[DATA]],"mmmm")</f>
        <v>janeiro</v>
      </c>
      <c r="C64" s="2"/>
      <c r="D64" s="2"/>
      <c r="E64" s="2"/>
      <c r="F64" s="2"/>
      <c r="G64" s="173"/>
      <c r="H64" s="174"/>
      <c r="I64" s="173" t="e">
        <f>Tabela22[[#This Row],[PESO TOTAL]]/Tabela22[[#This Row],[QUANTIDADE]]</f>
        <v>#DIV/0!</v>
      </c>
      <c r="J64" s="2"/>
      <c r="K64" s="193"/>
      <c r="L64" s="8"/>
      <c r="M64" s="8"/>
      <c r="N64" s="8"/>
      <c r="O64" s="194"/>
      <c r="P64" s="195"/>
    </row>
    <row r="65" spans="1:16">
      <c r="A65" s="3"/>
      <c r="B65" s="3" t="str">
        <f>TEXT(Tabela223[[#This Row],[DATA]],"mmmm")</f>
        <v>janeiro</v>
      </c>
      <c r="C65" s="2"/>
      <c r="D65" s="2"/>
      <c r="E65" s="2"/>
      <c r="F65" s="2"/>
      <c r="G65" s="173"/>
      <c r="H65" s="174"/>
      <c r="I65" s="173" t="e">
        <f>Tabela22[[#This Row],[PESO TOTAL]]/Tabela22[[#This Row],[QUANTIDADE]]</f>
        <v>#DIV/0!</v>
      </c>
      <c r="J65" s="2"/>
      <c r="K65" s="193"/>
      <c r="L65" s="8"/>
      <c r="M65" s="8"/>
      <c r="N65" s="8"/>
      <c r="O65" s="194"/>
      <c r="P65" s="195"/>
    </row>
    <row r="66" spans="1:16">
      <c r="A66" s="3"/>
      <c r="B66" s="3" t="str">
        <f>TEXT(Tabela223[[#This Row],[DATA]],"mmmm")</f>
        <v>janeiro</v>
      </c>
      <c r="C66" s="2"/>
      <c r="D66" s="2"/>
      <c r="E66" s="2"/>
      <c r="F66" s="2"/>
      <c r="G66" s="173"/>
      <c r="H66" s="174"/>
      <c r="I66" s="173" t="e">
        <f>Tabela22[[#This Row],[PESO TOTAL]]/Tabela22[[#This Row],[QUANTIDADE]]</f>
        <v>#DIV/0!</v>
      </c>
      <c r="J66" s="2"/>
      <c r="K66" s="193"/>
      <c r="L66" s="8"/>
      <c r="M66" s="8"/>
      <c r="N66" s="8"/>
      <c r="O66" s="194"/>
      <c r="P66" s="195"/>
    </row>
    <row r="67" spans="1:16">
      <c r="A67" s="3"/>
      <c r="B67" s="3" t="str">
        <f>TEXT(Tabela223[[#This Row],[DATA]],"mmmm")</f>
        <v>janeiro</v>
      </c>
      <c r="C67" s="2"/>
      <c r="D67" s="2"/>
      <c r="E67" s="2"/>
      <c r="F67" s="2"/>
      <c r="G67" s="173"/>
      <c r="H67" s="174"/>
      <c r="I67" s="173" t="e">
        <f>Tabela22[[#This Row],[PESO TOTAL]]/Tabela22[[#This Row],[QUANTIDADE]]</f>
        <v>#DIV/0!</v>
      </c>
      <c r="J67" s="2"/>
      <c r="K67" s="193"/>
      <c r="L67" s="8"/>
      <c r="M67" s="8"/>
      <c r="N67" s="8"/>
      <c r="O67" s="194"/>
      <c r="P67" s="195"/>
    </row>
    <row r="68" spans="1:16">
      <c r="A68" s="3"/>
      <c r="B68" s="3" t="str">
        <f>TEXT(Tabela223[[#This Row],[DATA]],"mmmm")</f>
        <v>janeiro</v>
      </c>
      <c r="C68" s="2"/>
      <c r="D68" s="2"/>
      <c r="E68" s="2"/>
      <c r="F68" s="2"/>
      <c r="G68" s="173"/>
      <c r="H68" s="174"/>
      <c r="I68" s="173" t="e">
        <f>Tabela22[[#This Row],[PESO TOTAL]]/Tabela22[[#This Row],[QUANTIDADE]]</f>
        <v>#DIV/0!</v>
      </c>
      <c r="J68" s="2"/>
      <c r="K68" s="193"/>
      <c r="L68" s="8"/>
      <c r="M68" s="8"/>
      <c r="N68" s="8"/>
      <c r="O68" s="194"/>
      <c r="P68" s="195"/>
    </row>
    <row r="69" spans="1:16">
      <c r="A69" s="3"/>
      <c r="B69" s="3" t="str">
        <f>TEXT(Tabela223[[#This Row],[DATA]],"mmmm")</f>
        <v>janeiro</v>
      </c>
      <c r="C69" s="2"/>
      <c r="D69" s="2"/>
      <c r="E69" s="2"/>
      <c r="F69" s="2"/>
      <c r="G69" s="173"/>
      <c r="H69" s="174"/>
      <c r="I69" s="173" t="e">
        <f>Tabela22[[#This Row],[PESO TOTAL]]/Tabela22[[#This Row],[QUANTIDADE]]</f>
        <v>#DIV/0!</v>
      </c>
      <c r="J69" s="2"/>
      <c r="K69" s="193"/>
      <c r="L69" s="8"/>
      <c r="M69" s="8"/>
      <c r="N69" s="8"/>
      <c r="O69" s="194"/>
      <c r="P69" s="195"/>
    </row>
    <row r="70" spans="1:16">
      <c r="A70" s="3"/>
      <c r="B70" s="3" t="str">
        <f>TEXT(Tabela223[[#This Row],[DATA]],"mmmm")</f>
        <v>janeiro</v>
      </c>
      <c r="C70" s="2"/>
      <c r="D70" s="2"/>
      <c r="E70" s="2"/>
      <c r="F70" s="2"/>
      <c r="G70" s="173"/>
      <c r="H70" s="174"/>
      <c r="I70" s="173" t="e">
        <f>Tabela22[[#This Row],[PESO TOTAL]]/Tabela22[[#This Row],[QUANTIDADE]]</f>
        <v>#DIV/0!</v>
      </c>
      <c r="J70" s="2"/>
      <c r="K70" s="193"/>
      <c r="L70" s="8"/>
      <c r="M70" s="8"/>
      <c r="N70" s="8"/>
      <c r="O70" s="194"/>
      <c r="P70" s="195"/>
    </row>
    <row r="71" spans="1:16">
      <c r="A71" s="3"/>
      <c r="B71" s="3" t="str">
        <f>TEXT(Tabela223[[#This Row],[DATA]],"mmmm")</f>
        <v>janeiro</v>
      </c>
      <c r="C71" s="2"/>
      <c r="D71" s="2"/>
      <c r="E71" s="2"/>
      <c r="F71" s="2"/>
      <c r="G71" s="173"/>
      <c r="H71" s="174"/>
      <c r="I71" s="173" t="e">
        <f>Tabela22[[#This Row],[PESO TOTAL]]/Tabela22[[#This Row],[QUANTIDADE]]</f>
        <v>#DIV/0!</v>
      </c>
      <c r="J71" s="2"/>
      <c r="K71" s="193"/>
      <c r="L71" s="8"/>
      <c r="M71" s="8"/>
      <c r="N71" s="8"/>
      <c r="O71" s="194"/>
      <c r="P71" s="195"/>
    </row>
    <row r="72" spans="1:16">
      <c r="A72" s="3"/>
      <c r="B72" s="3" t="str">
        <f>TEXT(Tabela223[[#This Row],[DATA]],"mmmm")</f>
        <v>janeiro</v>
      </c>
      <c r="C72" s="2"/>
      <c r="D72" s="2"/>
      <c r="E72" s="2"/>
      <c r="F72" s="2"/>
      <c r="G72" s="173"/>
      <c r="H72" s="174"/>
      <c r="I72" s="173" t="e">
        <f>Tabela22[[#This Row],[PESO TOTAL]]/Tabela22[[#This Row],[QUANTIDADE]]</f>
        <v>#DIV/0!</v>
      </c>
      <c r="J72" s="2"/>
      <c r="K72" s="193"/>
      <c r="L72" s="8"/>
      <c r="M72" s="8"/>
      <c r="N72" s="8"/>
      <c r="O72" s="194"/>
      <c r="P72" s="195"/>
    </row>
    <row r="73" spans="1:16">
      <c r="A73" s="3"/>
      <c r="B73" s="3" t="str">
        <f>TEXT(Tabela223[[#This Row],[DATA]],"mmmm")</f>
        <v>janeiro</v>
      </c>
      <c r="C73" s="2"/>
      <c r="D73" s="2"/>
      <c r="E73" s="2"/>
      <c r="F73" s="2"/>
      <c r="G73" s="173"/>
      <c r="H73" s="174"/>
      <c r="I73" s="173" t="e">
        <f>Tabela22[[#This Row],[PESO TOTAL]]/Tabela22[[#This Row],[QUANTIDADE]]</f>
        <v>#DIV/0!</v>
      </c>
      <c r="J73" s="2"/>
      <c r="K73" s="193"/>
      <c r="L73" s="8"/>
      <c r="M73" s="8"/>
      <c r="N73" s="8"/>
      <c r="O73" s="194"/>
      <c r="P73" s="195"/>
    </row>
    <row r="74" spans="1:16">
      <c r="A74" s="3"/>
      <c r="B74" s="3" t="str">
        <f>TEXT(Tabela223[[#This Row],[DATA]],"mmmm")</f>
        <v>janeiro</v>
      </c>
      <c r="C74" s="2"/>
      <c r="D74" s="2"/>
      <c r="E74" s="2"/>
      <c r="F74" s="2"/>
      <c r="G74" s="173"/>
      <c r="H74" s="174"/>
      <c r="I74" s="173" t="e">
        <f>Tabela22[[#This Row],[PESO TOTAL]]/Tabela22[[#This Row],[QUANTIDADE]]</f>
        <v>#DIV/0!</v>
      </c>
      <c r="J74" s="2"/>
      <c r="K74" s="193"/>
      <c r="L74" s="8"/>
      <c r="M74" s="8"/>
      <c r="N74" s="8"/>
      <c r="O74" s="194"/>
      <c r="P74" s="195"/>
    </row>
    <row r="75" spans="1:16">
      <c r="A75" s="3"/>
      <c r="B75" s="3" t="str">
        <f>TEXT(Tabela223[[#This Row],[DATA]],"mmmm")</f>
        <v>janeiro</v>
      </c>
      <c r="C75" s="2"/>
      <c r="D75" s="2"/>
      <c r="E75" s="2"/>
      <c r="F75" s="2"/>
      <c r="G75" s="173"/>
      <c r="H75" s="174"/>
      <c r="I75" s="173" t="e">
        <f>Tabela22[[#This Row],[PESO TOTAL]]/Tabela22[[#This Row],[QUANTIDADE]]</f>
        <v>#DIV/0!</v>
      </c>
      <c r="J75" s="2"/>
      <c r="K75" s="193"/>
      <c r="L75" s="8"/>
      <c r="M75" s="8"/>
      <c r="N75" s="8"/>
      <c r="O75" s="194"/>
      <c r="P75" s="195"/>
    </row>
    <row r="76" spans="1:16">
      <c r="A76" s="3"/>
      <c r="B76" s="3" t="str">
        <f>TEXT(Tabela223[[#This Row],[DATA]],"mmmm")</f>
        <v>janeiro</v>
      </c>
      <c r="C76" s="2"/>
      <c r="D76" s="2"/>
      <c r="E76" s="2"/>
      <c r="F76" s="2"/>
      <c r="G76" s="173"/>
      <c r="H76" s="174"/>
      <c r="I76" s="173" t="e">
        <f>Tabela22[[#This Row],[PESO TOTAL]]/Tabela22[[#This Row],[QUANTIDADE]]</f>
        <v>#DIV/0!</v>
      </c>
      <c r="J76" s="2"/>
      <c r="K76" s="193"/>
      <c r="L76" s="8"/>
      <c r="M76" s="8"/>
      <c r="N76" s="8"/>
      <c r="O76" s="194"/>
      <c r="P76" s="195"/>
    </row>
    <row r="77" spans="1:16">
      <c r="A77" s="3"/>
      <c r="B77" s="3" t="str">
        <f>TEXT(Tabela223[[#This Row],[DATA]],"mmmm")</f>
        <v>janeiro</v>
      </c>
      <c r="C77" s="2"/>
      <c r="D77" s="2"/>
      <c r="E77" s="2"/>
      <c r="F77" s="2"/>
      <c r="G77" s="173"/>
      <c r="H77" s="174"/>
      <c r="I77" s="173" t="e">
        <f>Tabela22[[#This Row],[PESO TOTAL]]/Tabela22[[#This Row],[QUANTIDADE]]</f>
        <v>#DIV/0!</v>
      </c>
      <c r="J77" s="2"/>
      <c r="K77" s="193"/>
      <c r="L77" s="8"/>
      <c r="M77" s="8"/>
      <c r="N77" s="8"/>
      <c r="O77" s="194"/>
      <c r="P77" s="195"/>
    </row>
    <row r="78" spans="1:16">
      <c r="A78" s="3"/>
      <c r="B78" s="3" t="str">
        <f>TEXT(Tabela223[[#This Row],[DATA]],"mmmm")</f>
        <v>janeiro</v>
      </c>
      <c r="C78" s="2"/>
      <c r="D78" s="2"/>
      <c r="E78" s="2"/>
      <c r="F78" s="2"/>
      <c r="G78" s="173"/>
      <c r="H78" s="174"/>
      <c r="I78" s="173" t="e">
        <f>Tabela22[[#This Row],[PESO TOTAL]]/Tabela22[[#This Row],[QUANTIDADE]]</f>
        <v>#DIV/0!</v>
      </c>
      <c r="J78" s="2"/>
      <c r="K78" s="193"/>
      <c r="L78" s="8"/>
      <c r="M78" s="8"/>
      <c r="N78" s="8"/>
      <c r="O78" s="194"/>
      <c r="P78" s="195"/>
    </row>
    <row r="79" spans="1:16">
      <c r="A79" s="3"/>
      <c r="B79" s="3" t="str">
        <f>TEXT(Tabela223[[#This Row],[DATA]],"mmmm")</f>
        <v>janeiro</v>
      </c>
      <c r="C79" s="2"/>
      <c r="D79" s="2"/>
      <c r="E79" s="2"/>
      <c r="F79" s="2"/>
      <c r="G79" s="173"/>
      <c r="H79" s="174"/>
      <c r="I79" s="173" t="e">
        <f>Tabela22[[#This Row],[PESO TOTAL]]/Tabela22[[#This Row],[QUANTIDADE]]</f>
        <v>#DIV/0!</v>
      </c>
      <c r="J79" s="2"/>
      <c r="K79" s="193"/>
      <c r="L79" s="8"/>
      <c r="M79" s="8"/>
      <c r="N79" s="8"/>
      <c r="O79" s="194"/>
      <c r="P79" s="195"/>
    </row>
    <row r="80" spans="1:16">
      <c r="A80" s="3"/>
      <c r="B80" s="3" t="str">
        <f>TEXT(Tabela223[[#This Row],[DATA]],"mmmm")</f>
        <v>janeiro</v>
      </c>
      <c r="C80" s="2"/>
      <c r="D80" s="2"/>
      <c r="E80" s="2"/>
      <c r="F80" s="2"/>
      <c r="G80" s="173"/>
      <c r="H80" s="174"/>
      <c r="I80" s="173" t="e">
        <f>Tabela22[[#This Row],[PESO TOTAL]]/Tabela22[[#This Row],[QUANTIDADE]]</f>
        <v>#DIV/0!</v>
      </c>
      <c r="J80" s="2"/>
      <c r="K80" s="193"/>
      <c r="L80" s="8"/>
      <c r="M80" s="8"/>
      <c r="N80" s="8"/>
      <c r="O80" s="194"/>
      <c r="P80" s="195"/>
    </row>
    <row r="81" spans="1:16">
      <c r="A81" s="3"/>
      <c r="B81" s="3" t="str">
        <f>TEXT(Tabela223[[#This Row],[DATA]],"mmmm")</f>
        <v>janeiro</v>
      </c>
      <c r="C81" s="2"/>
      <c r="D81" s="2"/>
      <c r="E81" s="2"/>
      <c r="F81" s="2"/>
      <c r="G81" s="173"/>
      <c r="H81" s="174"/>
      <c r="I81" s="173" t="e">
        <f>Tabela22[[#This Row],[PESO TOTAL]]/Tabela22[[#This Row],[QUANTIDADE]]</f>
        <v>#DIV/0!</v>
      </c>
      <c r="J81" s="2"/>
      <c r="K81" s="193"/>
      <c r="L81" s="8"/>
      <c r="M81" s="8"/>
      <c r="N81" s="8"/>
      <c r="O81" s="194"/>
      <c r="P81" s="195"/>
    </row>
    <row r="82" spans="1:16">
      <c r="A82" s="3"/>
      <c r="B82" s="3" t="str">
        <f>TEXT(Tabela223[[#This Row],[DATA]],"mmmm")</f>
        <v>janeiro</v>
      </c>
      <c r="C82" s="2"/>
      <c r="D82" s="2"/>
      <c r="E82" s="2"/>
      <c r="F82" s="2"/>
      <c r="G82" s="173"/>
      <c r="H82" s="174"/>
      <c r="I82" s="173" t="e">
        <f>Tabela22[[#This Row],[PESO TOTAL]]/Tabela22[[#This Row],[QUANTIDADE]]</f>
        <v>#DIV/0!</v>
      </c>
      <c r="J82" s="2"/>
      <c r="K82" s="193"/>
      <c r="L82" s="8"/>
      <c r="M82" s="8"/>
      <c r="N82" s="8"/>
      <c r="O82" s="194"/>
      <c r="P82" s="195"/>
    </row>
    <row r="83" spans="1:16">
      <c r="A83" s="3"/>
      <c r="B83" s="3" t="str">
        <f>TEXT(Tabela223[[#This Row],[DATA]],"mmmm")</f>
        <v>janeiro</v>
      </c>
      <c r="C83" s="2"/>
      <c r="D83" s="2"/>
      <c r="E83" s="2"/>
      <c r="F83" s="2"/>
      <c r="G83" s="173"/>
      <c r="H83" s="174"/>
      <c r="I83" s="173" t="e">
        <f>Tabela22[[#This Row],[PESO TOTAL]]/Tabela22[[#This Row],[QUANTIDADE]]</f>
        <v>#DIV/0!</v>
      </c>
      <c r="J83" s="2"/>
      <c r="K83" s="193"/>
      <c r="L83" s="8"/>
      <c r="M83" s="8"/>
      <c r="N83" s="8"/>
      <c r="O83" s="194"/>
      <c r="P83" s="195"/>
    </row>
    <row r="84" spans="1:16">
      <c r="A84" s="3"/>
      <c r="B84" s="3" t="str">
        <f>TEXT(Tabela223[[#This Row],[DATA]],"mmmm")</f>
        <v>janeiro</v>
      </c>
      <c r="C84" s="2"/>
      <c r="D84" s="2"/>
      <c r="E84" s="2"/>
      <c r="F84" s="2"/>
      <c r="G84" s="173"/>
      <c r="H84" s="174"/>
      <c r="I84" s="173" t="e">
        <f>Tabela22[[#This Row],[PESO TOTAL]]/Tabela22[[#This Row],[QUANTIDADE]]</f>
        <v>#DIV/0!</v>
      </c>
      <c r="J84" s="2"/>
      <c r="K84" s="193"/>
      <c r="L84" s="8"/>
      <c r="M84" s="8"/>
      <c r="N84" s="8"/>
      <c r="O84" s="194"/>
      <c r="P84" s="195"/>
    </row>
    <row r="85" spans="1:16">
      <c r="A85" s="3"/>
      <c r="B85" s="3" t="str">
        <f>TEXT(Tabela223[[#This Row],[DATA]],"mmmm")</f>
        <v>janeiro</v>
      </c>
      <c r="C85" s="2"/>
      <c r="D85" s="2"/>
      <c r="E85" s="2"/>
      <c r="F85" s="2"/>
      <c r="G85" s="173"/>
      <c r="H85" s="174"/>
      <c r="I85" s="173" t="e">
        <f>Tabela22[[#This Row],[PESO TOTAL]]/Tabela22[[#This Row],[QUANTIDADE]]</f>
        <v>#DIV/0!</v>
      </c>
      <c r="J85" s="2"/>
      <c r="K85" s="193"/>
      <c r="L85" s="8"/>
      <c r="M85" s="8"/>
      <c r="N85" s="8"/>
      <c r="O85" s="194"/>
      <c r="P85" s="195"/>
    </row>
    <row r="86" spans="1:16">
      <c r="A86" s="3"/>
      <c r="B86" s="3" t="str">
        <f>TEXT(Tabela223[[#This Row],[DATA]],"mmmm")</f>
        <v>janeiro</v>
      </c>
      <c r="C86" s="2"/>
      <c r="D86" s="2"/>
      <c r="E86" s="2"/>
      <c r="F86" s="2"/>
      <c r="G86" s="173"/>
      <c r="H86" s="174"/>
      <c r="I86" s="173" t="e">
        <f>Tabela22[[#This Row],[PESO TOTAL]]/Tabela22[[#This Row],[QUANTIDADE]]</f>
        <v>#DIV/0!</v>
      </c>
      <c r="J86" s="2"/>
      <c r="K86" s="193"/>
      <c r="L86" s="8"/>
      <c r="M86" s="8"/>
      <c r="N86" s="8"/>
      <c r="O86" s="194"/>
      <c r="P86" s="195"/>
    </row>
    <row r="87" spans="1:16">
      <c r="A87" s="3"/>
      <c r="B87" s="3" t="str">
        <f>TEXT(Tabela223[[#This Row],[DATA]],"mmmm")</f>
        <v>janeiro</v>
      </c>
      <c r="C87" s="2"/>
      <c r="D87" s="2"/>
      <c r="E87" s="2"/>
      <c r="F87" s="2"/>
      <c r="G87" s="173"/>
      <c r="H87" s="174"/>
      <c r="I87" s="173" t="e">
        <f>Tabela22[[#This Row],[PESO TOTAL]]/Tabela22[[#This Row],[QUANTIDADE]]</f>
        <v>#DIV/0!</v>
      </c>
      <c r="J87" s="2"/>
      <c r="K87" s="193"/>
      <c r="L87" s="8"/>
      <c r="M87" s="8"/>
      <c r="N87" s="8"/>
      <c r="O87" s="194"/>
      <c r="P87" s="195"/>
    </row>
    <row r="88" spans="1:16">
      <c r="A88" s="3"/>
      <c r="B88" s="3" t="str">
        <f>TEXT(Tabela223[[#This Row],[DATA]],"mmmm")</f>
        <v>janeiro</v>
      </c>
      <c r="C88" s="2"/>
      <c r="D88" s="2"/>
      <c r="E88" s="2"/>
      <c r="F88" s="2"/>
      <c r="G88" s="173"/>
      <c r="H88" s="174"/>
      <c r="I88" s="173" t="e">
        <f>Tabela22[[#This Row],[PESO TOTAL]]/Tabela22[[#This Row],[QUANTIDADE]]</f>
        <v>#DIV/0!</v>
      </c>
      <c r="J88" s="2"/>
      <c r="K88" s="193"/>
      <c r="L88" s="8"/>
      <c r="M88" s="8"/>
      <c r="N88" s="8"/>
      <c r="O88" s="194"/>
      <c r="P88" s="195"/>
    </row>
    <row r="89" spans="1:16">
      <c r="A89" s="3"/>
      <c r="B89" s="3" t="str">
        <f>TEXT(Tabela223[[#This Row],[DATA]],"mmmm")</f>
        <v>janeiro</v>
      </c>
      <c r="C89" s="2"/>
      <c r="D89" s="2"/>
      <c r="E89" s="2"/>
      <c r="F89" s="2"/>
      <c r="G89" s="173"/>
      <c r="H89" s="174"/>
      <c r="I89" s="173" t="e">
        <f>Tabela22[[#This Row],[PESO TOTAL]]/Tabela22[[#This Row],[QUANTIDADE]]</f>
        <v>#DIV/0!</v>
      </c>
      <c r="J89" s="2"/>
      <c r="K89" s="193"/>
      <c r="L89" s="8"/>
      <c r="M89" s="8"/>
      <c r="N89" s="8"/>
      <c r="O89" s="194"/>
      <c r="P89" s="195"/>
    </row>
    <row r="90" spans="1:16">
      <c r="A90" s="3"/>
      <c r="B90" s="3" t="str">
        <f>TEXT(Tabela223[[#This Row],[DATA]],"mmmm")</f>
        <v>janeiro</v>
      </c>
      <c r="C90" s="2"/>
      <c r="D90" s="2"/>
      <c r="E90" s="2"/>
      <c r="F90" s="2"/>
      <c r="G90" s="173"/>
      <c r="H90" s="174"/>
      <c r="I90" s="173" t="e">
        <f>Tabela22[[#This Row],[PESO TOTAL]]/Tabela22[[#This Row],[QUANTIDADE]]</f>
        <v>#DIV/0!</v>
      </c>
      <c r="J90" s="2"/>
      <c r="K90" s="193"/>
      <c r="L90" s="8"/>
      <c r="M90" s="8"/>
      <c r="N90" s="8"/>
      <c r="O90" s="194"/>
      <c r="P90" s="195"/>
    </row>
    <row r="91" spans="1:16">
      <c r="A91" s="3"/>
      <c r="B91" s="3" t="str">
        <f>TEXT(Tabela223[[#This Row],[DATA]],"mmmm")</f>
        <v>janeiro</v>
      </c>
      <c r="C91" s="2"/>
      <c r="D91" s="2"/>
      <c r="E91" s="2"/>
      <c r="F91" s="2"/>
      <c r="G91" s="173"/>
      <c r="H91" s="174"/>
      <c r="I91" s="173" t="e">
        <f>Tabela22[[#This Row],[PESO TOTAL]]/Tabela22[[#This Row],[QUANTIDADE]]</f>
        <v>#DIV/0!</v>
      </c>
      <c r="J91" s="2"/>
      <c r="K91" s="193"/>
      <c r="L91" s="8"/>
      <c r="M91" s="8"/>
      <c r="N91" s="8"/>
      <c r="O91" s="194"/>
      <c r="P91" s="195"/>
    </row>
    <row r="92" spans="1:16">
      <c r="A92" s="3"/>
      <c r="B92" s="3" t="str">
        <f>TEXT(Tabela223[[#This Row],[DATA]],"mmmm")</f>
        <v>janeiro</v>
      </c>
      <c r="C92" s="2"/>
      <c r="D92" s="2"/>
      <c r="E92" s="2"/>
      <c r="F92" s="2"/>
      <c r="G92" s="173"/>
      <c r="H92" s="174"/>
      <c r="I92" s="173" t="e">
        <f>Tabela22[[#This Row],[PESO TOTAL]]/Tabela22[[#This Row],[QUANTIDADE]]</f>
        <v>#DIV/0!</v>
      </c>
      <c r="J92" s="2"/>
      <c r="K92" s="193"/>
      <c r="L92" s="8"/>
      <c r="M92" s="8"/>
      <c r="N92" s="8"/>
      <c r="O92" s="194"/>
      <c r="P92" s="195"/>
    </row>
    <row r="93" spans="1:16">
      <c r="A93" s="3"/>
      <c r="B93" s="3" t="str">
        <f>TEXT(Tabela223[[#This Row],[DATA]],"mmmm")</f>
        <v>janeiro</v>
      </c>
      <c r="C93" s="2"/>
      <c r="D93" s="2"/>
      <c r="E93" s="2"/>
      <c r="F93" s="2"/>
      <c r="G93" s="173"/>
      <c r="H93" s="174"/>
      <c r="I93" s="173" t="e">
        <f>Tabela22[[#This Row],[PESO TOTAL]]/Tabela22[[#This Row],[QUANTIDADE]]</f>
        <v>#DIV/0!</v>
      </c>
      <c r="J93" s="2"/>
      <c r="K93" s="193"/>
      <c r="L93" s="8"/>
      <c r="M93" s="8"/>
      <c r="N93" s="8"/>
      <c r="O93" s="194"/>
      <c r="P93" s="195"/>
    </row>
    <row r="94" spans="1:16">
      <c r="A94" s="3"/>
      <c r="B94" s="3" t="str">
        <f>TEXT(Tabela223[[#This Row],[DATA]],"mmmm")</f>
        <v>janeiro</v>
      </c>
      <c r="C94" s="2"/>
      <c r="D94" s="2"/>
      <c r="E94" s="2"/>
      <c r="F94" s="2"/>
      <c r="G94" s="173"/>
      <c r="H94" s="174"/>
      <c r="I94" s="173" t="e">
        <f>Tabela22[[#This Row],[PESO TOTAL]]/Tabela22[[#This Row],[QUANTIDADE]]</f>
        <v>#DIV/0!</v>
      </c>
      <c r="J94" s="2"/>
      <c r="K94" s="193"/>
      <c r="L94" s="8"/>
      <c r="M94" s="8"/>
      <c r="N94" s="8"/>
      <c r="O94" s="194"/>
      <c r="P94" s="195"/>
    </row>
    <row r="95" spans="1:16">
      <c r="A95" s="3"/>
      <c r="B95" s="3" t="str">
        <f>TEXT(Tabela223[[#This Row],[DATA]],"mmmm")</f>
        <v>janeiro</v>
      </c>
      <c r="C95" s="2"/>
      <c r="D95" s="2"/>
      <c r="E95" s="2"/>
      <c r="F95" s="2"/>
      <c r="G95" s="173"/>
      <c r="H95" s="174"/>
      <c r="I95" s="173" t="e">
        <f>Tabela22[[#This Row],[PESO TOTAL]]/Tabela22[[#This Row],[QUANTIDADE]]</f>
        <v>#DIV/0!</v>
      </c>
      <c r="J95" s="2"/>
      <c r="K95" s="193"/>
      <c r="L95" s="8"/>
      <c r="M95" s="8"/>
      <c r="N95" s="8"/>
      <c r="O95" s="194"/>
      <c r="P95" s="195"/>
    </row>
    <row r="96" spans="1:16">
      <c r="A96" s="3"/>
      <c r="B96" s="3" t="str">
        <f>TEXT(Tabela223[[#This Row],[DATA]],"mmmm")</f>
        <v>janeiro</v>
      </c>
      <c r="C96" s="2"/>
      <c r="D96" s="2"/>
      <c r="E96" s="2"/>
      <c r="F96" s="2"/>
      <c r="G96" s="173"/>
      <c r="H96" s="174"/>
      <c r="I96" s="173" t="e">
        <f>Tabela22[[#This Row],[PESO TOTAL]]/Tabela22[[#This Row],[QUANTIDADE]]</f>
        <v>#DIV/0!</v>
      </c>
      <c r="J96" s="2"/>
      <c r="K96" s="193"/>
      <c r="L96" s="8"/>
      <c r="M96" s="8"/>
      <c r="N96" s="8"/>
      <c r="O96" s="194"/>
      <c r="P96" s="195"/>
    </row>
    <row r="97" spans="1:16">
      <c r="A97" s="3"/>
      <c r="B97" s="3" t="str">
        <f>TEXT(Tabela223[[#This Row],[DATA]],"mmmm")</f>
        <v>janeiro</v>
      </c>
      <c r="C97" s="2"/>
      <c r="D97" s="2"/>
      <c r="E97" s="2"/>
      <c r="F97" s="2"/>
      <c r="G97" s="173"/>
      <c r="H97" s="174"/>
      <c r="I97" s="173" t="e">
        <f>Tabela22[[#This Row],[PESO TOTAL]]/Tabela22[[#This Row],[QUANTIDADE]]</f>
        <v>#DIV/0!</v>
      </c>
      <c r="J97" s="2"/>
      <c r="K97" s="193"/>
      <c r="L97" s="8"/>
      <c r="M97" s="8"/>
      <c r="N97" s="8"/>
      <c r="O97" s="194"/>
      <c r="P97" s="195"/>
    </row>
    <row r="98" spans="1:16">
      <c r="A98" s="3"/>
      <c r="B98" s="3" t="str">
        <f>TEXT(Tabela223[[#This Row],[DATA]],"mmmm")</f>
        <v>janeiro</v>
      </c>
      <c r="C98" s="2"/>
      <c r="D98" s="2"/>
      <c r="E98" s="2"/>
      <c r="F98" s="2"/>
      <c r="G98" s="173"/>
      <c r="H98" s="174"/>
      <c r="I98" s="173" t="e">
        <f>Tabela22[[#This Row],[PESO TOTAL]]/Tabela22[[#This Row],[QUANTIDADE]]</f>
        <v>#DIV/0!</v>
      </c>
      <c r="J98" s="2"/>
      <c r="K98" s="193"/>
      <c r="L98" s="8"/>
      <c r="M98" s="8"/>
      <c r="N98" s="8"/>
      <c r="O98" s="194"/>
      <c r="P98" s="195"/>
    </row>
    <row r="99" spans="1:16">
      <c r="A99" s="3"/>
      <c r="B99" s="3" t="str">
        <f>TEXT(Tabela223[[#This Row],[DATA]],"mmmm")</f>
        <v>janeiro</v>
      </c>
      <c r="C99" s="2"/>
      <c r="D99" s="2"/>
      <c r="E99" s="2"/>
      <c r="F99" s="2"/>
      <c r="G99" s="173"/>
      <c r="H99" s="174"/>
      <c r="I99" s="173" t="e">
        <f>Tabela22[[#This Row],[PESO TOTAL]]/Tabela22[[#This Row],[QUANTIDADE]]</f>
        <v>#DIV/0!</v>
      </c>
      <c r="J99" s="2"/>
      <c r="K99" s="193"/>
      <c r="L99" s="8"/>
      <c r="M99" s="8"/>
      <c r="N99" s="8"/>
      <c r="O99" s="194"/>
      <c r="P99" s="195"/>
    </row>
    <row r="100" spans="1:16">
      <c r="A100" s="3"/>
      <c r="B100" s="3" t="str">
        <f>TEXT(Tabela223[[#This Row],[DATA]],"mmmm")</f>
        <v>janeiro</v>
      </c>
      <c r="C100" s="2"/>
      <c r="D100" s="2"/>
      <c r="E100" s="2"/>
      <c r="F100" s="2"/>
      <c r="G100" s="173"/>
      <c r="H100" s="174"/>
      <c r="I100" s="173" t="e">
        <f>Tabela22[[#This Row],[PESO TOTAL]]/Tabela22[[#This Row],[QUANTIDADE]]</f>
        <v>#DIV/0!</v>
      </c>
      <c r="J100" s="2"/>
      <c r="K100" s="193"/>
      <c r="L100" s="8"/>
      <c r="M100" s="8"/>
      <c r="N100" s="8"/>
      <c r="O100" s="194"/>
      <c r="P100" s="195"/>
    </row>
    <row r="101" spans="1:16">
      <c r="A101" s="3"/>
      <c r="B101" s="3" t="str">
        <f>TEXT(Tabela223[[#This Row],[DATA]],"mmmm")</f>
        <v>janeiro</v>
      </c>
      <c r="C101" s="2"/>
      <c r="D101" s="2"/>
      <c r="E101" s="2"/>
      <c r="F101" s="2"/>
      <c r="G101" s="173"/>
      <c r="H101" s="174"/>
      <c r="I101" s="173" t="e">
        <f>Tabela22[[#This Row],[PESO TOTAL]]/Tabela22[[#This Row],[QUANTIDADE]]</f>
        <v>#DIV/0!</v>
      </c>
      <c r="J101" s="2"/>
      <c r="K101" s="193"/>
      <c r="L101" s="8"/>
      <c r="M101" s="8"/>
      <c r="N101" s="8"/>
      <c r="O101" s="194"/>
      <c r="P101" s="195"/>
    </row>
    <row r="102" spans="1:16">
      <c r="A102" s="3"/>
      <c r="B102" s="3" t="str">
        <f>TEXT(Tabela223[[#This Row],[DATA]],"mmmm")</f>
        <v>janeiro</v>
      </c>
      <c r="C102" s="2"/>
      <c r="D102" s="2"/>
      <c r="E102" s="2"/>
      <c r="F102" s="2"/>
      <c r="G102" s="173"/>
      <c r="H102" s="174"/>
      <c r="I102" s="173" t="e">
        <f>Tabela22[[#This Row],[PESO TOTAL]]/Tabela22[[#This Row],[QUANTIDADE]]</f>
        <v>#DIV/0!</v>
      </c>
      <c r="J102" s="2"/>
      <c r="K102" s="193"/>
      <c r="L102" s="8"/>
      <c r="M102" s="8"/>
      <c r="N102" s="8"/>
      <c r="O102" s="194"/>
      <c r="P102" s="195"/>
    </row>
    <row r="103" spans="1:16">
      <c r="A103" s="3"/>
      <c r="B103" s="3" t="str">
        <f>TEXT(Tabela223[[#This Row],[DATA]],"mmmm")</f>
        <v>janeiro</v>
      </c>
      <c r="C103" s="2"/>
      <c r="D103" s="2"/>
      <c r="E103" s="2"/>
      <c r="F103" s="2"/>
      <c r="G103" s="173"/>
      <c r="H103" s="174"/>
      <c r="I103" s="173" t="e">
        <f>Tabela22[[#This Row],[PESO TOTAL]]/Tabela22[[#This Row],[QUANTIDADE]]</f>
        <v>#DIV/0!</v>
      </c>
      <c r="J103" s="2"/>
      <c r="K103" s="193"/>
      <c r="L103" s="8"/>
      <c r="M103" s="8"/>
      <c r="N103" s="8"/>
      <c r="O103" s="194"/>
      <c r="P103" s="195"/>
    </row>
    <row r="104" spans="1:16">
      <c r="A104" s="3"/>
      <c r="B104" s="3" t="str">
        <f>TEXT(Tabela223[[#This Row],[DATA]],"mmmm")</f>
        <v>janeiro</v>
      </c>
      <c r="C104" s="2"/>
      <c r="D104" s="2"/>
      <c r="E104" s="2"/>
      <c r="F104" s="2"/>
      <c r="G104" s="173"/>
      <c r="H104" s="174"/>
      <c r="I104" s="173" t="e">
        <f>Tabela22[[#This Row],[PESO TOTAL]]/Tabela22[[#This Row],[QUANTIDADE]]</f>
        <v>#DIV/0!</v>
      </c>
      <c r="J104" s="2"/>
      <c r="K104" s="193"/>
      <c r="L104" s="8"/>
      <c r="M104" s="8"/>
      <c r="N104" s="8"/>
      <c r="O104" s="194"/>
      <c r="P104" s="195"/>
    </row>
    <row r="105" spans="1:16">
      <c r="A105" s="3"/>
      <c r="B105" s="3" t="str">
        <f>TEXT(Tabela223[[#This Row],[DATA]],"mmmm")</f>
        <v>janeiro</v>
      </c>
      <c r="C105" s="2"/>
      <c r="D105" s="2"/>
      <c r="E105" s="2"/>
      <c r="F105" s="2"/>
      <c r="G105" s="173"/>
      <c r="H105" s="174"/>
      <c r="I105" s="173" t="e">
        <f>Tabela22[[#This Row],[PESO TOTAL]]/Tabela22[[#This Row],[QUANTIDADE]]</f>
        <v>#DIV/0!</v>
      </c>
      <c r="J105" s="2"/>
      <c r="K105" s="193"/>
      <c r="L105" s="8"/>
      <c r="M105" s="8"/>
      <c r="N105" s="8"/>
      <c r="O105" s="194"/>
      <c r="P105" s="195"/>
    </row>
    <row r="106" spans="1:16">
      <c r="A106" s="3"/>
      <c r="B106" s="3" t="str">
        <f>TEXT(Tabela223[[#This Row],[DATA]],"mmmm")</f>
        <v>janeiro</v>
      </c>
      <c r="C106" s="2"/>
      <c r="D106" s="2"/>
      <c r="E106" s="2"/>
      <c r="F106" s="2"/>
      <c r="G106" s="173"/>
      <c r="H106" s="174"/>
      <c r="I106" s="173" t="e">
        <f>Tabela22[[#This Row],[PESO TOTAL]]/Tabela22[[#This Row],[QUANTIDADE]]</f>
        <v>#DIV/0!</v>
      </c>
      <c r="J106" s="2"/>
      <c r="K106" s="193"/>
      <c r="L106" s="8"/>
      <c r="M106" s="8"/>
      <c r="N106" s="8"/>
      <c r="O106" s="194"/>
      <c r="P106" s="195"/>
    </row>
    <row r="107" spans="1:16">
      <c r="A107" s="3"/>
      <c r="B107" s="3" t="str">
        <f>TEXT(Tabela223[[#This Row],[DATA]],"mmmm")</f>
        <v>janeiro</v>
      </c>
      <c r="C107" s="2"/>
      <c r="D107" s="2"/>
      <c r="E107" s="2"/>
      <c r="F107" s="2"/>
      <c r="G107" s="173"/>
      <c r="H107" s="174"/>
      <c r="I107" s="173" t="e">
        <f>Tabela22[[#This Row],[PESO TOTAL]]/Tabela22[[#This Row],[QUANTIDADE]]</f>
        <v>#DIV/0!</v>
      </c>
      <c r="J107" s="2"/>
      <c r="K107" s="193"/>
      <c r="L107" s="8"/>
      <c r="M107" s="8"/>
      <c r="N107" s="8"/>
      <c r="O107" s="194"/>
      <c r="P107" s="195"/>
    </row>
    <row r="108" spans="1:16">
      <c r="A108" s="3"/>
      <c r="B108" s="3" t="str">
        <f>TEXT(Tabela223[[#This Row],[DATA]],"mmmm")</f>
        <v>janeiro</v>
      </c>
      <c r="C108" s="2"/>
      <c r="D108" s="2"/>
      <c r="E108" s="2"/>
      <c r="F108" s="2"/>
      <c r="G108" s="173"/>
      <c r="H108" s="174"/>
      <c r="I108" s="173" t="e">
        <f>Tabela22[[#This Row],[PESO TOTAL]]/Tabela22[[#This Row],[QUANTIDADE]]</f>
        <v>#DIV/0!</v>
      </c>
      <c r="J108" s="2"/>
      <c r="K108" s="193"/>
      <c r="L108" s="8"/>
      <c r="M108" s="8"/>
      <c r="N108" s="8"/>
      <c r="O108" s="194"/>
      <c r="P108" s="195"/>
    </row>
    <row r="109" spans="1:16">
      <c r="A109" s="3"/>
      <c r="B109" s="3" t="str">
        <f>TEXT(Tabela223[[#This Row],[DATA]],"mmmm")</f>
        <v>janeiro</v>
      </c>
      <c r="C109" s="2"/>
      <c r="D109" s="2"/>
      <c r="E109" s="2"/>
      <c r="F109" s="2"/>
      <c r="G109" s="173"/>
      <c r="H109" s="174"/>
      <c r="I109" s="173" t="e">
        <f>Tabela22[[#This Row],[PESO TOTAL]]/Tabela22[[#This Row],[QUANTIDADE]]</f>
        <v>#DIV/0!</v>
      </c>
      <c r="J109" s="2"/>
      <c r="K109" s="193"/>
      <c r="L109" s="8"/>
      <c r="M109" s="8"/>
      <c r="N109" s="8"/>
      <c r="O109" s="194"/>
      <c r="P109" s="195"/>
    </row>
    <row r="110" spans="1:16">
      <c r="A110" s="3"/>
      <c r="B110" s="3" t="str">
        <f>TEXT(Tabela223[[#This Row],[DATA]],"mmmm")</f>
        <v>janeiro</v>
      </c>
      <c r="C110" s="2"/>
      <c r="D110" s="2"/>
      <c r="E110" s="2"/>
      <c r="F110" s="2"/>
      <c r="G110" s="173"/>
      <c r="H110" s="174"/>
      <c r="I110" s="173" t="e">
        <f>Tabela22[[#This Row],[PESO TOTAL]]/Tabela22[[#This Row],[QUANTIDADE]]</f>
        <v>#DIV/0!</v>
      </c>
      <c r="J110" s="2"/>
      <c r="K110" s="193"/>
      <c r="L110" s="8"/>
      <c r="M110" s="8"/>
      <c r="N110" s="8"/>
      <c r="O110" s="194"/>
      <c r="P110" s="195"/>
    </row>
    <row r="111" spans="1:16">
      <c r="A111" s="3"/>
      <c r="B111" s="3" t="str">
        <f>TEXT(Tabela223[[#This Row],[DATA]],"mmmm")</f>
        <v>janeiro</v>
      </c>
      <c r="C111" s="2"/>
      <c r="D111" s="2"/>
      <c r="E111" s="2"/>
      <c r="F111" s="2"/>
      <c r="G111" s="173"/>
      <c r="H111" s="174"/>
      <c r="I111" s="173" t="e">
        <f>Tabela22[[#This Row],[PESO TOTAL]]/Tabela22[[#This Row],[QUANTIDADE]]</f>
        <v>#DIV/0!</v>
      </c>
      <c r="J111" s="2"/>
      <c r="K111" s="193"/>
      <c r="L111" s="8"/>
      <c r="M111" s="8"/>
      <c r="N111" s="8"/>
      <c r="O111" s="194"/>
      <c r="P111" s="195"/>
    </row>
    <row r="112" spans="1:16">
      <c r="A112" s="3"/>
      <c r="B112" s="3" t="str">
        <f>TEXT(Tabela223[[#This Row],[DATA]],"mmmm")</f>
        <v>janeiro</v>
      </c>
      <c r="C112" s="2"/>
      <c r="D112" s="2"/>
      <c r="E112" s="2"/>
      <c r="F112" s="2"/>
      <c r="G112" s="173"/>
      <c r="H112" s="174"/>
      <c r="I112" s="173" t="e">
        <f>Tabela22[[#This Row],[PESO TOTAL]]/Tabela22[[#This Row],[QUANTIDADE]]</f>
        <v>#DIV/0!</v>
      </c>
      <c r="J112" s="2"/>
      <c r="K112" s="193"/>
      <c r="L112" s="8"/>
      <c r="M112" s="8"/>
      <c r="N112" s="8"/>
      <c r="O112" s="194"/>
      <c r="P112" s="195"/>
    </row>
    <row r="113" spans="1:16">
      <c r="A113" s="3"/>
      <c r="B113" s="3" t="str">
        <f>TEXT(Tabela223[[#This Row],[DATA]],"mmmm")</f>
        <v>janeiro</v>
      </c>
      <c r="C113" s="2"/>
      <c r="D113" s="2"/>
      <c r="E113" s="2"/>
      <c r="F113" s="2"/>
      <c r="G113" s="173"/>
      <c r="H113" s="174"/>
      <c r="I113" s="173" t="e">
        <f>Tabela22[[#This Row],[PESO TOTAL]]/Tabela22[[#This Row],[QUANTIDADE]]</f>
        <v>#DIV/0!</v>
      </c>
      <c r="J113" s="2"/>
      <c r="K113" s="193"/>
      <c r="L113" s="8"/>
      <c r="M113" s="8"/>
      <c r="N113" s="8"/>
      <c r="O113" s="194"/>
      <c r="P113" s="195"/>
    </row>
    <row r="114" spans="1:16">
      <c r="A114" s="3"/>
      <c r="B114" s="3" t="str">
        <f>TEXT(Tabela223[[#This Row],[DATA]],"mmmm")</f>
        <v>janeiro</v>
      </c>
      <c r="C114" s="2"/>
      <c r="D114" s="2"/>
      <c r="E114" s="2"/>
      <c r="F114" s="2"/>
      <c r="G114" s="173"/>
      <c r="H114" s="174"/>
      <c r="I114" s="173" t="e">
        <f>Tabela22[[#This Row],[PESO TOTAL]]/Tabela22[[#This Row],[QUANTIDADE]]</f>
        <v>#DIV/0!</v>
      </c>
      <c r="J114" s="2"/>
      <c r="K114" s="193"/>
      <c r="L114" s="8"/>
      <c r="M114" s="8"/>
      <c r="N114" s="8"/>
      <c r="O114" s="194"/>
      <c r="P114" s="195"/>
    </row>
    <row r="115" spans="1:16">
      <c r="A115" s="3"/>
      <c r="B115" s="3" t="str">
        <f>TEXT(Tabela223[[#This Row],[DATA]],"mmmm")</f>
        <v>janeiro</v>
      </c>
      <c r="C115" s="2"/>
      <c r="D115" s="2"/>
      <c r="E115" s="2"/>
      <c r="F115" s="2"/>
      <c r="G115" s="173"/>
      <c r="H115" s="174"/>
      <c r="I115" s="173" t="e">
        <f>Tabela22[[#This Row],[PESO TOTAL]]/Tabela22[[#This Row],[QUANTIDADE]]</f>
        <v>#DIV/0!</v>
      </c>
      <c r="J115" s="2"/>
      <c r="K115" s="193"/>
      <c r="L115" s="8"/>
      <c r="M115" s="8"/>
      <c r="N115" s="8"/>
      <c r="O115" s="194"/>
      <c r="P115" s="195"/>
    </row>
    <row r="116" spans="1:16">
      <c r="A116" s="3"/>
      <c r="B116" s="3" t="str">
        <f>TEXT(Tabela223[[#This Row],[DATA]],"mmmm")</f>
        <v>janeiro</v>
      </c>
      <c r="C116" s="2"/>
      <c r="D116" s="2"/>
      <c r="E116" s="2"/>
      <c r="F116" s="2"/>
      <c r="G116" s="173"/>
      <c r="H116" s="174"/>
      <c r="I116" s="173" t="e">
        <f>Tabela22[[#This Row],[PESO TOTAL]]/Tabela22[[#This Row],[QUANTIDADE]]</f>
        <v>#DIV/0!</v>
      </c>
      <c r="J116" s="2"/>
      <c r="K116" s="193"/>
      <c r="L116" s="8"/>
      <c r="M116" s="8"/>
      <c r="N116" s="8"/>
      <c r="O116" s="194"/>
      <c r="P116" s="195"/>
    </row>
    <row r="117" spans="1:16">
      <c r="A117" s="3"/>
      <c r="B117" s="3" t="str">
        <f>TEXT(Tabela223[[#This Row],[DATA]],"mmmm")</f>
        <v>janeiro</v>
      </c>
      <c r="C117" s="2"/>
      <c r="D117" s="2"/>
      <c r="E117" s="2"/>
      <c r="F117" s="2"/>
      <c r="G117" s="173"/>
      <c r="H117" s="174"/>
      <c r="I117" s="173" t="e">
        <f>Tabela22[[#This Row],[PESO TOTAL]]/Tabela22[[#This Row],[QUANTIDADE]]</f>
        <v>#DIV/0!</v>
      </c>
      <c r="J117" s="2"/>
      <c r="K117" s="193"/>
      <c r="L117" s="8"/>
      <c r="M117" s="8"/>
      <c r="N117" s="8"/>
      <c r="O117" s="194"/>
      <c r="P117" s="195"/>
    </row>
    <row r="118" spans="1:16">
      <c r="A118" s="3"/>
      <c r="B118" s="3" t="str">
        <f>TEXT(Tabela223[[#This Row],[DATA]],"mmmm")</f>
        <v>janeiro</v>
      </c>
      <c r="C118" s="2"/>
      <c r="D118" s="2"/>
      <c r="E118" s="2"/>
      <c r="F118" s="2"/>
      <c r="G118" s="173"/>
      <c r="H118" s="174"/>
      <c r="I118" s="173" t="e">
        <f>Tabela22[[#This Row],[PESO TOTAL]]/Tabela22[[#This Row],[QUANTIDADE]]</f>
        <v>#DIV/0!</v>
      </c>
      <c r="J118" s="2"/>
      <c r="K118" s="193"/>
      <c r="L118" s="8"/>
      <c r="M118" s="8"/>
      <c r="N118" s="8"/>
      <c r="O118" s="194"/>
      <c r="P118" s="195"/>
    </row>
    <row r="119" spans="1:16">
      <c r="A119" s="3"/>
      <c r="B119" s="3" t="str">
        <f>TEXT(Tabela223[[#This Row],[DATA]],"mmmm")</f>
        <v>janeiro</v>
      </c>
      <c r="C119" s="2"/>
      <c r="D119" s="2"/>
      <c r="E119" s="2"/>
      <c r="F119" s="2"/>
      <c r="G119" s="173"/>
      <c r="H119" s="174"/>
      <c r="I119" s="173" t="e">
        <f>Tabela22[[#This Row],[PESO TOTAL]]/Tabela22[[#This Row],[QUANTIDADE]]</f>
        <v>#DIV/0!</v>
      </c>
      <c r="J119" s="2"/>
      <c r="K119" s="193"/>
      <c r="L119" s="8"/>
      <c r="M119" s="8"/>
      <c r="N119" s="8"/>
      <c r="O119" s="194"/>
      <c r="P119" s="195"/>
    </row>
    <row r="120" spans="1:16">
      <c r="A120" s="3"/>
      <c r="B120" s="3" t="str">
        <f>TEXT(Tabela223[[#This Row],[DATA]],"mmmm")</f>
        <v>janeiro</v>
      </c>
      <c r="C120" s="2"/>
      <c r="D120" s="2"/>
      <c r="E120" s="2"/>
      <c r="F120" s="2"/>
      <c r="G120" s="173"/>
      <c r="H120" s="174"/>
      <c r="I120" s="173" t="e">
        <f>Tabela22[[#This Row],[PESO TOTAL]]/Tabela22[[#This Row],[QUANTIDADE]]</f>
        <v>#DIV/0!</v>
      </c>
      <c r="J120" s="2"/>
      <c r="K120" s="193"/>
      <c r="L120" s="8"/>
      <c r="M120" s="8"/>
      <c r="N120" s="8"/>
      <c r="O120" s="194"/>
      <c r="P120" s="195"/>
    </row>
    <row r="121" spans="1:16">
      <c r="A121" s="3"/>
      <c r="B121" s="3" t="str">
        <f>TEXT(Tabela223[[#This Row],[DATA]],"mmmm")</f>
        <v>janeiro</v>
      </c>
      <c r="C121" s="2"/>
      <c r="D121" s="2"/>
      <c r="E121" s="2"/>
      <c r="F121" s="2"/>
      <c r="G121" s="173"/>
      <c r="H121" s="174"/>
      <c r="I121" s="173" t="e">
        <f>Tabela22[[#This Row],[PESO TOTAL]]/Tabela22[[#This Row],[QUANTIDADE]]</f>
        <v>#DIV/0!</v>
      </c>
      <c r="J121" s="2"/>
      <c r="K121" s="193"/>
      <c r="L121" s="8"/>
      <c r="M121" s="8"/>
      <c r="N121" s="8"/>
      <c r="O121" s="194"/>
      <c r="P121" s="195"/>
    </row>
    <row r="122" spans="1:16">
      <c r="A122" s="3"/>
      <c r="B122" s="3" t="str">
        <f>TEXT(Tabela223[[#This Row],[DATA]],"mmmm")</f>
        <v>janeiro</v>
      </c>
      <c r="C122" s="2"/>
      <c r="D122" s="2"/>
      <c r="E122" s="2"/>
      <c r="F122" s="2"/>
      <c r="G122" s="173"/>
      <c r="H122" s="174"/>
      <c r="I122" s="173" t="e">
        <f>Tabela22[[#This Row],[PESO TOTAL]]/Tabela22[[#This Row],[QUANTIDADE]]</f>
        <v>#DIV/0!</v>
      </c>
      <c r="J122" s="2"/>
      <c r="K122" s="193"/>
      <c r="L122" s="8"/>
      <c r="M122" s="8"/>
      <c r="N122" s="8"/>
      <c r="O122" s="194"/>
      <c r="P122" s="195"/>
    </row>
    <row r="123" spans="1:16">
      <c r="A123" s="3"/>
      <c r="B123" s="3" t="str">
        <f>TEXT(Tabela223[[#This Row],[DATA]],"mmmm")</f>
        <v>janeiro</v>
      </c>
      <c r="C123" s="2"/>
      <c r="D123" s="2"/>
      <c r="E123" s="2"/>
      <c r="F123" s="2"/>
      <c r="G123" s="173"/>
      <c r="H123" s="174"/>
      <c r="I123" s="173" t="e">
        <f>Tabela22[[#This Row],[PESO TOTAL]]/Tabela22[[#This Row],[QUANTIDADE]]</f>
        <v>#DIV/0!</v>
      </c>
      <c r="J123" s="2"/>
      <c r="K123" s="193"/>
      <c r="L123" s="8"/>
      <c r="M123" s="8"/>
      <c r="N123" s="8"/>
      <c r="O123" s="194"/>
      <c r="P123" s="195"/>
    </row>
    <row r="124" spans="1:16">
      <c r="A124" s="3"/>
      <c r="B124" s="3" t="str">
        <f>TEXT(Tabela223[[#This Row],[DATA]],"mmmm")</f>
        <v>janeiro</v>
      </c>
      <c r="C124" s="2"/>
      <c r="D124" s="2"/>
      <c r="E124" s="2"/>
      <c r="F124" s="2"/>
      <c r="G124" s="173"/>
      <c r="H124" s="174"/>
      <c r="I124" s="173" t="e">
        <f>Tabela22[[#This Row],[PESO TOTAL]]/Tabela22[[#This Row],[QUANTIDADE]]</f>
        <v>#DIV/0!</v>
      </c>
      <c r="J124" s="2"/>
      <c r="K124" s="193"/>
      <c r="L124" s="8"/>
      <c r="M124" s="8"/>
      <c r="N124" s="8"/>
      <c r="O124" s="194"/>
      <c r="P124" s="195"/>
    </row>
    <row r="125" spans="1:16">
      <c r="A125" s="3"/>
      <c r="B125" s="3" t="str">
        <f>TEXT(Tabela223[[#This Row],[DATA]],"mmmm")</f>
        <v>janeiro</v>
      </c>
      <c r="C125" s="2"/>
      <c r="D125" s="2"/>
      <c r="E125" s="2"/>
      <c r="F125" s="2"/>
      <c r="G125" s="173"/>
      <c r="H125" s="174"/>
      <c r="I125" s="173" t="e">
        <f>Tabela22[[#This Row],[PESO TOTAL]]/Tabela22[[#This Row],[QUANTIDADE]]</f>
        <v>#DIV/0!</v>
      </c>
      <c r="J125" s="2"/>
      <c r="K125" s="193"/>
      <c r="L125" s="8"/>
      <c r="M125" s="8"/>
      <c r="N125" s="8"/>
      <c r="O125" s="194"/>
      <c r="P125" s="195"/>
    </row>
    <row r="126" spans="1:16">
      <c r="A126" s="3"/>
      <c r="B126" s="3" t="str">
        <f>TEXT(Tabela223[[#This Row],[DATA]],"mmmm")</f>
        <v>janeiro</v>
      </c>
      <c r="C126" s="2"/>
      <c r="D126" s="2"/>
      <c r="E126" s="2"/>
      <c r="F126" s="2"/>
      <c r="G126" s="173"/>
      <c r="H126" s="174"/>
      <c r="I126" s="173" t="e">
        <f>Tabela22[[#This Row],[PESO TOTAL]]/Tabela22[[#This Row],[QUANTIDADE]]</f>
        <v>#DIV/0!</v>
      </c>
      <c r="J126" s="2"/>
      <c r="K126" s="193"/>
      <c r="L126" s="8"/>
      <c r="M126" s="8"/>
      <c r="N126" s="8"/>
      <c r="O126" s="194"/>
      <c r="P126" s="195"/>
    </row>
    <row r="127" spans="1:16">
      <c r="A127" s="3"/>
      <c r="B127" s="3" t="str">
        <f>TEXT(Tabela223[[#This Row],[DATA]],"mmmm")</f>
        <v>janeiro</v>
      </c>
      <c r="C127" s="2"/>
      <c r="D127" s="2"/>
      <c r="E127" s="2"/>
      <c r="F127" s="2"/>
      <c r="G127" s="173"/>
      <c r="H127" s="174"/>
      <c r="I127" s="173" t="e">
        <f>Tabela22[[#This Row],[PESO TOTAL]]/Tabela22[[#This Row],[QUANTIDADE]]</f>
        <v>#DIV/0!</v>
      </c>
      <c r="J127" s="2"/>
      <c r="K127" s="193"/>
      <c r="L127" s="8"/>
      <c r="M127" s="8"/>
      <c r="N127" s="8"/>
      <c r="O127" s="194"/>
      <c r="P127" s="195"/>
    </row>
    <row r="128" spans="1:16">
      <c r="A128" s="3"/>
      <c r="B128" s="3" t="str">
        <f>TEXT(Tabela223[[#This Row],[DATA]],"mmmm")</f>
        <v>janeiro</v>
      </c>
      <c r="C128" s="2"/>
      <c r="D128" s="2"/>
      <c r="E128" s="2"/>
      <c r="F128" s="2"/>
      <c r="G128" s="173"/>
      <c r="H128" s="174"/>
      <c r="I128" s="173" t="e">
        <f>Tabela22[[#This Row],[PESO TOTAL]]/Tabela22[[#This Row],[QUANTIDADE]]</f>
        <v>#DIV/0!</v>
      </c>
      <c r="J128" s="2"/>
      <c r="K128" s="193"/>
      <c r="L128" s="8"/>
      <c r="M128" s="8"/>
      <c r="N128" s="8"/>
      <c r="O128" s="194"/>
      <c r="P128" s="195"/>
    </row>
    <row r="129" spans="1:16">
      <c r="A129" s="3"/>
      <c r="B129" s="3" t="str">
        <f>TEXT(Tabela223[[#This Row],[DATA]],"mmmm")</f>
        <v>janeiro</v>
      </c>
      <c r="C129" s="2"/>
      <c r="D129" s="2"/>
      <c r="E129" s="2"/>
      <c r="F129" s="2"/>
      <c r="G129" s="173"/>
      <c r="H129" s="174"/>
      <c r="I129" s="173" t="e">
        <f>Tabela22[[#This Row],[PESO TOTAL]]/Tabela22[[#This Row],[QUANTIDADE]]</f>
        <v>#DIV/0!</v>
      </c>
      <c r="J129" s="2"/>
      <c r="K129" s="193"/>
      <c r="L129" s="8"/>
      <c r="M129" s="8"/>
      <c r="N129" s="8"/>
      <c r="O129" s="194"/>
      <c r="P129" s="195"/>
    </row>
    <row r="130" spans="1:16">
      <c r="A130" s="3"/>
      <c r="B130" s="3" t="str">
        <f>TEXT(Tabela223[[#This Row],[DATA]],"mmmm")</f>
        <v>janeiro</v>
      </c>
      <c r="C130" s="2"/>
      <c r="D130" s="2"/>
      <c r="E130" s="2"/>
      <c r="F130" s="2"/>
      <c r="G130" s="173"/>
      <c r="H130" s="174"/>
      <c r="I130" s="173" t="e">
        <f>Tabela22[[#This Row],[PESO TOTAL]]/Tabela22[[#This Row],[QUANTIDADE]]</f>
        <v>#DIV/0!</v>
      </c>
      <c r="J130" s="2"/>
      <c r="K130" s="193"/>
      <c r="L130" s="8"/>
      <c r="M130" s="8"/>
      <c r="N130" s="8"/>
      <c r="O130" s="194"/>
      <c r="P130" s="195"/>
    </row>
    <row r="131" spans="1:16">
      <c r="A131" s="3"/>
      <c r="B131" s="3" t="str">
        <f>TEXT(Tabela223[[#This Row],[DATA]],"mmmm")</f>
        <v>janeiro</v>
      </c>
      <c r="C131" s="2"/>
      <c r="D131" s="2"/>
      <c r="E131" s="2"/>
      <c r="F131" s="2"/>
      <c r="G131" s="173"/>
      <c r="H131" s="174"/>
      <c r="I131" s="173" t="e">
        <f>Tabela22[[#This Row],[PESO TOTAL]]/Tabela22[[#This Row],[QUANTIDADE]]</f>
        <v>#DIV/0!</v>
      </c>
      <c r="J131" s="2"/>
      <c r="K131" s="193"/>
      <c r="L131" s="8"/>
      <c r="M131" s="8"/>
      <c r="N131" s="8"/>
      <c r="O131" s="194"/>
      <c r="P131" s="195"/>
    </row>
    <row r="132" spans="1:16">
      <c r="A132" s="3"/>
      <c r="B132" s="3" t="str">
        <f>TEXT(Tabela223[[#This Row],[DATA]],"mmmm")</f>
        <v>janeiro</v>
      </c>
      <c r="C132" s="2"/>
      <c r="D132" s="2"/>
      <c r="E132" s="2"/>
      <c r="F132" s="2"/>
      <c r="G132" s="173"/>
      <c r="H132" s="174"/>
      <c r="I132" s="173" t="e">
        <f>Tabela22[[#This Row],[PESO TOTAL]]/Tabela22[[#This Row],[QUANTIDADE]]</f>
        <v>#DIV/0!</v>
      </c>
      <c r="J132" s="2"/>
      <c r="K132" s="193"/>
      <c r="L132" s="8"/>
      <c r="M132" s="8"/>
      <c r="N132" s="8"/>
      <c r="O132" s="194"/>
      <c r="P132" s="195"/>
    </row>
    <row r="133" spans="1:16">
      <c r="A133" s="3"/>
      <c r="B133" s="3" t="str">
        <f>TEXT(Tabela223[[#This Row],[DATA]],"mmmm")</f>
        <v>janeiro</v>
      </c>
      <c r="C133" s="2"/>
      <c r="D133" s="2"/>
      <c r="E133" s="2"/>
      <c r="F133" s="2"/>
      <c r="G133" s="173"/>
      <c r="H133" s="174"/>
      <c r="I133" s="173" t="e">
        <f>Tabela22[[#This Row],[PESO TOTAL]]/Tabela22[[#This Row],[QUANTIDADE]]</f>
        <v>#DIV/0!</v>
      </c>
      <c r="J133" s="2"/>
      <c r="K133" s="193"/>
      <c r="L133" s="8"/>
      <c r="M133" s="8"/>
      <c r="N133" s="8"/>
      <c r="O133" s="194"/>
      <c r="P133" s="195"/>
    </row>
    <row r="134" spans="1:16">
      <c r="A134" s="3"/>
      <c r="B134" s="3" t="str">
        <f>TEXT(Tabela223[[#This Row],[DATA]],"mmmm")</f>
        <v>janeiro</v>
      </c>
      <c r="C134" s="2"/>
      <c r="D134" s="2"/>
      <c r="E134" s="2"/>
      <c r="F134" s="2"/>
      <c r="G134" s="173"/>
      <c r="H134" s="174"/>
      <c r="I134" s="173" t="e">
        <f>Tabela22[[#This Row],[PESO TOTAL]]/Tabela22[[#This Row],[QUANTIDADE]]</f>
        <v>#DIV/0!</v>
      </c>
      <c r="J134" s="2"/>
      <c r="K134" s="193"/>
      <c r="L134" s="8"/>
      <c r="M134" s="8"/>
      <c r="N134" s="8"/>
      <c r="O134" s="194"/>
      <c r="P134" s="195"/>
    </row>
    <row r="135" spans="1:16">
      <c r="A135" s="3"/>
      <c r="B135" s="3" t="str">
        <f>TEXT(Tabela223[[#This Row],[DATA]],"mmmm")</f>
        <v>janeiro</v>
      </c>
      <c r="C135" s="2"/>
      <c r="D135" s="2"/>
      <c r="E135" s="2"/>
      <c r="F135" s="2"/>
      <c r="G135" s="173"/>
      <c r="H135" s="174"/>
      <c r="I135" s="173" t="e">
        <f>Tabela22[[#This Row],[PESO TOTAL]]/Tabela22[[#This Row],[QUANTIDADE]]</f>
        <v>#DIV/0!</v>
      </c>
      <c r="J135" s="2"/>
      <c r="K135" s="193"/>
      <c r="L135" s="8"/>
      <c r="M135" s="8"/>
      <c r="N135" s="8"/>
      <c r="O135" s="194"/>
      <c r="P135" s="195"/>
    </row>
    <row r="136" spans="1:16">
      <c r="A136" s="3"/>
      <c r="B136" s="3" t="str">
        <f>TEXT(Tabela223[[#This Row],[DATA]],"mmmm")</f>
        <v>janeiro</v>
      </c>
      <c r="C136" s="2"/>
      <c r="D136" s="2"/>
      <c r="E136" s="2"/>
      <c r="F136" s="2"/>
      <c r="G136" s="173"/>
      <c r="H136" s="174"/>
      <c r="I136" s="173" t="e">
        <f>Tabela22[[#This Row],[PESO TOTAL]]/Tabela22[[#This Row],[QUANTIDADE]]</f>
        <v>#DIV/0!</v>
      </c>
      <c r="J136" s="2"/>
      <c r="K136" s="193"/>
      <c r="L136" s="8"/>
      <c r="M136" s="8"/>
      <c r="N136" s="8"/>
      <c r="O136" s="194"/>
      <c r="P136" s="195"/>
    </row>
    <row r="137" spans="1:16">
      <c r="A137" s="3"/>
      <c r="B137" s="3" t="str">
        <f>TEXT(Tabela223[[#This Row],[DATA]],"mmmm")</f>
        <v>janeiro</v>
      </c>
      <c r="C137" s="2"/>
      <c r="D137" s="2"/>
      <c r="E137" s="2"/>
      <c r="F137" s="2"/>
      <c r="G137" s="173"/>
      <c r="H137" s="174"/>
      <c r="I137" s="173" t="e">
        <f>Tabela22[[#This Row],[PESO TOTAL]]/Tabela22[[#This Row],[QUANTIDADE]]</f>
        <v>#DIV/0!</v>
      </c>
      <c r="J137" s="2"/>
      <c r="K137" s="193"/>
      <c r="L137" s="8"/>
      <c r="M137" s="8"/>
      <c r="N137" s="8"/>
      <c r="O137" s="194"/>
      <c r="P137" s="195"/>
    </row>
    <row r="138" spans="1:16">
      <c r="A138" s="3"/>
      <c r="B138" s="3" t="str">
        <f>TEXT(Tabela223[[#This Row],[DATA]],"mmmm")</f>
        <v>janeiro</v>
      </c>
      <c r="C138" s="2"/>
      <c r="D138" s="2"/>
      <c r="E138" s="2"/>
      <c r="F138" s="2"/>
      <c r="G138" s="173"/>
      <c r="H138" s="174"/>
      <c r="I138" s="173" t="e">
        <f>Tabela22[[#This Row],[PESO TOTAL]]/Tabela22[[#This Row],[QUANTIDADE]]</f>
        <v>#DIV/0!</v>
      </c>
      <c r="J138" s="2"/>
      <c r="K138" s="193"/>
      <c r="L138" s="8"/>
      <c r="M138" s="8"/>
      <c r="N138" s="8"/>
      <c r="O138" s="194"/>
      <c r="P138" s="195"/>
    </row>
    <row r="139" spans="1:16">
      <c r="A139" s="3"/>
      <c r="B139" s="3" t="str">
        <f>TEXT(Tabela223[[#This Row],[DATA]],"mmmm")</f>
        <v>janeiro</v>
      </c>
      <c r="C139" s="2"/>
      <c r="D139" s="2"/>
      <c r="E139" s="2"/>
      <c r="F139" s="2"/>
      <c r="G139" s="173"/>
      <c r="H139" s="174"/>
      <c r="I139" s="173" t="e">
        <f>Tabela22[[#This Row],[PESO TOTAL]]/Tabela22[[#This Row],[QUANTIDADE]]</f>
        <v>#DIV/0!</v>
      </c>
      <c r="J139" s="2"/>
      <c r="K139" s="193"/>
      <c r="L139" s="8"/>
      <c r="M139" s="8"/>
      <c r="N139" s="8"/>
      <c r="O139" s="194"/>
      <c r="P139" s="195"/>
    </row>
    <row r="140" spans="1:16">
      <c r="A140" s="3"/>
      <c r="B140" s="3" t="str">
        <f>TEXT(Tabela223[[#This Row],[DATA]],"mmmm")</f>
        <v>janeiro</v>
      </c>
      <c r="C140" s="2"/>
      <c r="D140" s="2"/>
      <c r="E140" s="2"/>
      <c r="F140" s="2"/>
      <c r="G140" s="173"/>
      <c r="H140" s="174"/>
      <c r="I140" s="173" t="e">
        <f>Tabela22[[#This Row],[PESO TOTAL]]/Tabela22[[#This Row],[QUANTIDADE]]</f>
        <v>#DIV/0!</v>
      </c>
      <c r="J140" s="2"/>
      <c r="K140" s="193"/>
      <c r="L140" s="8"/>
      <c r="M140" s="8"/>
      <c r="N140" s="8"/>
      <c r="O140" s="194"/>
      <c r="P140" s="195"/>
    </row>
    <row r="141" spans="1:16">
      <c r="A141" s="3"/>
      <c r="B141" s="3" t="str">
        <f>TEXT(Tabela223[[#This Row],[DATA]],"mmmm")</f>
        <v>janeiro</v>
      </c>
      <c r="C141" s="2"/>
      <c r="D141" s="2"/>
      <c r="E141" s="2"/>
      <c r="F141" s="2"/>
      <c r="G141" s="173"/>
      <c r="H141" s="174"/>
      <c r="I141" s="173" t="e">
        <f>Tabela22[[#This Row],[PESO TOTAL]]/Tabela22[[#This Row],[QUANTIDADE]]</f>
        <v>#DIV/0!</v>
      </c>
      <c r="J141" s="2"/>
      <c r="K141" s="193"/>
      <c r="L141" s="8"/>
      <c r="M141" s="8"/>
      <c r="N141" s="8"/>
      <c r="O141" s="194"/>
      <c r="P141" s="195"/>
    </row>
    <row r="142" spans="1:16">
      <c r="A142" s="3"/>
      <c r="B142" s="3" t="str">
        <f>TEXT(Tabela223[[#This Row],[DATA]],"mmmm")</f>
        <v>janeiro</v>
      </c>
      <c r="C142" s="2"/>
      <c r="D142" s="2"/>
      <c r="E142" s="2"/>
      <c r="F142" s="2"/>
      <c r="G142" s="173"/>
      <c r="H142" s="174"/>
      <c r="I142" s="173" t="e">
        <f>Tabela22[[#This Row],[PESO TOTAL]]/Tabela22[[#This Row],[QUANTIDADE]]</f>
        <v>#DIV/0!</v>
      </c>
      <c r="J142" s="2"/>
      <c r="K142" s="193"/>
      <c r="L142" s="8"/>
      <c r="M142" s="8"/>
      <c r="N142" s="8"/>
      <c r="O142" s="194"/>
      <c r="P142" s="195"/>
    </row>
    <row r="143" spans="1:16">
      <c r="A143" s="3"/>
      <c r="B143" s="3" t="str">
        <f>TEXT(Tabela223[[#This Row],[DATA]],"mmmm")</f>
        <v>janeiro</v>
      </c>
      <c r="C143" s="2"/>
      <c r="D143" s="2"/>
      <c r="E143" s="2"/>
      <c r="F143" s="2"/>
      <c r="G143" s="173"/>
      <c r="H143" s="174"/>
      <c r="I143" s="173" t="e">
        <f>Tabela22[[#This Row],[PESO TOTAL]]/Tabela22[[#This Row],[QUANTIDADE]]</f>
        <v>#DIV/0!</v>
      </c>
      <c r="J143" s="2"/>
      <c r="K143" s="193"/>
      <c r="L143" s="8"/>
      <c r="M143" s="8"/>
      <c r="N143" s="8"/>
      <c r="O143" s="194"/>
      <c r="P143" s="195"/>
    </row>
    <row r="144" spans="1:16">
      <c r="A144" s="3"/>
      <c r="B144" s="3" t="str">
        <f>TEXT(Tabela223[[#This Row],[DATA]],"mmmm")</f>
        <v>janeiro</v>
      </c>
      <c r="C144" s="2"/>
      <c r="D144" s="2"/>
      <c r="E144" s="2"/>
      <c r="F144" s="2"/>
      <c r="G144" s="173"/>
      <c r="H144" s="174"/>
      <c r="I144" s="173" t="e">
        <f>Tabela22[[#This Row],[PESO TOTAL]]/Tabela22[[#This Row],[QUANTIDADE]]</f>
        <v>#DIV/0!</v>
      </c>
      <c r="J144" s="2"/>
      <c r="K144" s="193"/>
      <c r="L144" s="8"/>
      <c r="M144" s="8"/>
      <c r="N144" s="8"/>
      <c r="O144" s="194"/>
      <c r="P144" s="195"/>
    </row>
    <row r="145" spans="1:16">
      <c r="A145" s="3"/>
      <c r="B145" s="3" t="str">
        <f>TEXT(Tabela223[[#This Row],[DATA]],"mmmm")</f>
        <v>janeiro</v>
      </c>
      <c r="C145" s="2"/>
      <c r="D145" s="2"/>
      <c r="E145" s="2"/>
      <c r="F145" s="2"/>
      <c r="G145" s="173"/>
      <c r="H145" s="174"/>
      <c r="I145" s="173" t="e">
        <f>Tabela22[[#This Row],[PESO TOTAL]]/Tabela22[[#This Row],[QUANTIDADE]]</f>
        <v>#DIV/0!</v>
      </c>
      <c r="J145" s="2"/>
      <c r="K145" s="193"/>
      <c r="L145" s="8"/>
      <c r="M145" s="8"/>
      <c r="N145" s="8"/>
      <c r="O145" s="194"/>
      <c r="P145" s="195"/>
    </row>
    <row r="146" spans="1:16">
      <c r="A146" s="3"/>
      <c r="B146" s="3" t="str">
        <f>TEXT(Tabela223[[#This Row],[DATA]],"mmmm")</f>
        <v>janeiro</v>
      </c>
      <c r="C146" s="2"/>
      <c r="D146" s="2"/>
      <c r="E146" s="2"/>
      <c r="F146" s="2"/>
      <c r="G146" s="173"/>
      <c r="H146" s="174"/>
      <c r="I146" s="173" t="e">
        <f>Tabela22[[#This Row],[PESO TOTAL]]/Tabela22[[#This Row],[QUANTIDADE]]</f>
        <v>#DIV/0!</v>
      </c>
      <c r="J146" s="2"/>
      <c r="K146" s="193"/>
      <c r="L146" s="8"/>
      <c r="M146" s="8"/>
      <c r="N146" s="8"/>
      <c r="O146" s="194"/>
      <c r="P146" s="195"/>
    </row>
    <row r="147" spans="1:16">
      <c r="A147" s="3"/>
      <c r="B147" s="3" t="str">
        <f>TEXT(Tabela223[[#This Row],[DATA]],"mmmm")</f>
        <v>janeiro</v>
      </c>
      <c r="C147" s="2"/>
      <c r="D147" s="2"/>
      <c r="E147" s="2"/>
      <c r="F147" s="2"/>
      <c r="G147" s="173"/>
      <c r="H147" s="174"/>
      <c r="I147" s="173" t="e">
        <f>Tabela22[[#This Row],[PESO TOTAL]]/Tabela22[[#This Row],[QUANTIDADE]]</f>
        <v>#DIV/0!</v>
      </c>
      <c r="J147" s="2"/>
      <c r="K147" s="193"/>
      <c r="L147" s="8"/>
      <c r="M147" s="8"/>
      <c r="N147" s="8"/>
      <c r="O147" s="194"/>
      <c r="P147" s="195"/>
    </row>
    <row r="148" spans="1:16">
      <c r="A148" s="3"/>
      <c r="B148" s="3" t="str">
        <f>TEXT(Tabela223[[#This Row],[DATA]],"mmmm")</f>
        <v>janeiro</v>
      </c>
      <c r="C148" s="2"/>
      <c r="D148" s="2"/>
      <c r="E148" s="2"/>
      <c r="F148" s="2"/>
      <c r="G148" s="173"/>
      <c r="H148" s="174"/>
      <c r="I148" s="173" t="e">
        <f>Tabela22[[#This Row],[PESO TOTAL]]/Tabela22[[#This Row],[QUANTIDADE]]</f>
        <v>#DIV/0!</v>
      </c>
      <c r="J148" s="2"/>
      <c r="K148" s="193"/>
      <c r="L148" s="8"/>
      <c r="M148" s="8"/>
      <c r="N148" s="8"/>
      <c r="O148" s="194"/>
      <c r="P148" s="195"/>
    </row>
    <row r="149" spans="1:16">
      <c r="A149" s="3"/>
      <c r="B149" s="3" t="str">
        <f>TEXT(Tabela223[[#This Row],[DATA]],"mmmm")</f>
        <v>janeiro</v>
      </c>
      <c r="C149" s="2"/>
      <c r="D149" s="2"/>
      <c r="E149" s="2"/>
      <c r="F149" s="2"/>
      <c r="G149" s="173"/>
      <c r="H149" s="174"/>
      <c r="I149" s="173" t="e">
        <f>Tabela22[[#This Row],[PESO TOTAL]]/Tabela22[[#This Row],[QUANTIDADE]]</f>
        <v>#DIV/0!</v>
      </c>
      <c r="J149" s="2"/>
      <c r="K149" s="193"/>
      <c r="L149" s="8"/>
      <c r="M149" s="8"/>
      <c r="N149" s="8"/>
      <c r="O149" s="194"/>
      <c r="P149" s="195"/>
    </row>
    <row r="150" spans="1:16">
      <c r="A150" s="3"/>
      <c r="B150" s="3" t="str">
        <f>TEXT(Tabela223[[#This Row],[DATA]],"mmmm")</f>
        <v>janeiro</v>
      </c>
      <c r="C150" s="2"/>
      <c r="D150" s="2"/>
      <c r="E150" s="2"/>
      <c r="F150" s="2"/>
      <c r="G150" s="173"/>
      <c r="H150" s="174"/>
      <c r="I150" s="173" t="e">
        <f>Tabela22[[#This Row],[PESO TOTAL]]/Tabela22[[#This Row],[QUANTIDADE]]</f>
        <v>#DIV/0!</v>
      </c>
      <c r="J150" s="2"/>
      <c r="K150" s="193"/>
      <c r="L150" s="8"/>
      <c r="M150" s="8"/>
      <c r="N150" s="8"/>
      <c r="O150" s="194"/>
      <c r="P150" s="195"/>
    </row>
    <row r="151" spans="1:16">
      <c r="A151" s="3"/>
      <c r="B151" s="3" t="str">
        <f>TEXT(Tabela223[[#This Row],[DATA]],"mmmm")</f>
        <v>janeiro</v>
      </c>
      <c r="C151" s="2"/>
      <c r="D151" s="2"/>
      <c r="E151" s="2"/>
      <c r="F151" s="2"/>
      <c r="G151" s="173"/>
      <c r="H151" s="174"/>
      <c r="I151" s="173" t="e">
        <f>Tabela22[[#This Row],[PESO TOTAL]]/Tabela22[[#This Row],[QUANTIDADE]]</f>
        <v>#DIV/0!</v>
      </c>
      <c r="J151" s="2"/>
      <c r="K151" s="193"/>
      <c r="L151" s="8"/>
      <c r="M151" s="8"/>
      <c r="N151" s="8"/>
      <c r="O151" s="194"/>
      <c r="P151" s="195"/>
    </row>
    <row r="152" spans="1:16">
      <c r="A152" s="3"/>
      <c r="B152" s="3" t="str">
        <f>TEXT(Tabela223[[#This Row],[DATA]],"mmmm")</f>
        <v>janeiro</v>
      </c>
      <c r="C152" s="2"/>
      <c r="D152" s="2"/>
      <c r="E152" s="2"/>
      <c r="F152" s="2"/>
      <c r="G152" s="173"/>
      <c r="H152" s="174"/>
      <c r="I152" s="173" t="e">
        <f>Tabela22[[#This Row],[PESO TOTAL]]/Tabela22[[#This Row],[QUANTIDADE]]</f>
        <v>#DIV/0!</v>
      </c>
      <c r="J152" s="2"/>
      <c r="K152" s="193"/>
      <c r="L152" s="8"/>
      <c r="M152" s="8"/>
      <c r="N152" s="8"/>
      <c r="O152" s="194"/>
      <c r="P152" s="195"/>
    </row>
    <row r="153" spans="1:16">
      <c r="A153" s="3"/>
      <c r="B153" s="3" t="str">
        <f>TEXT(Tabela223[[#This Row],[DATA]],"mmmm")</f>
        <v>janeiro</v>
      </c>
      <c r="C153" s="2"/>
      <c r="D153" s="2"/>
      <c r="E153" s="2"/>
      <c r="F153" s="2"/>
      <c r="G153" s="173"/>
      <c r="H153" s="174"/>
      <c r="I153" s="173" t="e">
        <f>Tabela22[[#This Row],[PESO TOTAL]]/Tabela22[[#This Row],[QUANTIDADE]]</f>
        <v>#DIV/0!</v>
      </c>
      <c r="J153" s="2"/>
      <c r="K153" s="193"/>
      <c r="L153" s="8"/>
      <c r="M153" s="8"/>
      <c r="N153" s="8"/>
      <c r="O153" s="194"/>
      <c r="P153" s="195"/>
    </row>
    <row r="154" spans="1:16">
      <c r="A154" s="3"/>
      <c r="B154" s="3" t="str">
        <f>TEXT(Tabela223[[#This Row],[DATA]],"mmmm")</f>
        <v>janeiro</v>
      </c>
      <c r="C154" s="2"/>
      <c r="D154" s="2"/>
      <c r="E154" s="2"/>
      <c r="F154" s="2"/>
      <c r="G154" s="173"/>
      <c r="H154" s="174"/>
      <c r="I154" s="173" t="e">
        <f>Tabela22[[#This Row],[PESO TOTAL]]/Tabela22[[#This Row],[QUANTIDADE]]</f>
        <v>#DIV/0!</v>
      </c>
      <c r="J154" s="2"/>
      <c r="K154" s="193"/>
      <c r="L154" s="8"/>
      <c r="M154" s="8"/>
      <c r="N154" s="8"/>
      <c r="O154" s="194"/>
      <c r="P154" s="195"/>
    </row>
    <row r="155" spans="1:16">
      <c r="A155" s="3"/>
      <c r="B155" s="3" t="str">
        <f>TEXT(Tabela223[[#This Row],[DATA]],"mmmm")</f>
        <v>janeiro</v>
      </c>
      <c r="C155" s="2"/>
      <c r="D155" s="2"/>
      <c r="E155" s="2"/>
      <c r="F155" s="2"/>
      <c r="G155" s="173"/>
      <c r="H155" s="174"/>
      <c r="I155" s="173" t="e">
        <f>Tabela22[[#This Row],[PESO TOTAL]]/Tabela22[[#This Row],[QUANTIDADE]]</f>
        <v>#DIV/0!</v>
      </c>
      <c r="J155" s="2"/>
      <c r="K155" s="193"/>
      <c r="L155" s="8"/>
      <c r="M155" s="8"/>
      <c r="N155" s="8"/>
      <c r="O155" s="194"/>
      <c r="P155" s="195"/>
    </row>
    <row r="156" spans="1:16">
      <c r="A156" s="3"/>
      <c r="B156" s="3" t="str">
        <f>TEXT(Tabela223[[#This Row],[DATA]],"mmmm")</f>
        <v>janeiro</v>
      </c>
      <c r="C156" s="2"/>
      <c r="D156" s="2"/>
      <c r="E156" s="2"/>
      <c r="F156" s="2"/>
      <c r="G156" s="173"/>
      <c r="H156" s="174"/>
      <c r="I156" s="173" t="e">
        <f>Tabela22[[#This Row],[PESO TOTAL]]/Tabela22[[#This Row],[QUANTIDADE]]</f>
        <v>#DIV/0!</v>
      </c>
      <c r="J156" s="2"/>
      <c r="K156" s="193"/>
      <c r="L156" s="8"/>
      <c r="M156" s="8"/>
      <c r="N156" s="8"/>
      <c r="O156" s="194"/>
      <c r="P156" s="195"/>
    </row>
    <row r="157" spans="1:16">
      <c r="A157" s="3"/>
      <c r="B157" s="3" t="str">
        <f>TEXT(Tabela223[[#This Row],[DATA]],"mmmm")</f>
        <v>janeiro</v>
      </c>
      <c r="C157" s="2"/>
      <c r="D157" s="2"/>
      <c r="E157" s="2"/>
      <c r="F157" s="2"/>
      <c r="G157" s="173"/>
      <c r="H157" s="174"/>
      <c r="I157" s="173" t="e">
        <f>Tabela22[[#This Row],[PESO TOTAL]]/Tabela22[[#This Row],[QUANTIDADE]]</f>
        <v>#DIV/0!</v>
      </c>
      <c r="J157" s="2"/>
      <c r="K157" s="193"/>
      <c r="L157" s="8"/>
      <c r="M157" s="8"/>
      <c r="N157" s="8"/>
      <c r="O157" s="194"/>
      <c r="P157" s="195"/>
    </row>
    <row r="158" spans="1:16">
      <c r="A158" s="3"/>
      <c r="B158" s="3" t="str">
        <f>TEXT(Tabela223[[#This Row],[DATA]],"mmmm")</f>
        <v>janeiro</v>
      </c>
      <c r="C158" s="2"/>
      <c r="D158" s="2"/>
      <c r="E158" s="2"/>
      <c r="F158" s="2"/>
      <c r="G158" s="173"/>
      <c r="H158" s="174"/>
      <c r="I158" s="173" t="e">
        <f>Tabela22[[#This Row],[PESO TOTAL]]/Tabela22[[#This Row],[QUANTIDADE]]</f>
        <v>#DIV/0!</v>
      </c>
      <c r="J158" s="2"/>
      <c r="K158" s="193"/>
      <c r="L158" s="8"/>
      <c r="M158" s="8"/>
      <c r="N158" s="8"/>
      <c r="O158" s="194"/>
      <c r="P158" s="195"/>
    </row>
    <row r="159" spans="1:16">
      <c r="A159" s="3"/>
      <c r="B159" s="3" t="str">
        <f>TEXT(Tabela223[[#This Row],[DATA]],"mmmm")</f>
        <v>janeiro</v>
      </c>
      <c r="C159" s="2"/>
      <c r="D159" s="2"/>
      <c r="E159" s="2"/>
      <c r="F159" s="2"/>
      <c r="G159" s="173"/>
      <c r="H159" s="174"/>
      <c r="I159" s="173" t="e">
        <f>Tabela22[[#This Row],[PESO TOTAL]]/Tabela22[[#This Row],[QUANTIDADE]]</f>
        <v>#DIV/0!</v>
      </c>
      <c r="J159" s="2"/>
      <c r="K159" s="193"/>
      <c r="L159" s="8"/>
      <c r="M159" s="8"/>
      <c r="N159" s="8"/>
      <c r="O159" s="194"/>
      <c r="P159" s="195"/>
    </row>
    <row r="160" spans="1:16">
      <c r="A160" s="3"/>
      <c r="B160" s="3" t="str">
        <f>TEXT(Tabela223[[#This Row],[DATA]],"mmmm")</f>
        <v>janeiro</v>
      </c>
      <c r="C160" s="2"/>
      <c r="D160" s="2"/>
      <c r="E160" s="2"/>
      <c r="F160" s="2"/>
      <c r="G160" s="173"/>
      <c r="H160" s="174"/>
      <c r="I160" s="173" t="e">
        <f>Tabela22[[#This Row],[PESO TOTAL]]/Tabela22[[#This Row],[QUANTIDADE]]</f>
        <v>#DIV/0!</v>
      </c>
      <c r="J160" s="2"/>
      <c r="K160" s="193"/>
      <c r="L160" s="8"/>
      <c r="M160" s="8"/>
      <c r="N160" s="8"/>
      <c r="O160" s="194"/>
      <c r="P160" s="195"/>
    </row>
    <row r="161" spans="1:16">
      <c r="A161" s="3"/>
      <c r="B161" s="3" t="str">
        <f>TEXT(Tabela223[[#This Row],[DATA]],"mmmm")</f>
        <v>janeiro</v>
      </c>
      <c r="C161" s="2"/>
      <c r="D161" s="2"/>
      <c r="E161" s="2"/>
      <c r="F161" s="2"/>
      <c r="G161" s="173"/>
      <c r="H161" s="174"/>
      <c r="I161" s="173" t="e">
        <f>Tabela22[[#This Row],[PESO TOTAL]]/Tabela22[[#This Row],[QUANTIDADE]]</f>
        <v>#DIV/0!</v>
      </c>
      <c r="J161" s="2"/>
      <c r="K161" s="193"/>
      <c r="L161" s="8"/>
      <c r="M161" s="8"/>
      <c r="N161" s="8"/>
      <c r="O161" s="194"/>
      <c r="P161" s="195"/>
    </row>
    <row r="162" spans="1:16">
      <c r="A162" s="3"/>
      <c r="B162" s="3" t="str">
        <f>TEXT(Tabela223[[#This Row],[DATA]],"mmmm")</f>
        <v>janeiro</v>
      </c>
      <c r="C162" s="2"/>
      <c r="D162" s="2"/>
      <c r="E162" s="2"/>
      <c r="F162" s="2"/>
      <c r="G162" s="173"/>
      <c r="H162" s="174"/>
      <c r="I162" s="173" t="e">
        <f>Tabela22[[#This Row],[PESO TOTAL]]/Tabela22[[#This Row],[QUANTIDADE]]</f>
        <v>#DIV/0!</v>
      </c>
      <c r="J162" s="2"/>
      <c r="K162" s="193"/>
      <c r="L162" s="8"/>
      <c r="M162" s="8"/>
      <c r="N162" s="8"/>
      <c r="O162" s="194"/>
      <c r="P162" s="195"/>
    </row>
    <row r="163" spans="1:16">
      <c r="A163" s="3"/>
      <c r="B163" s="3" t="str">
        <f>TEXT(Tabela223[[#This Row],[DATA]],"mmmm")</f>
        <v>janeiro</v>
      </c>
      <c r="C163" s="2"/>
      <c r="D163" s="2"/>
      <c r="E163" s="2"/>
      <c r="F163" s="2"/>
      <c r="G163" s="173"/>
      <c r="H163" s="174"/>
      <c r="I163" s="173" t="e">
        <f>Tabela22[[#This Row],[PESO TOTAL]]/Tabela22[[#This Row],[QUANTIDADE]]</f>
        <v>#DIV/0!</v>
      </c>
      <c r="J163" s="2"/>
      <c r="K163" s="193"/>
      <c r="L163" s="8"/>
      <c r="M163" s="8"/>
      <c r="N163" s="8"/>
      <c r="O163" s="194"/>
      <c r="P163" s="195"/>
    </row>
    <row r="164" spans="1:16">
      <c r="A164" s="3"/>
      <c r="B164" s="3" t="str">
        <f>TEXT(Tabela223[[#This Row],[DATA]],"mmmm")</f>
        <v>janeiro</v>
      </c>
      <c r="C164" s="2"/>
      <c r="D164" s="2"/>
      <c r="E164" s="2"/>
      <c r="F164" s="2"/>
      <c r="G164" s="173"/>
      <c r="H164" s="174"/>
      <c r="I164" s="173" t="e">
        <f>Tabela22[[#This Row],[PESO TOTAL]]/Tabela22[[#This Row],[QUANTIDADE]]</f>
        <v>#DIV/0!</v>
      </c>
      <c r="J164" s="2"/>
      <c r="K164" s="193"/>
      <c r="L164" s="8"/>
      <c r="M164" s="8"/>
      <c r="N164" s="8"/>
      <c r="O164" s="194"/>
      <c r="P164" s="195"/>
    </row>
    <row r="165" spans="1:16">
      <c r="A165" s="3"/>
      <c r="B165" s="3" t="str">
        <f>TEXT(Tabela223[[#This Row],[DATA]],"mmmm")</f>
        <v>janeiro</v>
      </c>
      <c r="C165" s="2"/>
      <c r="D165" s="2"/>
      <c r="E165" s="2"/>
      <c r="F165" s="2"/>
      <c r="G165" s="173"/>
      <c r="H165" s="174"/>
      <c r="I165" s="173" t="e">
        <f>Tabela22[[#This Row],[PESO TOTAL]]/Tabela22[[#This Row],[QUANTIDADE]]</f>
        <v>#DIV/0!</v>
      </c>
      <c r="J165" s="2"/>
      <c r="K165" s="193"/>
      <c r="L165" s="8"/>
      <c r="M165" s="8"/>
      <c r="N165" s="8"/>
      <c r="O165" s="194"/>
      <c r="P165" s="195"/>
    </row>
    <row r="166" spans="1:16">
      <c r="A166" s="3"/>
      <c r="B166" s="3" t="str">
        <f>TEXT(Tabela223[[#This Row],[DATA]],"mmmm")</f>
        <v>janeiro</v>
      </c>
      <c r="C166" s="2"/>
      <c r="D166" s="2"/>
      <c r="E166" s="2"/>
      <c r="F166" s="2"/>
      <c r="G166" s="173"/>
      <c r="H166" s="174"/>
      <c r="I166" s="173" t="e">
        <f>Tabela22[[#This Row],[PESO TOTAL]]/Tabela22[[#This Row],[QUANTIDADE]]</f>
        <v>#DIV/0!</v>
      </c>
      <c r="J166" s="2"/>
      <c r="K166" s="193"/>
      <c r="L166" s="8"/>
      <c r="M166" s="8"/>
      <c r="N166" s="8"/>
      <c r="O166" s="194"/>
      <c r="P166" s="195"/>
    </row>
    <row r="167" spans="1:16">
      <c r="A167" s="3"/>
      <c r="B167" s="3" t="str">
        <f>TEXT(Tabela223[[#This Row],[DATA]],"mmmm")</f>
        <v>janeiro</v>
      </c>
      <c r="C167" s="2"/>
      <c r="D167" s="2"/>
      <c r="E167" s="2"/>
      <c r="F167" s="2"/>
      <c r="G167" s="173"/>
      <c r="H167" s="174"/>
      <c r="I167" s="173" t="e">
        <f>Tabela22[[#This Row],[PESO TOTAL]]/Tabela22[[#This Row],[QUANTIDADE]]</f>
        <v>#DIV/0!</v>
      </c>
      <c r="J167" s="2"/>
      <c r="K167" s="193"/>
      <c r="L167" s="8"/>
      <c r="M167" s="8"/>
      <c r="N167" s="8"/>
      <c r="O167" s="194"/>
      <c r="P167" s="195"/>
    </row>
    <row r="168" spans="1:16">
      <c r="A168" s="3"/>
      <c r="B168" s="3" t="str">
        <f>TEXT(Tabela223[[#This Row],[DATA]],"mmmm")</f>
        <v>janeiro</v>
      </c>
      <c r="C168" s="2"/>
      <c r="D168" s="2"/>
      <c r="E168" s="2"/>
      <c r="F168" s="2"/>
      <c r="G168" s="173"/>
      <c r="H168" s="174"/>
      <c r="I168" s="173" t="e">
        <f>Tabela22[[#This Row],[PESO TOTAL]]/Tabela22[[#This Row],[QUANTIDADE]]</f>
        <v>#DIV/0!</v>
      </c>
      <c r="J168" s="2"/>
      <c r="K168" s="193"/>
      <c r="L168" s="8"/>
      <c r="M168" s="8"/>
      <c r="N168" s="8"/>
      <c r="O168" s="194"/>
      <c r="P168" s="195"/>
    </row>
    <row r="169" spans="1:16">
      <c r="A169" s="3"/>
      <c r="B169" s="3" t="str">
        <f>TEXT(Tabela223[[#This Row],[DATA]],"mmmm")</f>
        <v>janeiro</v>
      </c>
      <c r="C169" s="2"/>
      <c r="D169" s="2"/>
      <c r="E169" s="2"/>
      <c r="F169" s="2"/>
      <c r="G169" s="173"/>
      <c r="H169" s="174"/>
      <c r="I169" s="173" t="e">
        <f>Tabela22[[#This Row],[PESO TOTAL]]/Tabela22[[#This Row],[QUANTIDADE]]</f>
        <v>#DIV/0!</v>
      </c>
      <c r="J169" s="2"/>
      <c r="K169" s="193"/>
      <c r="L169" s="8"/>
      <c r="M169" s="8"/>
      <c r="N169" s="8"/>
      <c r="O169" s="194"/>
      <c r="P169" s="195"/>
    </row>
    <row r="170" spans="1:16">
      <c r="A170" s="3"/>
      <c r="B170" s="3" t="str">
        <f>TEXT(Tabela223[[#This Row],[DATA]],"mmmm")</f>
        <v>janeiro</v>
      </c>
      <c r="C170" s="2"/>
      <c r="D170" s="2"/>
      <c r="E170" s="2"/>
      <c r="F170" s="2"/>
      <c r="G170" s="173"/>
      <c r="H170" s="174"/>
      <c r="I170" s="173" t="e">
        <f>Tabela22[[#This Row],[PESO TOTAL]]/Tabela22[[#This Row],[QUANTIDADE]]</f>
        <v>#DIV/0!</v>
      </c>
      <c r="J170" s="2"/>
      <c r="K170" s="193"/>
      <c r="L170" s="8"/>
      <c r="M170" s="8"/>
      <c r="N170" s="8"/>
      <c r="O170" s="194"/>
      <c r="P170" s="195"/>
    </row>
    <row r="171" spans="1:16">
      <c r="A171" s="3"/>
      <c r="B171" s="3" t="str">
        <f>TEXT(Tabela223[[#This Row],[DATA]],"mmmm")</f>
        <v>janeiro</v>
      </c>
      <c r="C171" s="2"/>
      <c r="D171" s="2"/>
      <c r="E171" s="2"/>
      <c r="F171" s="2"/>
      <c r="G171" s="173"/>
      <c r="H171" s="174"/>
      <c r="I171" s="173" t="e">
        <f>Tabela22[[#This Row],[PESO TOTAL]]/Tabela22[[#This Row],[QUANTIDADE]]</f>
        <v>#DIV/0!</v>
      </c>
      <c r="J171" s="2"/>
      <c r="K171" s="193"/>
      <c r="L171" s="8"/>
      <c r="M171" s="8"/>
      <c r="N171" s="8"/>
      <c r="O171" s="194"/>
      <c r="P171" s="195"/>
    </row>
    <row r="172" spans="1:16">
      <c r="A172" s="3"/>
      <c r="B172" s="3" t="str">
        <f>TEXT(Tabela223[[#This Row],[DATA]],"mmmm")</f>
        <v>janeiro</v>
      </c>
      <c r="C172" s="2"/>
      <c r="D172" s="2"/>
      <c r="E172" s="2"/>
      <c r="F172" s="2"/>
      <c r="G172" s="173"/>
      <c r="H172" s="174"/>
      <c r="I172" s="173" t="e">
        <f>Tabela22[[#This Row],[PESO TOTAL]]/Tabela22[[#This Row],[QUANTIDADE]]</f>
        <v>#DIV/0!</v>
      </c>
      <c r="J172" s="2"/>
      <c r="K172" s="193"/>
      <c r="L172" s="8"/>
      <c r="M172" s="8"/>
      <c r="N172" s="8"/>
      <c r="O172" s="194"/>
      <c r="P172" s="195"/>
    </row>
    <row r="173" spans="1:16">
      <c r="A173" s="3"/>
      <c r="B173" s="3" t="str">
        <f>TEXT(Tabela223[[#This Row],[DATA]],"mmmm")</f>
        <v>janeiro</v>
      </c>
      <c r="C173" s="2"/>
      <c r="D173" s="2"/>
      <c r="E173" s="2"/>
      <c r="F173" s="2"/>
      <c r="G173" s="173"/>
      <c r="H173" s="174"/>
      <c r="I173" s="173" t="e">
        <f>Tabela22[[#This Row],[PESO TOTAL]]/Tabela22[[#This Row],[QUANTIDADE]]</f>
        <v>#DIV/0!</v>
      </c>
      <c r="J173" s="2"/>
      <c r="K173" s="193"/>
      <c r="L173" s="8"/>
      <c r="M173" s="8"/>
      <c r="N173" s="8"/>
      <c r="O173" s="194"/>
      <c r="P173" s="195"/>
    </row>
    <row r="174" spans="1:16">
      <c r="A174" s="3"/>
      <c r="B174" s="3" t="str">
        <f>TEXT(Tabela223[[#This Row],[DATA]],"mmmm")</f>
        <v>janeiro</v>
      </c>
      <c r="C174" s="2"/>
      <c r="D174" s="2"/>
      <c r="E174" s="2"/>
      <c r="F174" s="2"/>
      <c r="G174" s="173"/>
      <c r="H174" s="174"/>
      <c r="I174" s="173" t="e">
        <f>Tabela22[[#This Row],[PESO TOTAL]]/Tabela22[[#This Row],[QUANTIDADE]]</f>
        <v>#DIV/0!</v>
      </c>
      <c r="J174" s="2"/>
      <c r="K174" s="193"/>
      <c r="L174" s="8"/>
      <c r="M174" s="8"/>
      <c r="N174" s="8"/>
      <c r="O174" s="194"/>
      <c r="P174" s="195"/>
    </row>
    <row r="175" spans="1:16">
      <c r="A175" s="3"/>
      <c r="B175" s="3" t="str">
        <f>TEXT(Tabela223[[#This Row],[DATA]],"mmmm")</f>
        <v>janeiro</v>
      </c>
      <c r="C175" s="2"/>
      <c r="D175" s="2"/>
      <c r="E175" s="2"/>
      <c r="F175" s="2"/>
      <c r="G175" s="173"/>
      <c r="H175" s="174"/>
      <c r="I175" s="173" t="e">
        <f>Tabela22[[#This Row],[PESO TOTAL]]/Tabela22[[#This Row],[QUANTIDADE]]</f>
        <v>#DIV/0!</v>
      </c>
      <c r="J175" s="2"/>
      <c r="K175" s="193"/>
      <c r="L175" s="8"/>
      <c r="M175" s="8"/>
      <c r="N175" s="8"/>
      <c r="O175" s="194"/>
      <c r="P175" s="195"/>
    </row>
    <row r="176" spans="1:16">
      <c r="A176" s="3"/>
      <c r="B176" s="3" t="str">
        <f>TEXT(Tabela223[[#This Row],[DATA]],"mmmm")</f>
        <v>janeiro</v>
      </c>
      <c r="C176" s="2"/>
      <c r="D176" s="2"/>
      <c r="E176" s="2"/>
      <c r="F176" s="2"/>
      <c r="G176" s="173"/>
      <c r="H176" s="174"/>
      <c r="I176" s="173" t="e">
        <f>Tabela22[[#This Row],[PESO TOTAL]]/Tabela22[[#This Row],[QUANTIDADE]]</f>
        <v>#DIV/0!</v>
      </c>
      <c r="J176" s="2"/>
      <c r="K176" s="193"/>
      <c r="L176" s="8"/>
      <c r="M176" s="8"/>
      <c r="N176" s="8"/>
      <c r="O176" s="194"/>
      <c r="P176" s="195"/>
    </row>
    <row r="177" spans="1:16">
      <c r="A177" s="3"/>
      <c r="B177" s="3" t="str">
        <f>TEXT(Tabela223[[#This Row],[DATA]],"mmmm")</f>
        <v>janeiro</v>
      </c>
      <c r="C177" s="2"/>
      <c r="D177" s="2"/>
      <c r="E177" s="2"/>
      <c r="F177" s="2"/>
      <c r="G177" s="173"/>
      <c r="H177" s="174"/>
      <c r="I177" s="173" t="e">
        <f>Tabela22[[#This Row],[PESO TOTAL]]/Tabela22[[#This Row],[QUANTIDADE]]</f>
        <v>#DIV/0!</v>
      </c>
      <c r="J177" s="2"/>
      <c r="K177" s="193"/>
      <c r="L177" s="8"/>
      <c r="M177" s="8"/>
      <c r="N177" s="8"/>
      <c r="O177" s="194"/>
      <c r="P177" s="195"/>
    </row>
    <row r="178" spans="1:16">
      <c r="A178" s="3"/>
      <c r="B178" s="3" t="str">
        <f>TEXT(Tabela223[[#This Row],[DATA]],"mmmm")</f>
        <v>janeiro</v>
      </c>
      <c r="C178" s="2"/>
      <c r="D178" s="2"/>
      <c r="E178" s="2"/>
      <c r="F178" s="2"/>
      <c r="G178" s="173"/>
      <c r="H178" s="174"/>
      <c r="I178" s="173" t="e">
        <f>Tabela22[[#This Row],[PESO TOTAL]]/Tabela22[[#This Row],[QUANTIDADE]]</f>
        <v>#DIV/0!</v>
      </c>
      <c r="J178" s="2"/>
      <c r="K178" s="193"/>
      <c r="L178" s="8"/>
      <c r="M178" s="8"/>
      <c r="N178" s="8"/>
      <c r="O178" s="194"/>
      <c r="P178" s="195"/>
    </row>
    <row r="179" spans="1:16">
      <c r="A179" s="3"/>
      <c r="B179" s="3" t="str">
        <f>TEXT(Tabela223[[#This Row],[DATA]],"mmmm")</f>
        <v>janeiro</v>
      </c>
      <c r="C179" s="2"/>
      <c r="D179" s="2"/>
      <c r="E179" s="2"/>
      <c r="F179" s="2"/>
      <c r="G179" s="173"/>
      <c r="H179" s="174"/>
      <c r="I179" s="173" t="e">
        <f>Tabela22[[#This Row],[PESO TOTAL]]/Tabela22[[#This Row],[QUANTIDADE]]</f>
        <v>#DIV/0!</v>
      </c>
      <c r="J179" s="2"/>
      <c r="K179" s="193"/>
      <c r="L179" s="8"/>
      <c r="M179" s="8"/>
      <c r="N179" s="8"/>
      <c r="O179" s="194"/>
      <c r="P179" s="195"/>
    </row>
    <row r="180" spans="1:16">
      <c r="A180" s="3"/>
      <c r="B180" s="3" t="str">
        <f>TEXT(Tabela223[[#This Row],[DATA]],"mmmm")</f>
        <v>janeiro</v>
      </c>
      <c r="C180" s="2"/>
      <c r="D180" s="2"/>
      <c r="E180" s="2"/>
      <c r="F180" s="2"/>
      <c r="G180" s="173"/>
      <c r="H180" s="174"/>
      <c r="I180" s="173" t="e">
        <f>Tabela22[[#This Row],[PESO TOTAL]]/Tabela22[[#This Row],[QUANTIDADE]]</f>
        <v>#DIV/0!</v>
      </c>
      <c r="J180" s="2"/>
      <c r="K180" s="193"/>
      <c r="L180" s="8"/>
      <c r="M180" s="8"/>
      <c r="N180" s="8"/>
      <c r="O180" s="194"/>
      <c r="P180" s="195"/>
    </row>
    <row r="181" spans="1:16">
      <c r="A181" s="3"/>
      <c r="B181" s="3" t="str">
        <f>TEXT(Tabela223[[#This Row],[DATA]],"mmmm")</f>
        <v>janeiro</v>
      </c>
      <c r="C181" s="2"/>
      <c r="D181" s="2"/>
      <c r="E181" s="2"/>
      <c r="F181" s="2"/>
      <c r="G181" s="173"/>
      <c r="H181" s="174"/>
      <c r="I181" s="173" t="e">
        <f>Tabela22[[#This Row],[PESO TOTAL]]/Tabela22[[#This Row],[QUANTIDADE]]</f>
        <v>#DIV/0!</v>
      </c>
      <c r="J181" s="2"/>
      <c r="K181" s="193"/>
      <c r="L181" s="8"/>
      <c r="M181" s="8"/>
      <c r="N181" s="8"/>
      <c r="O181" s="194"/>
      <c r="P181" s="195"/>
    </row>
    <row r="182" spans="1:16">
      <c r="A182" s="3"/>
      <c r="B182" s="3" t="str">
        <f>TEXT(Tabela223[[#This Row],[DATA]],"mmmm")</f>
        <v>janeiro</v>
      </c>
      <c r="C182" s="2"/>
      <c r="D182" s="2"/>
      <c r="E182" s="2"/>
      <c r="F182" s="2"/>
      <c r="G182" s="173"/>
      <c r="H182" s="174"/>
      <c r="I182" s="173" t="e">
        <f>Tabela22[[#This Row],[PESO TOTAL]]/Tabela22[[#This Row],[QUANTIDADE]]</f>
        <v>#DIV/0!</v>
      </c>
      <c r="J182" s="2"/>
      <c r="K182" s="193"/>
      <c r="L182" s="8"/>
      <c r="M182" s="8"/>
      <c r="N182" s="8"/>
      <c r="O182" s="194"/>
      <c r="P182" s="195"/>
    </row>
    <row r="183" spans="1:16">
      <c r="A183" s="3"/>
      <c r="B183" s="3" t="str">
        <f>TEXT(Tabela223[[#This Row],[DATA]],"mmmm")</f>
        <v>janeiro</v>
      </c>
      <c r="C183" s="2"/>
      <c r="D183" s="2"/>
      <c r="E183" s="2"/>
      <c r="F183" s="2"/>
      <c r="G183" s="173"/>
      <c r="H183" s="174"/>
      <c r="I183" s="173" t="e">
        <f>Tabela22[[#This Row],[PESO TOTAL]]/Tabela22[[#This Row],[QUANTIDADE]]</f>
        <v>#DIV/0!</v>
      </c>
      <c r="J183" s="2"/>
      <c r="K183" s="193"/>
      <c r="L183" s="8"/>
      <c r="M183" s="8"/>
      <c r="N183" s="8"/>
      <c r="O183" s="194"/>
      <c r="P183" s="195"/>
    </row>
    <row r="184" spans="1:16">
      <c r="A184" s="3"/>
      <c r="B184" s="3" t="str">
        <f>TEXT(Tabela223[[#This Row],[DATA]],"mmmm")</f>
        <v>janeiro</v>
      </c>
      <c r="C184" s="2"/>
      <c r="D184" s="2"/>
      <c r="E184" s="2"/>
      <c r="F184" s="2"/>
      <c r="G184" s="173"/>
      <c r="H184" s="174"/>
      <c r="I184" s="173" t="e">
        <f>Tabela22[[#This Row],[PESO TOTAL]]/Tabela22[[#This Row],[QUANTIDADE]]</f>
        <v>#DIV/0!</v>
      </c>
      <c r="J184" s="2"/>
      <c r="K184" s="193"/>
      <c r="L184" s="8"/>
      <c r="M184" s="8"/>
      <c r="N184" s="8"/>
      <c r="O184" s="194"/>
      <c r="P184" s="195"/>
    </row>
    <row r="185" spans="1:16">
      <c r="A185" s="3"/>
      <c r="B185" s="3" t="str">
        <f>TEXT(Tabela223[[#This Row],[DATA]],"mmmm")</f>
        <v>janeiro</v>
      </c>
      <c r="C185" s="2"/>
      <c r="D185" s="2"/>
      <c r="E185" s="2"/>
      <c r="F185" s="2"/>
      <c r="G185" s="173"/>
      <c r="H185" s="174"/>
      <c r="I185" s="173" t="e">
        <f>Tabela22[[#This Row],[PESO TOTAL]]/Tabela22[[#This Row],[QUANTIDADE]]</f>
        <v>#DIV/0!</v>
      </c>
      <c r="J185" s="2"/>
      <c r="K185" s="193"/>
      <c r="L185" s="8"/>
      <c r="M185" s="8"/>
      <c r="N185" s="8"/>
      <c r="O185" s="194"/>
      <c r="P185" s="195"/>
    </row>
    <row r="186" spans="1:16">
      <c r="A186" s="3"/>
      <c r="B186" s="3" t="str">
        <f>TEXT(Tabela223[[#This Row],[DATA]],"mmmm")</f>
        <v>janeiro</v>
      </c>
      <c r="C186" s="2"/>
      <c r="D186" s="2"/>
      <c r="E186" s="2"/>
      <c r="F186" s="2"/>
      <c r="G186" s="173"/>
      <c r="H186" s="174"/>
      <c r="I186" s="173" t="e">
        <f>Tabela22[[#This Row],[PESO TOTAL]]/Tabela22[[#This Row],[QUANTIDADE]]</f>
        <v>#DIV/0!</v>
      </c>
      <c r="J186" s="2"/>
      <c r="K186" s="193"/>
      <c r="L186" s="8"/>
      <c r="M186" s="8"/>
      <c r="N186" s="8"/>
      <c r="O186" s="194"/>
      <c r="P186" s="195"/>
    </row>
    <row r="187" spans="1:16">
      <c r="A187" s="3"/>
      <c r="B187" s="3" t="str">
        <f>TEXT(Tabela223[[#This Row],[DATA]],"mmmm")</f>
        <v>janeiro</v>
      </c>
      <c r="C187" s="2"/>
      <c r="D187" s="2"/>
      <c r="E187" s="2"/>
      <c r="F187" s="2"/>
      <c r="G187" s="173"/>
      <c r="H187" s="174"/>
      <c r="I187" s="173" t="e">
        <f>Tabela22[[#This Row],[PESO TOTAL]]/Tabela22[[#This Row],[QUANTIDADE]]</f>
        <v>#DIV/0!</v>
      </c>
      <c r="J187" s="2"/>
      <c r="K187" s="193"/>
      <c r="L187" s="8"/>
      <c r="M187" s="8"/>
      <c r="N187" s="8"/>
      <c r="O187" s="194"/>
      <c r="P187" s="195"/>
    </row>
    <row r="188" spans="1:16">
      <c r="A188" s="3"/>
      <c r="B188" s="3" t="str">
        <f>TEXT(Tabela223[[#This Row],[DATA]],"mmmm")</f>
        <v>janeiro</v>
      </c>
      <c r="C188" s="2"/>
      <c r="D188" s="2"/>
      <c r="E188" s="2"/>
      <c r="F188" s="2"/>
      <c r="G188" s="173"/>
      <c r="H188" s="174"/>
      <c r="I188" s="173" t="e">
        <f>Tabela22[[#This Row],[PESO TOTAL]]/Tabela22[[#This Row],[QUANTIDADE]]</f>
        <v>#DIV/0!</v>
      </c>
      <c r="J188" s="2"/>
      <c r="K188" s="193"/>
      <c r="L188" s="8"/>
      <c r="M188" s="8"/>
      <c r="N188" s="8"/>
      <c r="O188" s="194"/>
      <c r="P188" s="195"/>
    </row>
    <row r="189" spans="1:16">
      <c r="A189" s="3"/>
      <c r="B189" s="3" t="str">
        <f>TEXT(Tabela223[[#This Row],[DATA]],"mmmm")</f>
        <v>janeiro</v>
      </c>
      <c r="C189" s="2"/>
      <c r="D189" s="2"/>
      <c r="E189" s="2"/>
      <c r="F189" s="2"/>
      <c r="G189" s="173"/>
      <c r="H189" s="174"/>
      <c r="I189" s="173" t="e">
        <f>Tabela22[[#This Row],[PESO TOTAL]]/Tabela22[[#This Row],[QUANTIDADE]]</f>
        <v>#DIV/0!</v>
      </c>
      <c r="J189" s="2"/>
      <c r="K189" s="193"/>
      <c r="L189" s="8"/>
      <c r="M189" s="8"/>
      <c r="N189" s="8"/>
      <c r="O189" s="194"/>
      <c r="P189" s="195"/>
    </row>
    <row r="190" spans="1:16">
      <c r="A190" s="3"/>
      <c r="B190" s="3" t="str">
        <f>TEXT(Tabela223[[#This Row],[DATA]],"mmmm")</f>
        <v>janeiro</v>
      </c>
      <c r="C190" s="2"/>
      <c r="D190" s="2"/>
      <c r="E190" s="2"/>
      <c r="F190" s="2"/>
      <c r="G190" s="173"/>
      <c r="H190" s="174"/>
      <c r="I190" s="173" t="e">
        <f>Tabela22[[#This Row],[PESO TOTAL]]/Tabela22[[#This Row],[QUANTIDADE]]</f>
        <v>#DIV/0!</v>
      </c>
      <c r="J190" s="2"/>
      <c r="K190" s="193"/>
      <c r="L190" s="8"/>
      <c r="M190" s="8"/>
      <c r="N190" s="8"/>
      <c r="O190" s="194"/>
      <c r="P190" s="195"/>
    </row>
    <row r="191" spans="1:16">
      <c r="A191" s="3"/>
      <c r="B191" s="3" t="str">
        <f>TEXT(Tabela223[[#This Row],[DATA]],"mmmm")</f>
        <v>janeiro</v>
      </c>
      <c r="C191" s="2"/>
      <c r="D191" s="2"/>
      <c r="E191" s="2"/>
      <c r="F191" s="2"/>
      <c r="G191" s="173"/>
      <c r="H191" s="174"/>
      <c r="I191" s="173" t="e">
        <f>Tabela22[[#This Row],[PESO TOTAL]]/Tabela22[[#This Row],[QUANTIDADE]]</f>
        <v>#DIV/0!</v>
      </c>
      <c r="J191" s="2"/>
      <c r="K191" s="193"/>
      <c r="L191" s="8"/>
      <c r="M191" s="8"/>
      <c r="N191" s="8"/>
      <c r="O191" s="194"/>
      <c r="P191" s="195"/>
    </row>
    <row r="192" spans="1:16">
      <c r="A192" s="3"/>
      <c r="B192" s="3" t="str">
        <f>TEXT(Tabela223[[#This Row],[DATA]],"mmmm")</f>
        <v>janeiro</v>
      </c>
      <c r="C192" s="2"/>
      <c r="D192" s="2"/>
      <c r="E192" s="2"/>
      <c r="F192" s="2"/>
      <c r="G192" s="173"/>
      <c r="H192" s="174"/>
      <c r="I192" s="173" t="e">
        <f>Tabela22[[#This Row],[PESO TOTAL]]/Tabela22[[#This Row],[QUANTIDADE]]</f>
        <v>#DIV/0!</v>
      </c>
      <c r="J192" s="2"/>
      <c r="K192" s="193"/>
      <c r="L192" s="8"/>
      <c r="M192" s="8"/>
      <c r="N192" s="8"/>
      <c r="O192" s="194"/>
      <c r="P192" s="195"/>
    </row>
    <row r="193" spans="1:16">
      <c r="A193" s="3"/>
      <c r="B193" s="3" t="str">
        <f>TEXT(Tabela223[[#This Row],[DATA]],"mmmm")</f>
        <v>janeiro</v>
      </c>
      <c r="C193" s="2"/>
      <c r="D193" s="2"/>
      <c r="E193" s="2"/>
      <c r="F193" s="2"/>
      <c r="G193" s="173"/>
      <c r="H193" s="174"/>
      <c r="I193" s="173" t="e">
        <f>Tabela22[[#This Row],[PESO TOTAL]]/Tabela22[[#This Row],[QUANTIDADE]]</f>
        <v>#DIV/0!</v>
      </c>
      <c r="J193" s="2"/>
      <c r="K193" s="193"/>
      <c r="L193" s="8"/>
      <c r="M193" s="8"/>
      <c r="N193" s="8"/>
      <c r="O193" s="194"/>
      <c r="P193" s="195"/>
    </row>
    <row r="194" spans="1:16">
      <c r="A194" s="3"/>
      <c r="B194" s="3" t="str">
        <f>TEXT(Tabela223[[#This Row],[DATA]],"mmmm")</f>
        <v>janeiro</v>
      </c>
      <c r="C194" s="2"/>
      <c r="D194" s="2"/>
      <c r="E194" s="2"/>
      <c r="F194" s="2"/>
      <c r="G194" s="173"/>
      <c r="H194" s="174"/>
      <c r="I194" s="173" t="e">
        <f>Tabela22[[#This Row],[PESO TOTAL]]/Tabela22[[#This Row],[QUANTIDADE]]</f>
        <v>#DIV/0!</v>
      </c>
      <c r="J194" s="2"/>
      <c r="K194" s="193"/>
      <c r="L194" s="8"/>
      <c r="M194" s="8"/>
      <c r="N194" s="8"/>
      <c r="O194" s="194"/>
      <c r="P194" s="195"/>
    </row>
    <row r="195" spans="1:16">
      <c r="A195" s="3"/>
      <c r="B195" s="3" t="str">
        <f>TEXT(Tabela223[[#This Row],[DATA]],"mmmm")</f>
        <v>janeiro</v>
      </c>
      <c r="C195" s="2"/>
      <c r="D195" s="2"/>
      <c r="E195" s="2"/>
      <c r="F195" s="2"/>
      <c r="G195" s="173"/>
      <c r="H195" s="174"/>
      <c r="I195" s="173" t="e">
        <f>Tabela22[[#This Row],[PESO TOTAL]]/Tabela22[[#This Row],[QUANTIDADE]]</f>
        <v>#DIV/0!</v>
      </c>
      <c r="J195" s="2"/>
      <c r="K195" s="193"/>
      <c r="L195" s="8"/>
      <c r="M195" s="8"/>
      <c r="N195" s="8"/>
      <c r="O195" s="194"/>
      <c r="P195" s="195"/>
    </row>
    <row r="196" spans="1:16">
      <c r="A196" s="3"/>
      <c r="B196" s="3" t="str">
        <f>TEXT(Tabela223[[#This Row],[DATA]],"mmmm")</f>
        <v>janeiro</v>
      </c>
      <c r="C196" s="2"/>
      <c r="D196" s="2"/>
      <c r="E196" s="2"/>
      <c r="F196" s="2"/>
      <c r="G196" s="173"/>
      <c r="H196" s="174"/>
      <c r="I196" s="173" t="e">
        <f>Tabela22[[#This Row],[PESO TOTAL]]/Tabela22[[#This Row],[QUANTIDADE]]</f>
        <v>#DIV/0!</v>
      </c>
      <c r="J196" s="2"/>
      <c r="K196" s="193"/>
      <c r="L196" s="8"/>
      <c r="M196" s="8"/>
      <c r="N196" s="8"/>
      <c r="O196" s="194"/>
      <c r="P196" s="195"/>
    </row>
    <row r="197" spans="1:16">
      <c r="A197" s="3"/>
      <c r="B197" s="3" t="str">
        <f>TEXT(Tabela223[[#This Row],[DATA]],"mmmm")</f>
        <v>janeiro</v>
      </c>
      <c r="C197" s="2"/>
      <c r="D197" s="2"/>
      <c r="E197" s="2"/>
      <c r="F197" s="2"/>
      <c r="G197" s="173"/>
      <c r="H197" s="174"/>
      <c r="I197" s="173" t="e">
        <f>Tabela22[[#This Row],[PESO TOTAL]]/Tabela22[[#This Row],[QUANTIDADE]]</f>
        <v>#DIV/0!</v>
      </c>
      <c r="J197" s="2"/>
      <c r="K197" s="193"/>
      <c r="L197" s="8"/>
      <c r="M197" s="8"/>
      <c r="N197" s="8"/>
      <c r="O197" s="194"/>
      <c r="P197" s="195"/>
    </row>
    <row r="198" spans="1:16">
      <c r="A198" s="3"/>
      <c r="B198" s="3" t="str">
        <f>TEXT(Tabela223[[#This Row],[DATA]],"mmmm")</f>
        <v>janeiro</v>
      </c>
      <c r="C198" s="2"/>
      <c r="D198" s="2"/>
      <c r="E198" s="2"/>
      <c r="F198" s="2"/>
      <c r="G198" s="173"/>
      <c r="H198" s="174"/>
      <c r="I198" s="173" t="e">
        <f>Tabela22[[#This Row],[PESO TOTAL]]/Tabela22[[#This Row],[QUANTIDADE]]</f>
        <v>#DIV/0!</v>
      </c>
      <c r="J198" s="2"/>
      <c r="K198" s="193"/>
      <c r="L198" s="8"/>
      <c r="M198" s="8"/>
      <c r="N198" s="8"/>
      <c r="O198" s="194"/>
      <c r="P198" s="195"/>
    </row>
    <row r="199" spans="1:16">
      <c r="A199" s="3"/>
      <c r="B199" s="3" t="str">
        <f>TEXT(Tabela223[[#This Row],[DATA]],"mmmm")</f>
        <v>janeiro</v>
      </c>
      <c r="C199" s="2"/>
      <c r="D199" s="2"/>
      <c r="E199" s="2"/>
      <c r="F199" s="2"/>
      <c r="G199" s="173"/>
      <c r="H199" s="174"/>
      <c r="I199" s="173" t="e">
        <f>Tabela22[[#This Row],[PESO TOTAL]]/Tabela22[[#This Row],[QUANTIDADE]]</f>
        <v>#DIV/0!</v>
      </c>
      <c r="J199" s="2"/>
      <c r="K199" s="193"/>
      <c r="L199" s="8"/>
      <c r="M199" s="8"/>
      <c r="N199" s="8"/>
      <c r="O199" s="194"/>
      <c r="P199" s="195"/>
    </row>
    <row r="200" spans="1:16">
      <c r="A200" s="3"/>
      <c r="B200" s="3" t="str">
        <f>TEXT(Tabela223[[#This Row],[DATA]],"mmmm")</f>
        <v>janeiro</v>
      </c>
      <c r="C200" s="2"/>
      <c r="D200" s="2"/>
      <c r="E200" s="2"/>
      <c r="F200" s="2"/>
      <c r="G200" s="173"/>
      <c r="H200" s="174"/>
      <c r="I200" s="173" t="e">
        <f>Tabela22[[#This Row],[PESO TOTAL]]/Tabela22[[#This Row],[QUANTIDADE]]</f>
        <v>#DIV/0!</v>
      </c>
      <c r="J200" s="2"/>
      <c r="K200" s="193"/>
      <c r="L200" s="8"/>
      <c r="M200" s="8"/>
      <c r="N200" s="8"/>
      <c r="O200" s="194"/>
      <c r="P200" s="195"/>
    </row>
    <row r="201" spans="1:16">
      <c r="A201" s="3"/>
      <c r="B201" s="3" t="str">
        <f>TEXT(Tabela223[[#This Row],[DATA]],"mmmm")</f>
        <v>janeiro</v>
      </c>
      <c r="C201" s="2"/>
      <c r="D201" s="2"/>
      <c r="E201" s="2"/>
      <c r="F201" s="2"/>
      <c r="G201" s="173"/>
      <c r="H201" s="174"/>
      <c r="I201" s="173" t="e">
        <f>Tabela22[[#This Row],[PESO TOTAL]]/Tabela22[[#This Row],[QUANTIDADE]]</f>
        <v>#DIV/0!</v>
      </c>
      <c r="J201" s="2"/>
      <c r="K201" s="193"/>
      <c r="L201" s="8"/>
      <c r="M201" s="8"/>
      <c r="N201" s="8"/>
      <c r="O201" s="194"/>
      <c r="P201" s="195"/>
    </row>
    <row r="202" spans="1:16">
      <c r="A202" s="3"/>
      <c r="B202" s="3" t="str">
        <f>TEXT(Tabela223[[#This Row],[DATA]],"mmmm")</f>
        <v>janeiro</v>
      </c>
      <c r="C202" s="2"/>
      <c r="D202" s="2"/>
      <c r="E202" s="2"/>
      <c r="F202" s="2"/>
      <c r="G202" s="173"/>
      <c r="H202" s="174"/>
      <c r="I202" s="173" t="e">
        <f>Tabela22[[#This Row],[PESO TOTAL]]/Tabela22[[#This Row],[QUANTIDADE]]</f>
        <v>#DIV/0!</v>
      </c>
      <c r="J202" s="2"/>
      <c r="K202" s="193"/>
      <c r="L202" s="8"/>
      <c r="M202" s="8"/>
      <c r="N202" s="8"/>
      <c r="O202" s="194"/>
      <c r="P202" s="195"/>
    </row>
    <row r="203" spans="1:16">
      <c r="A203" s="3"/>
      <c r="B203" s="3" t="str">
        <f>TEXT(Tabela223[[#This Row],[DATA]],"mmmm")</f>
        <v>janeiro</v>
      </c>
      <c r="C203" s="2"/>
      <c r="D203" s="2"/>
      <c r="E203" s="2"/>
      <c r="F203" s="2"/>
      <c r="G203" s="173"/>
      <c r="H203" s="174"/>
      <c r="I203" s="173" t="e">
        <f>Tabela22[[#This Row],[PESO TOTAL]]/Tabela22[[#This Row],[QUANTIDADE]]</f>
        <v>#DIV/0!</v>
      </c>
      <c r="J203" s="2"/>
      <c r="K203" s="193"/>
      <c r="L203" s="8"/>
      <c r="M203" s="8"/>
      <c r="N203" s="8"/>
      <c r="O203" s="194"/>
      <c r="P203" s="195"/>
    </row>
    <row r="204" spans="1:16">
      <c r="A204" s="3"/>
      <c r="B204" s="3" t="str">
        <f>TEXT(Tabela223[[#This Row],[DATA]],"mmmm")</f>
        <v>janeiro</v>
      </c>
      <c r="C204" s="2"/>
      <c r="D204" s="2"/>
      <c r="E204" s="2"/>
      <c r="F204" s="2"/>
      <c r="G204" s="173"/>
      <c r="H204" s="174"/>
      <c r="I204" s="173" t="e">
        <f>Tabela22[[#This Row],[PESO TOTAL]]/Tabela22[[#This Row],[QUANTIDADE]]</f>
        <v>#DIV/0!</v>
      </c>
      <c r="J204" s="2"/>
      <c r="K204" s="193"/>
      <c r="L204" s="8"/>
      <c r="M204" s="8"/>
      <c r="N204" s="8"/>
      <c r="O204" s="194"/>
      <c r="P204" s="195"/>
    </row>
    <row r="205" spans="1:16">
      <c r="A205" s="3"/>
      <c r="B205" s="3" t="str">
        <f>TEXT(Tabela223[[#This Row],[DATA]],"mmmm")</f>
        <v>janeiro</v>
      </c>
      <c r="C205" s="2"/>
      <c r="D205" s="2"/>
      <c r="E205" s="2"/>
      <c r="F205" s="2"/>
      <c r="G205" s="173"/>
      <c r="H205" s="174"/>
      <c r="I205" s="173" t="e">
        <f>Tabela22[[#This Row],[PESO TOTAL]]/Tabela22[[#This Row],[QUANTIDADE]]</f>
        <v>#DIV/0!</v>
      </c>
      <c r="J205" s="2"/>
      <c r="K205" s="193"/>
      <c r="L205" s="8"/>
      <c r="M205" s="8"/>
      <c r="N205" s="8"/>
      <c r="O205" s="194"/>
      <c r="P205" s="195"/>
    </row>
    <row r="206" spans="1:16">
      <c r="A206" s="3"/>
      <c r="B206" s="3" t="str">
        <f>TEXT(Tabela223[[#This Row],[DATA]],"mmmm")</f>
        <v>janeiro</v>
      </c>
      <c r="C206" s="2"/>
      <c r="D206" s="2"/>
      <c r="E206" s="2"/>
      <c r="F206" s="2"/>
      <c r="G206" s="173"/>
      <c r="H206" s="174"/>
      <c r="I206" s="173" t="e">
        <f>Tabela22[[#This Row],[PESO TOTAL]]/Tabela22[[#This Row],[QUANTIDADE]]</f>
        <v>#DIV/0!</v>
      </c>
      <c r="J206" s="2"/>
      <c r="K206" s="193"/>
      <c r="L206" s="8"/>
      <c r="M206" s="8"/>
      <c r="N206" s="8"/>
      <c r="O206" s="194"/>
      <c r="P206" s="195"/>
    </row>
    <row r="207" spans="1:16">
      <c r="A207" s="3"/>
      <c r="B207" s="3" t="str">
        <f>TEXT(Tabela223[[#This Row],[DATA]],"mmmm")</f>
        <v>janeiro</v>
      </c>
      <c r="C207" s="2"/>
      <c r="D207" s="2"/>
      <c r="E207" s="2"/>
      <c r="F207" s="2"/>
      <c r="G207" s="173"/>
      <c r="H207" s="174"/>
      <c r="I207" s="173" t="e">
        <f>Tabela22[[#This Row],[PESO TOTAL]]/Tabela22[[#This Row],[QUANTIDADE]]</f>
        <v>#DIV/0!</v>
      </c>
      <c r="J207" s="2"/>
      <c r="K207" s="193"/>
      <c r="L207" s="8"/>
      <c r="M207" s="8"/>
      <c r="N207" s="8"/>
      <c r="O207" s="194"/>
      <c r="P207" s="195"/>
    </row>
    <row r="208" spans="1:16">
      <c r="A208" s="3"/>
      <c r="B208" s="3" t="str">
        <f>TEXT(Tabela223[[#This Row],[DATA]],"mmmm")</f>
        <v>janeiro</v>
      </c>
      <c r="C208" s="2"/>
      <c r="D208" s="2"/>
      <c r="E208" s="2"/>
      <c r="F208" s="2"/>
      <c r="G208" s="173"/>
      <c r="H208" s="174"/>
      <c r="I208" s="173" t="e">
        <f>Tabela22[[#This Row],[PESO TOTAL]]/Tabela22[[#This Row],[QUANTIDADE]]</f>
        <v>#DIV/0!</v>
      </c>
      <c r="J208" s="2"/>
      <c r="K208" s="193"/>
      <c r="L208" s="8"/>
      <c r="M208" s="8"/>
      <c r="N208" s="8"/>
      <c r="O208" s="194"/>
      <c r="P208" s="195"/>
    </row>
    <row r="209" spans="1:16">
      <c r="A209" s="3"/>
      <c r="B209" s="3" t="str">
        <f>TEXT(Tabela223[[#This Row],[DATA]],"mmmm")</f>
        <v>janeiro</v>
      </c>
      <c r="C209" s="2"/>
      <c r="D209" s="2"/>
      <c r="E209" s="2"/>
      <c r="F209" s="2"/>
      <c r="G209" s="173"/>
      <c r="H209" s="174"/>
      <c r="I209" s="173" t="e">
        <f>Tabela22[[#This Row],[PESO TOTAL]]/Tabela22[[#This Row],[QUANTIDADE]]</f>
        <v>#DIV/0!</v>
      </c>
      <c r="J209" s="2"/>
      <c r="K209" s="193"/>
      <c r="L209" s="8"/>
      <c r="M209" s="8"/>
      <c r="N209" s="8"/>
      <c r="O209" s="194"/>
      <c r="P209" s="195"/>
    </row>
    <row r="210" spans="1:16">
      <c r="A210" s="3"/>
      <c r="B210" s="3" t="str">
        <f>TEXT(Tabela223[[#This Row],[DATA]],"mmmm")</f>
        <v>janeiro</v>
      </c>
      <c r="C210" s="2"/>
      <c r="D210" s="2"/>
      <c r="E210" s="2"/>
      <c r="F210" s="2"/>
      <c r="G210" s="173"/>
      <c r="H210" s="174"/>
      <c r="I210" s="173" t="e">
        <f>Tabela22[[#This Row],[PESO TOTAL]]/Tabela22[[#This Row],[QUANTIDADE]]</f>
        <v>#DIV/0!</v>
      </c>
      <c r="J210" s="2"/>
      <c r="K210" s="193"/>
      <c r="L210" s="8"/>
      <c r="M210" s="8"/>
      <c r="N210" s="8"/>
      <c r="O210" s="194"/>
      <c r="P210" s="195"/>
    </row>
    <row r="211" spans="1:16">
      <c r="A211" s="3"/>
      <c r="B211" s="3" t="str">
        <f>TEXT(Tabela223[[#This Row],[DATA]],"mmmm")</f>
        <v>janeiro</v>
      </c>
      <c r="C211" s="2"/>
      <c r="D211" s="2"/>
      <c r="E211" s="2"/>
      <c r="F211" s="2"/>
      <c r="G211" s="173"/>
      <c r="H211" s="174"/>
      <c r="I211" s="173" t="e">
        <f>Tabela22[[#This Row],[PESO TOTAL]]/Tabela22[[#This Row],[QUANTIDADE]]</f>
        <v>#DIV/0!</v>
      </c>
      <c r="J211" s="2"/>
      <c r="K211" s="193"/>
      <c r="L211" s="8"/>
      <c r="M211" s="8"/>
      <c r="N211" s="8"/>
      <c r="O211" s="194"/>
      <c r="P211" s="195"/>
    </row>
    <row r="212" spans="1:16">
      <c r="A212" s="3"/>
      <c r="B212" s="3" t="str">
        <f>TEXT(Tabela223[[#This Row],[DATA]],"mmmm")</f>
        <v>janeiro</v>
      </c>
      <c r="C212" s="2"/>
      <c r="D212" s="2"/>
      <c r="E212" s="2"/>
      <c r="F212" s="2"/>
      <c r="G212" s="173"/>
      <c r="H212" s="174"/>
      <c r="I212" s="173" t="e">
        <f>Tabela22[[#This Row],[PESO TOTAL]]/Tabela22[[#This Row],[QUANTIDADE]]</f>
        <v>#DIV/0!</v>
      </c>
      <c r="J212" s="2"/>
      <c r="K212" s="193"/>
      <c r="L212" s="8"/>
      <c r="M212" s="8"/>
      <c r="N212" s="8"/>
      <c r="O212" s="194"/>
      <c r="P212" s="195"/>
    </row>
    <row r="213" spans="1:16">
      <c r="A213" s="3"/>
      <c r="B213" s="3" t="str">
        <f>TEXT(Tabela223[[#This Row],[DATA]],"mmmm")</f>
        <v>janeiro</v>
      </c>
      <c r="C213" s="2"/>
      <c r="D213" s="2"/>
      <c r="E213" s="2"/>
      <c r="F213" s="2"/>
      <c r="G213" s="173"/>
      <c r="H213" s="174"/>
      <c r="I213" s="173" t="e">
        <f>Tabela22[[#This Row],[PESO TOTAL]]/Tabela22[[#This Row],[QUANTIDADE]]</f>
        <v>#DIV/0!</v>
      </c>
      <c r="J213" s="2"/>
      <c r="K213" s="193"/>
      <c r="L213" s="8"/>
      <c r="M213" s="8"/>
      <c r="N213" s="8"/>
      <c r="O213" s="194"/>
      <c r="P213" s="195"/>
    </row>
    <row r="214" spans="1:16">
      <c r="A214" s="3"/>
      <c r="B214" s="3" t="str">
        <f>TEXT(Tabela223[[#This Row],[DATA]],"mmmm")</f>
        <v>janeiro</v>
      </c>
      <c r="C214" s="2"/>
      <c r="D214" s="2"/>
      <c r="E214" s="2"/>
      <c r="F214" s="2"/>
      <c r="G214" s="173"/>
      <c r="H214" s="174"/>
      <c r="I214" s="173" t="e">
        <f>Tabela22[[#This Row],[PESO TOTAL]]/Tabela22[[#This Row],[QUANTIDADE]]</f>
        <v>#DIV/0!</v>
      </c>
      <c r="J214" s="2"/>
      <c r="K214" s="193"/>
      <c r="L214" s="8"/>
      <c r="M214" s="8"/>
      <c r="N214" s="8"/>
      <c r="O214" s="194"/>
      <c r="P214" s="195"/>
    </row>
    <row r="215" spans="1:16">
      <c r="A215" s="3"/>
      <c r="B215" s="3" t="str">
        <f>TEXT(Tabela223[[#This Row],[DATA]],"mmmm")</f>
        <v>janeiro</v>
      </c>
      <c r="C215" s="2"/>
      <c r="D215" s="2"/>
      <c r="E215" s="2"/>
      <c r="F215" s="2"/>
      <c r="G215" s="173"/>
      <c r="H215" s="174"/>
      <c r="I215" s="173" t="e">
        <f>Tabela22[[#This Row],[PESO TOTAL]]/Tabela22[[#This Row],[QUANTIDADE]]</f>
        <v>#DIV/0!</v>
      </c>
      <c r="J215" s="2"/>
      <c r="K215" s="193"/>
      <c r="L215" s="8"/>
      <c r="M215" s="8"/>
      <c r="N215" s="8"/>
      <c r="O215" s="194"/>
      <c r="P215" s="195"/>
    </row>
    <row r="216" spans="1:16">
      <c r="A216" s="3"/>
      <c r="B216" s="3" t="str">
        <f>TEXT(Tabela223[[#This Row],[DATA]],"mmmm")</f>
        <v>janeiro</v>
      </c>
      <c r="C216" s="2"/>
      <c r="D216" s="2"/>
      <c r="E216" s="2"/>
      <c r="F216" s="2"/>
      <c r="G216" s="173"/>
      <c r="H216" s="174"/>
      <c r="I216" s="173" t="e">
        <f>Tabela22[[#This Row],[PESO TOTAL]]/Tabela22[[#This Row],[QUANTIDADE]]</f>
        <v>#DIV/0!</v>
      </c>
      <c r="J216" s="2"/>
      <c r="K216" s="193"/>
      <c r="L216" s="8"/>
      <c r="M216" s="8"/>
      <c r="N216" s="8"/>
      <c r="O216" s="194"/>
      <c r="P216" s="195"/>
    </row>
    <row r="217" spans="1:16">
      <c r="A217" s="3"/>
      <c r="B217" s="3" t="str">
        <f>TEXT(Tabela223[[#This Row],[DATA]],"mmmm")</f>
        <v>janeiro</v>
      </c>
      <c r="C217" s="2"/>
      <c r="D217" s="2"/>
      <c r="E217" s="2"/>
      <c r="F217" s="2"/>
      <c r="G217" s="173"/>
      <c r="H217" s="174"/>
      <c r="I217" s="173" t="e">
        <f>Tabela22[[#This Row],[PESO TOTAL]]/Tabela22[[#This Row],[QUANTIDADE]]</f>
        <v>#DIV/0!</v>
      </c>
      <c r="J217" s="2"/>
      <c r="K217" s="193"/>
      <c r="L217" s="8"/>
      <c r="M217" s="8"/>
      <c r="N217" s="8"/>
      <c r="O217" s="194"/>
      <c r="P217" s="195"/>
    </row>
    <row r="218" spans="1:16">
      <c r="A218" s="3"/>
      <c r="B218" s="3" t="str">
        <f>TEXT(Tabela223[[#This Row],[DATA]],"mmmm")</f>
        <v>janeiro</v>
      </c>
      <c r="C218" s="2"/>
      <c r="D218" s="2"/>
      <c r="E218" s="2"/>
      <c r="F218" s="2"/>
      <c r="G218" s="173"/>
      <c r="H218" s="174"/>
      <c r="I218" s="173" t="e">
        <f>Tabela22[[#This Row],[PESO TOTAL]]/Tabela22[[#This Row],[QUANTIDADE]]</f>
        <v>#DIV/0!</v>
      </c>
      <c r="J218" s="2"/>
      <c r="K218" s="193"/>
      <c r="L218" s="8"/>
      <c r="M218" s="8"/>
      <c r="N218" s="8"/>
      <c r="O218" s="194"/>
      <c r="P218" s="195"/>
    </row>
    <row r="219" spans="1:16">
      <c r="A219" s="3"/>
      <c r="B219" s="3" t="str">
        <f>TEXT(Tabela223[[#This Row],[DATA]],"mmmm")</f>
        <v>janeiro</v>
      </c>
      <c r="C219" s="2"/>
      <c r="D219" s="2"/>
      <c r="E219" s="2"/>
      <c r="F219" s="2"/>
      <c r="G219" s="173"/>
      <c r="H219" s="174"/>
      <c r="I219" s="173" t="e">
        <f>Tabela22[[#This Row],[PESO TOTAL]]/Tabela22[[#This Row],[QUANTIDADE]]</f>
        <v>#DIV/0!</v>
      </c>
      <c r="J219" s="2"/>
      <c r="K219" s="193"/>
      <c r="L219" s="8"/>
      <c r="M219" s="8"/>
      <c r="N219" s="8"/>
      <c r="O219" s="194"/>
      <c r="P219" s="195"/>
    </row>
    <row r="220" spans="1:16">
      <c r="A220" s="3"/>
      <c r="B220" s="3" t="str">
        <f>TEXT(Tabela223[[#This Row],[DATA]],"mmmm")</f>
        <v>janeiro</v>
      </c>
      <c r="C220" s="2"/>
      <c r="D220" s="2"/>
      <c r="E220" s="2"/>
      <c r="F220" s="2"/>
      <c r="G220" s="173"/>
      <c r="H220" s="174"/>
      <c r="I220" s="173" t="e">
        <f>Tabela22[[#This Row],[PESO TOTAL]]/Tabela22[[#This Row],[QUANTIDADE]]</f>
        <v>#DIV/0!</v>
      </c>
      <c r="J220" s="2"/>
      <c r="K220" s="193"/>
      <c r="L220" s="8"/>
      <c r="M220" s="8"/>
      <c r="N220" s="8"/>
      <c r="O220" s="194"/>
      <c r="P220" s="195"/>
    </row>
    <row r="221" spans="1:16">
      <c r="A221" s="3"/>
      <c r="B221" s="3" t="str">
        <f>TEXT(Tabela223[[#This Row],[DATA]],"mmmm")</f>
        <v>janeiro</v>
      </c>
      <c r="C221" s="2"/>
      <c r="D221" s="2"/>
      <c r="E221" s="2"/>
      <c r="F221" s="2"/>
      <c r="G221" s="173"/>
      <c r="H221" s="174"/>
      <c r="I221" s="173" t="e">
        <f>Tabela22[[#This Row],[PESO TOTAL]]/Tabela22[[#This Row],[QUANTIDADE]]</f>
        <v>#DIV/0!</v>
      </c>
      <c r="J221" s="2"/>
      <c r="K221" s="193"/>
      <c r="L221" s="8"/>
      <c r="M221" s="8"/>
      <c r="N221" s="8"/>
      <c r="O221" s="194"/>
      <c r="P221" s="195"/>
    </row>
    <row r="222" spans="1:16">
      <c r="A222" s="3"/>
      <c r="B222" s="3" t="str">
        <f>TEXT(Tabela223[[#This Row],[DATA]],"mmmm")</f>
        <v>janeiro</v>
      </c>
      <c r="C222" s="2"/>
      <c r="D222" s="2"/>
      <c r="E222" s="2"/>
      <c r="F222" s="2"/>
      <c r="G222" s="173"/>
      <c r="H222" s="174"/>
      <c r="I222" s="173" t="e">
        <f>Tabela22[[#This Row],[PESO TOTAL]]/Tabela22[[#This Row],[QUANTIDADE]]</f>
        <v>#DIV/0!</v>
      </c>
      <c r="J222" s="2"/>
      <c r="K222" s="193"/>
      <c r="L222" s="8"/>
      <c r="M222" s="8"/>
      <c r="N222" s="8"/>
      <c r="O222" s="194"/>
      <c r="P222" s="195"/>
    </row>
    <row r="223" spans="1:16">
      <c r="A223" s="3"/>
      <c r="B223" s="3" t="str">
        <f>TEXT(Tabela223[[#This Row],[DATA]],"mmmm")</f>
        <v>janeiro</v>
      </c>
      <c r="C223" s="2"/>
      <c r="D223" s="2"/>
      <c r="E223" s="2"/>
      <c r="F223" s="2"/>
      <c r="G223" s="173"/>
      <c r="H223" s="174"/>
      <c r="I223" s="173" t="e">
        <f>Tabela22[[#This Row],[PESO TOTAL]]/Tabela22[[#This Row],[QUANTIDADE]]</f>
        <v>#DIV/0!</v>
      </c>
      <c r="J223" s="2"/>
      <c r="K223" s="193"/>
      <c r="L223" s="8"/>
      <c r="M223" s="8"/>
      <c r="N223" s="8"/>
      <c r="O223" s="194"/>
      <c r="P223" s="195"/>
    </row>
    <row r="224" spans="1:16">
      <c r="A224" s="3"/>
      <c r="B224" s="3" t="str">
        <f>TEXT(Tabela223[[#This Row],[DATA]],"mmmm")</f>
        <v>janeiro</v>
      </c>
      <c r="C224" s="2"/>
      <c r="D224" s="2"/>
      <c r="E224" s="2"/>
      <c r="F224" s="2"/>
      <c r="G224" s="173"/>
      <c r="H224" s="174"/>
      <c r="I224" s="173" t="e">
        <f>Tabela22[[#This Row],[PESO TOTAL]]/Tabela22[[#This Row],[QUANTIDADE]]</f>
        <v>#DIV/0!</v>
      </c>
      <c r="J224" s="2"/>
      <c r="K224" s="193"/>
      <c r="L224" s="8"/>
      <c r="M224" s="8"/>
      <c r="N224" s="8"/>
      <c r="O224" s="194"/>
      <c r="P224" s="195"/>
    </row>
    <row r="225" spans="1:16">
      <c r="A225" s="3"/>
      <c r="B225" s="3" t="str">
        <f>TEXT(Tabela223[[#This Row],[DATA]],"mmmm")</f>
        <v>janeiro</v>
      </c>
      <c r="C225" s="2"/>
      <c r="D225" s="2"/>
      <c r="E225" s="2"/>
      <c r="F225" s="2"/>
      <c r="G225" s="173"/>
      <c r="H225" s="174"/>
      <c r="I225" s="173" t="e">
        <f>Tabela22[[#This Row],[PESO TOTAL]]/Tabela22[[#This Row],[QUANTIDADE]]</f>
        <v>#DIV/0!</v>
      </c>
      <c r="J225" s="2"/>
      <c r="K225" s="193"/>
      <c r="L225" s="8"/>
      <c r="M225" s="8"/>
      <c r="N225" s="8"/>
      <c r="O225" s="194"/>
      <c r="P225" s="195"/>
    </row>
    <row r="226" spans="1:16">
      <c r="A226" s="3"/>
      <c r="B226" s="3" t="str">
        <f>TEXT(Tabela223[[#This Row],[DATA]],"mmmm")</f>
        <v>janeiro</v>
      </c>
      <c r="C226" s="2"/>
      <c r="D226" s="2"/>
      <c r="E226" s="2"/>
      <c r="F226" s="2"/>
      <c r="G226" s="173"/>
      <c r="H226" s="174"/>
      <c r="I226" s="173" t="e">
        <f>Tabela22[[#This Row],[PESO TOTAL]]/Tabela22[[#This Row],[QUANTIDADE]]</f>
        <v>#DIV/0!</v>
      </c>
      <c r="J226" s="2"/>
      <c r="K226" s="193"/>
      <c r="L226" s="8"/>
      <c r="M226" s="8"/>
      <c r="N226" s="8"/>
      <c r="O226" s="194"/>
      <c r="P226" s="195"/>
    </row>
    <row r="227" spans="1:16">
      <c r="A227" s="3"/>
      <c r="B227" s="3" t="str">
        <f>TEXT(Tabela223[[#This Row],[DATA]],"mmmm")</f>
        <v>janeiro</v>
      </c>
      <c r="C227" s="2"/>
      <c r="D227" s="2"/>
      <c r="E227" s="2"/>
      <c r="F227" s="2"/>
      <c r="G227" s="173"/>
      <c r="H227" s="174"/>
      <c r="I227" s="173" t="e">
        <f>Tabela22[[#This Row],[PESO TOTAL]]/Tabela22[[#This Row],[QUANTIDADE]]</f>
        <v>#DIV/0!</v>
      </c>
      <c r="J227" s="2"/>
      <c r="K227" s="193"/>
      <c r="L227" s="8"/>
      <c r="M227" s="8"/>
      <c r="N227" s="8"/>
      <c r="O227" s="194"/>
      <c r="P227" s="195"/>
    </row>
    <row r="228" spans="1:16">
      <c r="A228" s="3"/>
      <c r="B228" s="3" t="str">
        <f>TEXT(Tabela223[[#This Row],[DATA]],"mmmm")</f>
        <v>janeiro</v>
      </c>
      <c r="C228" s="2"/>
      <c r="D228" s="2"/>
      <c r="E228" s="2"/>
      <c r="F228" s="2"/>
      <c r="G228" s="173"/>
      <c r="H228" s="174"/>
      <c r="I228" s="173" t="e">
        <f>Tabela22[[#This Row],[PESO TOTAL]]/Tabela22[[#This Row],[QUANTIDADE]]</f>
        <v>#DIV/0!</v>
      </c>
      <c r="J228" s="2"/>
      <c r="K228" s="193"/>
      <c r="L228" s="8"/>
      <c r="M228" s="8"/>
      <c r="N228" s="8"/>
      <c r="O228" s="194"/>
      <c r="P228" s="195"/>
    </row>
    <row r="229" spans="1:16">
      <c r="A229" s="3"/>
      <c r="B229" s="3" t="str">
        <f>TEXT(Tabela223[[#This Row],[DATA]],"mmmm")</f>
        <v>janeiro</v>
      </c>
      <c r="C229" s="2"/>
      <c r="D229" s="2"/>
      <c r="E229" s="2"/>
      <c r="F229" s="2"/>
      <c r="G229" s="173"/>
      <c r="H229" s="174"/>
      <c r="I229" s="173" t="e">
        <f>Tabela22[[#This Row],[PESO TOTAL]]/Tabela22[[#This Row],[QUANTIDADE]]</f>
        <v>#DIV/0!</v>
      </c>
      <c r="J229" s="2"/>
      <c r="K229" s="193"/>
      <c r="L229" s="8"/>
      <c r="M229" s="8"/>
      <c r="N229" s="8"/>
      <c r="O229" s="194"/>
      <c r="P229" s="195"/>
    </row>
    <row r="230" spans="1:16">
      <c r="A230" s="3"/>
      <c r="B230" s="3" t="str">
        <f>TEXT(Tabela223[[#This Row],[DATA]],"mmmm")</f>
        <v>janeiro</v>
      </c>
      <c r="C230" s="2"/>
      <c r="D230" s="2"/>
      <c r="E230" s="2"/>
      <c r="F230" s="2"/>
      <c r="G230" s="173"/>
      <c r="H230" s="174"/>
      <c r="I230" s="173" t="e">
        <f>Tabela22[[#This Row],[PESO TOTAL]]/Tabela22[[#This Row],[QUANTIDADE]]</f>
        <v>#DIV/0!</v>
      </c>
      <c r="J230" s="2"/>
      <c r="K230" s="193"/>
      <c r="L230" s="8"/>
      <c r="M230" s="8"/>
      <c r="N230" s="8"/>
      <c r="O230" s="194"/>
      <c r="P230" s="195"/>
    </row>
    <row r="231" spans="1:16">
      <c r="A231" s="3"/>
      <c r="B231" s="3" t="str">
        <f>TEXT(Tabela223[[#This Row],[DATA]],"mmmm")</f>
        <v>janeiro</v>
      </c>
      <c r="C231" s="2"/>
      <c r="D231" s="2"/>
      <c r="E231" s="2"/>
      <c r="F231" s="2"/>
      <c r="G231" s="173"/>
      <c r="H231" s="174"/>
      <c r="I231" s="173" t="e">
        <f>Tabela22[[#This Row],[PESO TOTAL]]/Tabela22[[#This Row],[QUANTIDADE]]</f>
        <v>#DIV/0!</v>
      </c>
      <c r="J231" s="2"/>
      <c r="K231" s="193"/>
      <c r="L231" s="8"/>
      <c r="M231" s="8"/>
      <c r="N231" s="8"/>
      <c r="O231" s="194"/>
      <c r="P231" s="195"/>
    </row>
    <row r="232" spans="1:16">
      <c r="A232" s="3"/>
      <c r="B232" s="3" t="str">
        <f>TEXT(Tabela223[[#This Row],[DATA]],"mmmm")</f>
        <v>janeiro</v>
      </c>
      <c r="C232" s="2"/>
      <c r="D232" s="2"/>
      <c r="E232" s="2"/>
      <c r="F232" s="2"/>
      <c r="G232" s="173"/>
      <c r="H232" s="174"/>
      <c r="I232" s="173" t="e">
        <f>Tabela22[[#This Row],[PESO TOTAL]]/Tabela22[[#This Row],[QUANTIDADE]]</f>
        <v>#DIV/0!</v>
      </c>
      <c r="J232" s="2"/>
      <c r="K232" s="193"/>
      <c r="L232" s="8"/>
      <c r="M232" s="8"/>
      <c r="N232" s="8"/>
      <c r="O232" s="194"/>
      <c r="P232" s="195"/>
    </row>
    <row r="233" spans="1:16">
      <c r="A233" s="3"/>
      <c r="B233" s="3" t="str">
        <f>TEXT(Tabela223[[#This Row],[DATA]],"mmmm")</f>
        <v>janeiro</v>
      </c>
      <c r="C233" s="2"/>
      <c r="D233" s="2"/>
      <c r="E233" s="2"/>
      <c r="F233" s="2"/>
      <c r="G233" s="173"/>
      <c r="H233" s="174"/>
      <c r="I233" s="173" t="e">
        <f>Tabela22[[#This Row],[PESO TOTAL]]/Tabela22[[#This Row],[QUANTIDADE]]</f>
        <v>#DIV/0!</v>
      </c>
      <c r="J233" s="2"/>
      <c r="K233" s="193"/>
      <c r="L233" s="8"/>
      <c r="M233" s="8"/>
      <c r="N233" s="8"/>
      <c r="O233" s="194"/>
      <c r="P233" s="195"/>
    </row>
    <row r="234" spans="1:16">
      <c r="A234" s="3"/>
      <c r="B234" s="3" t="str">
        <f>TEXT(Tabela223[[#This Row],[DATA]],"mmmm")</f>
        <v>janeiro</v>
      </c>
      <c r="C234" s="2"/>
      <c r="D234" s="2"/>
      <c r="E234" s="2"/>
      <c r="F234" s="2"/>
      <c r="G234" s="173"/>
      <c r="H234" s="174"/>
      <c r="I234" s="173" t="e">
        <f>Tabela22[[#This Row],[PESO TOTAL]]/Tabela22[[#This Row],[QUANTIDADE]]</f>
        <v>#DIV/0!</v>
      </c>
      <c r="J234" s="2"/>
      <c r="K234" s="193"/>
      <c r="L234" s="8"/>
      <c r="M234" s="8"/>
      <c r="N234" s="8"/>
      <c r="O234" s="194"/>
      <c r="P234" s="195"/>
    </row>
    <row r="235" spans="1:16">
      <c r="A235" s="3"/>
      <c r="B235" s="3" t="str">
        <f>TEXT(Tabela223[[#This Row],[DATA]],"mmmm")</f>
        <v>janeiro</v>
      </c>
      <c r="C235" s="2"/>
      <c r="D235" s="2"/>
      <c r="E235" s="2"/>
      <c r="F235" s="2"/>
      <c r="G235" s="173"/>
      <c r="H235" s="174"/>
      <c r="I235" s="173" t="e">
        <f>Tabela22[[#This Row],[PESO TOTAL]]/Tabela22[[#This Row],[QUANTIDADE]]</f>
        <v>#DIV/0!</v>
      </c>
      <c r="J235" s="2"/>
      <c r="K235" s="193"/>
      <c r="L235" s="8"/>
      <c r="M235" s="8"/>
      <c r="N235" s="8"/>
      <c r="O235" s="194"/>
      <c r="P235" s="195"/>
    </row>
    <row r="236" spans="1:16">
      <c r="A236" s="3"/>
      <c r="B236" s="3" t="str">
        <f>TEXT(Tabela223[[#This Row],[DATA]],"mmmm")</f>
        <v>janeiro</v>
      </c>
      <c r="C236" s="2"/>
      <c r="D236" s="2"/>
      <c r="E236" s="2"/>
      <c r="F236" s="2"/>
      <c r="G236" s="173"/>
      <c r="H236" s="174"/>
      <c r="I236" s="173" t="e">
        <f>Tabela22[[#This Row],[PESO TOTAL]]/Tabela22[[#This Row],[QUANTIDADE]]</f>
        <v>#DIV/0!</v>
      </c>
      <c r="J236" s="2"/>
      <c r="K236" s="193"/>
      <c r="L236" s="8"/>
      <c r="M236" s="8"/>
      <c r="N236" s="8"/>
      <c r="O236" s="194"/>
      <c r="P236" s="195"/>
    </row>
    <row r="237" spans="1:16">
      <c r="A237" s="3"/>
      <c r="B237" s="3" t="str">
        <f>TEXT(Tabela223[[#This Row],[DATA]],"mmmm")</f>
        <v>janeiro</v>
      </c>
      <c r="C237" s="2"/>
      <c r="D237" s="2"/>
      <c r="E237" s="2"/>
      <c r="F237" s="2"/>
      <c r="G237" s="173"/>
      <c r="H237" s="174"/>
      <c r="I237" s="173" t="e">
        <f>Tabela22[[#This Row],[PESO TOTAL]]/Tabela22[[#This Row],[QUANTIDADE]]</f>
        <v>#DIV/0!</v>
      </c>
      <c r="J237" s="2"/>
      <c r="K237" s="193"/>
      <c r="L237" s="8"/>
      <c r="M237" s="8"/>
      <c r="N237" s="8"/>
      <c r="O237" s="194"/>
      <c r="P237" s="195"/>
    </row>
    <row r="238" spans="1:16">
      <c r="A238" s="3"/>
      <c r="B238" s="3" t="str">
        <f>TEXT(Tabela223[[#This Row],[DATA]],"mmmm")</f>
        <v>janeiro</v>
      </c>
      <c r="C238" s="2"/>
      <c r="D238" s="2"/>
      <c r="E238" s="2"/>
      <c r="F238" s="2"/>
      <c r="G238" s="173"/>
      <c r="H238" s="174"/>
      <c r="I238" s="173" t="e">
        <f>Tabela22[[#This Row],[PESO TOTAL]]/Tabela22[[#This Row],[QUANTIDADE]]</f>
        <v>#DIV/0!</v>
      </c>
      <c r="J238" s="2"/>
      <c r="K238" s="193"/>
      <c r="L238" s="8"/>
      <c r="M238" s="8"/>
      <c r="N238" s="8"/>
      <c r="O238" s="194"/>
      <c r="P238" s="195"/>
    </row>
    <row r="239" spans="1:16">
      <c r="A239" s="3"/>
      <c r="B239" s="3" t="str">
        <f>TEXT(Tabela223[[#This Row],[DATA]],"mmmm")</f>
        <v>janeiro</v>
      </c>
      <c r="C239" s="2"/>
      <c r="D239" s="2"/>
      <c r="E239" s="2"/>
      <c r="F239" s="2"/>
      <c r="G239" s="173"/>
      <c r="H239" s="174"/>
      <c r="I239" s="173" t="e">
        <f>Tabela22[[#This Row],[PESO TOTAL]]/Tabela22[[#This Row],[QUANTIDADE]]</f>
        <v>#DIV/0!</v>
      </c>
      <c r="J239" s="2"/>
      <c r="K239" s="193"/>
      <c r="L239" s="8"/>
      <c r="M239" s="8"/>
      <c r="N239" s="8"/>
      <c r="O239" s="194"/>
      <c r="P239" s="195"/>
    </row>
    <row r="240" spans="1:16">
      <c r="A240" s="3"/>
      <c r="B240" s="3" t="str">
        <f>TEXT(Tabela223[[#This Row],[DATA]],"mmmm")</f>
        <v>janeiro</v>
      </c>
      <c r="C240" s="2"/>
      <c r="D240" s="2"/>
      <c r="E240" s="2"/>
      <c r="F240" s="2"/>
      <c r="G240" s="173"/>
      <c r="H240" s="174"/>
      <c r="I240" s="173" t="e">
        <f>Tabela22[[#This Row],[PESO TOTAL]]/Tabela22[[#This Row],[QUANTIDADE]]</f>
        <v>#DIV/0!</v>
      </c>
      <c r="J240" s="2"/>
      <c r="K240" s="193"/>
      <c r="L240" s="8"/>
      <c r="M240" s="8"/>
      <c r="N240" s="8"/>
      <c r="O240" s="194"/>
      <c r="P240" s="195"/>
    </row>
    <row r="241" spans="1:16">
      <c r="A241" s="3"/>
      <c r="B241" s="3" t="str">
        <f>TEXT(Tabela223[[#This Row],[DATA]],"mmmm")</f>
        <v>janeiro</v>
      </c>
      <c r="C241" s="2"/>
      <c r="D241" s="2"/>
      <c r="E241" s="2"/>
      <c r="F241" s="2"/>
      <c r="G241" s="173"/>
      <c r="H241" s="174"/>
      <c r="I241" s="173" t="e">
        <f>Tabela22[[#This Row],[PESO TOTAL]]/Tabela22[[#This Row],[QUANTIDADE]]</f>
        <v>#DIV/0!</v>
      </c>
      <c r="J241" s="2"/>
      <c r="K241" s="193"/>
      <c r="L241" s="8"/>
      <c r="M241" s="8"/>
      <c r="N241" s="8"/>
      <c r="O241" s="194"/>
      <c r="P241" s="195"/>
    </row>
    <row r="242" spans="1:16">
      <c r="A242" s="3"/>
      <c r="B242" s="3" t="str">
        <f>TEXT(Tabela223[[#This Row],[DATA]],"mmmm")</f>
        <v>janeiro</v>
      </c>
      <c r="C242" s="2"/>
      <c r="D242" s="2"/>
      <c r="E242" s="2"/>
      <c r="F242" s="2"/>
      <c r="G242" s="173"/>
      <c r="H242" s="174"/>
      <c r="I242" s="173" t="e">
        <f>Tabela22[[#This Row],[PESO TOTAL]]/Tabela22[[#This Row],[QUANTIDADE]]</f>
        <v>#DIV/0!</v>
      </c>
      <c r="J242" s="2"/>
      <c r="K242" s="193"/>
      <c r="L242" s="8"/>
      <c r="M242" s="8"/>
      <c r="N242" s="8"/>
      <c r="O242" s="194"/>
      <c r="P242" s="195"/>
    </row>
    <row r="243" spans="1:16">
      <c r="A243" s="3"/>
      <c r="B243" s="3" t="str">
        <f>TEXT(Tabela223[[#This Row],[DATA]],"mmmm")</f>
        <v>janeiro</v>
      </c>
      <c r="C243" s="2"/>
      <c r="D243" s="2"/>
      <c r="E243" s="2"/>
      <c r="F243" s="2"/>
      <c r="G243" s="173"/>
      <c r="H243" s="174"/>
      <c r="I243" s="173" t="e">
        <f>Tabela22[[#This Row],[PESO TOTAL]]/Tabela22[[#This Row],[QUANTIDADE]]</f>
        <v>#DIV/0!</v>
      </c>
      <c r="J243" s="2"/>
      <c r="K243" s="193"/>
      <c r="L243" s="8"/>
      <c r="M243" s="8"/>
      <c r="N243" s="8"/>
      <c r="O243" s="194"/>
      <c r="P243" s="195"/>
    </row>
    <row r="244" spans="1:16">
      <c r="A244" s="3"/>
      <c r="B244" s="3" t="str">
        <f>TEXT(Tabela223[[#This Row],[DATA]],"mmmm")</f>
        <v>janeiro</v>
      </c>
      <c r="C244" s="2"/>
      <c r="D244" s="2"/>
      <c r="E244" s="2"/>
      <c r="F244" s="2"/>
      <c r="G244" s="173"/>
      <c r="H244" s="174"/>
      <c r="I244" s="173" t="e">
        <f>Tabela22[[#This Row],[PESO TOTAL]]/Tabela22[[#This Row],[QUANTIDADE]]</f>
        <v>#DIV/0!</v>
      </c>
      <c r="J244" s="2"/>
      <c r="K244" s="193"/>
      <c r="L244" s="8"/>
      <c r="M244" s="8"/>
      <c r="N244" s="8"/>
      <c r="O244" s="194"/>
      <c r="P244" s="195"/>
    </row>
    <row r="245" spans="1:16">
      <c r="A245" s="3"/>
      <c r="B245" s="3" t="str">
        <f>TEXT(Tabela223[[#This Row],[DATA]],"mmmm")</f>
        <v>janeiro</v>
      </c>
      <c r="C245" s="2"/>
      <c r="D245" s="2"/>
      <c r="E245" s="2"/>
      <c r="F245" s="2"/>
      <c r="G245" s="173"/>
      <c r="H245" s="174"/>
      <c r="I245" s="173" t="e">
        <f>Tabela22[[#This Row],[PESO TOTAL]]/Tabela22[[#This Row],[QUANTIDADE]]</f>
        <v>#DIV/0!</v>
      </c>
      <c r="J245" s="2"/>
      <c r="K245" s="193"/>
      <c r="L245" s="8"/>
      <c r="M245" s="8"/>
      <c r="N245" s="8"/>
      <c r="O245" s="194"/>
      <c r="P245" s="195"/>
    </row>
    <row r="246" spans="1:16">
      <c r="A246" s="3"/>
      <c r="B246" s="3" t="str">
        <f>TEXT(Tabela223[[#This Row],[DATA]],"mmmm")</f>
        <v>janeiro</v>
      </c>
      <c r="C246" s="2"/>
      <c r="D246" s="2"/>
      <c r="E246" s="2"/>
      <c r="F246" s="2"/>
      <c r="G246" s="173"/>
      <c r="H246" s="174"/>
      <c r="I246" s="173" t="e">
        <f>Tabela22[[#This Row],[PESO TOTAL]]/Tabela22[[#This Row],[QUANTIDADE]]</f>
        <v>#DIV/0!</v>
      </c>
      <c r="J246" s="2"/>
      <c r="K246" s="193"/>
      <c r="L246" s="8"/>
      <c r="M246" s="8"/>
      <c r="N246" s="8"/>
      <c r="O246" s="194"/>
      <c r="P246" s="195"/>
    </row>
    <row r="247" spans="1:16">
      <c r="A247" s="3"/>
      <c r="B247" s="3" t="str">
        <f>TEXT(Tabela223[[#This Row],[DATA]],"mmmm")</f>
        <v>janeiro</v>
      </c>
      <c r="C247" s="2"/>
      <c r="D247" s="2"/>
      <c r="E247" s="2"/>
      <c r="F247" s="2"/>
      <c r="G247" s="173"/>
      <c r="H247" s="174"/>
      <c r="I247" s="173" t="e">
        <f>Tabela22[[#This Row],[PESO TOTAL]]/Tabela22[[#This Row],[QUANTIDADE]]</f>
        <v>#DIV/0!</v>
      </c>
      <c r="J247" s="2"/>
      <c r="K247" s="193"/>
      <c r="L247" s="8"/>
      <c r="M247" s="8"/>
      <c r="N247" s="8"/>
      <c r="O247" s="194"/>
      <c r="P247" s="195"/>
    </row>
    <row r="248" spans="1:16">
      <c r="A248" s="3"/>
      <c r="B248" s="3" t="str">
        <f>TEXT(Tabela223[[#This Row],[DATA]],"mmmm")</f>
        <v>janeiro</v>
      </c>
      <c r="C248" s="2"/>
      <c r="D248" s="2"/>
      <c r="E248" s="2"/>
      <c r="F248" s="2"/>
      <c r="G248" s="173"/>
      <c r="H248" s="174"/>
      <c r="I248" s="173" t="e">
        <f>Tabela22[[#This Row],[PESO TOTAL]]/Tabela22[[#This Row],[QUANTIDADE]]</f>
        <v>#DIV/0!</v>
      </c>
      <c r="J248" s="2"/>
      <c r="K248" s="193"/>
      <c r="L248" s="8"/>
      <c r="M248" s="8"/>
      <c r="N248" s="8"/>
      <c r="O248" s="194"/>
      <c r="P248" s="195"/>
    </row>
    <row r="249" spans="1:16">
      <c r="A249" s="3"/>
      <c r="B249" s="3" t="str">
        <f>TEXT(Tabela223[[#This Row],[DATA]],"mmmm")</f>
        <v>janeiro</v>
      </c>
      <c r="C249" s="2"/>
      <c r="D249" s="2"/>
      <c r="E249" s="2"/>
      <c r="F249" s="2"/>
      <c r="G249" s="173"/>
      <c r="H249" s="174"/>
      <c r="I249" s="173" t="e">
        <f>Tabela22[[#This Row],[PESO TOTAL]]/Tabela22[[#This Row],[QUANTIDADE]]</f>
        <v>#DIV/0!</v>
      </c>
      <c r="J249" s="2"/>
      <c r="K249" s="193"/>
      <c r="L249" s="8"/>
      <c r="M249" s="8"/>
      <c r="N249" s="8"/>
      <c r="O249" s="194"/>
      <c r="P249" s="195"/>
    </row>
    <row r="250" spans="1:16">
      <c r="A250" s="3"/>
      <c r="B250" s="3" t="str">
        <f>TEXT(Tabela223[[#This Row],[DATA]],"mmmm")</f>
        <v>janeiro</v>
      </c>
      <c r="C250" s="2"/>
      <c r="D250" s="2"/>
      <c r="E250" s="2"/>
      <c r="F250" s="2"/>
      <c r="G250" s="173"/>
      <c r="H250" s="174"/>
      <c r="I250" s="173" t="e">
        <f>Tabela22[[#This Row],[PESO TOTAL]]/Tabela22[[#This Row],[QUANTIDADE]]</f>
        <v>#DIV/0!</v>
      </c>
      <c r="J250" s="2"/>
      <c r="K250" s="193"/>
      <c r="L250" s="8"/>
      <c r="M250" s="8"/>
      <c r="N250" s="8"/>
      <c r="O250" s="194"/>
      <c r="P250" s="195"/>
    </row>
    <row r="251" spans="1:16">
      <c r="A251" s="3"/>
      <c r="B251" s="3" t="str">
        <f>TEXT(Tabela223[[#This Row],[DATA]],"mmmm")</f>
        <v>janeiro</v>
      </c>
      <c r="C251" s="2"/>
      <c r="D251" s="2"/>
      <c r="E251" s="2"/>
      <c r="F251" s="2"/>
      <c r="G251" s="173"/>
      <c r="H251" s="174"/>
      <c r="I251" s="173" t="e">
        <f>Tabela22[[#This Row],[PESO TOTAL]]/Tabela22[[#This Row],[QUANTIDADE]]</f>
        <v>#DIV/0!</v>
      </c>
      <c r="J251" s="2"/>
      <c r="K251" s="193"/>
      <c r="L251" s="8"/>
      <c r="M251" s="8"/>
      <c r="N251" s="8"/>
      <c r="O251" s="194"/>
      <c r="P251" s="195"/>
    </row>
    <row r="252" spans="1:16">
      <c r="A252" s="3"/>
      <c r="B252" s="3" t="str">
        <f>TEXT(Tabela223[[#This Row],[DATA]],"mmmm")</f>
        <v>janeiro</v>
      </c>
      <c r="C252" s="2"/>
      <c r="D252" s="2"/>
      <c r="E252" s="2"/>
      <c r="F252" s="2"/>
      <c r="G252" s="173"/>
      <c r="H252" s="174"/>
      <c r="I252" s="173" t="e">
        <f>Tabela22[[#This Row],[PESO TOTAL]]/Tabela22[[#This Row],[QUANTIDADE]]</f>
        <v>#DIV/0!</v>
      </c>
      <c r="J252" s="2"/>
      <c r="K252" s="193"/>
      <c r="L252" s="8"/>
      <c r="M252" s="8"/>
      <c r="N252" s="8"/>
      <c r="O252" s="194"/>
      <c r="P252" s="195"/>
    </row>
    <row r="253" spans="1:16">
      <c r="A253" s="3"/>
      <c r="B253" s="3" t="str">
        <f>TEXT(Tabela223[[#This Row],[DATA]],"mmmm")</f>
        <v>janeiro</v>
      </c>
      <c r="C253" s="2"/>
      <c r="D253" s="2"/>
      <c r="E253" s="2"/>
      <c r="F253" s="2"/>
      <c r="G253" s="173"/>
      <c r="H253" s="174"/>
      <c r="I253" s="173" t="e">
        <f>Tabela22[[#This Row],[PESO TOTAL]]/Tabela22[[#This Row],[QUANTIDADE]]</f>
        <v>#DIV/0!</v>
      </c>
      <c r="J253" s="2"/>
      <c r="K253" s="193"/>
      <c r="L253" s="8"/>
      <c r="M253" s="8"/>
      <c r="N253" s="8"/>
      <c r="O253" s="194"/>
      <c r="P253" s="195"/>
    </row>
    <row r="254" spans="1:16">
      <c r="A254" s="3"/>
      <c r="B254" s="3" t="str">
        <f>TEXT(Tabela223[[#This Row],[DATA]],"mmmm")</f>
        <v>janeiro</v>
      </c>
      <c r="C254" s="2"/>
      <c r="D254" s="2"/>
      <c r="E254" s="2"/>
      <c r="F254" s="2"/>
      <c r="G254" s="173"/>
      <c r="H254" s="174"/>
      <c r="I254" s="173" t="e">
        <f>Tabela22[[#This Row],[PESO TOTAL]]/Tabela22[[#This Row],[QUANTIDADE]]</f>
        <v>#DIV/0!</v>
      </c>
      <c r="J254" s="2"/>
      <c r="K254" s="193"/>
      <c r="L254" s="8"/>
      <c r="M254" s="8"/>
      <c r="N254" s="8"/>
      <c r="O254" s="194"/>
      <c r="P254" s="195"/>
    </row>
    <row r="255" spans="1:16">
      <c r="A255" s="3"/>
      <c r="B255" s="3" t="str">
        <f>TEXT(Tabela223[[#This Row],[DATA]],"mmmm")</f>
        <v>janeiro</v>
      </c>
      <c r="C255" s="2"/>
      <c r="D255" s="2"/>
      <c r="E255" s="2"/>
      <c r="F255" s="2"/>
      <c r="G255" s="173"/>
      <c r="H255" s="174"/>
      <c r="I255" s="173" t="e">
        <f>Tabela22[[#This Row],[PESO TOTAL]]/Tabela22[[#This Row],[QUANTIDADE]]</f>
        <v>#DIV/0!</v>
      </c>
      <c r="J255" s="2"/>
      <c r="K255" s="193"/>
      <c r="L255" s="8"/>
      <c r="M255" s="8"/>
      <c r="N255" s="8"/>
      <c r="O255" s="194"/>
      <c r="P255" s="195"/>
    </row>
    <row r="256" spans="1:16">
      <c r="A256" s="3"/>
      <c r="B256" s="3" t="str">
        <f>TEXT(Tabela223[[#This Row],[DATA]],"mmmm")</f>
        <v>janeiro</v>
      </c>
      <c r="C256" s="2"/>
      <c r="D256" s="2"/>
      <c r="E256" s="2"/>
      <c r="F256" s="2"/>
      <c r="G256" s="173"/>
      <c r="H256" s="174"/>
      <c r="I256" s="173" t="e">
        <f>Tabela22[[#This Row],[PESO TOTAL]]/Tabela22[[#This Row],[QUANTIDADE]]</f>
        <v>#DIV/0!</v>
      </c>
      <c r="J256" s="2"/>
      <c r="K256" s="193"/>
      <c r="L256" s="8"/>
      <c r="M256" s="8"/>
      <c r="N256" s="8"/>
      <c r="O256" s="194"/>
      <c r="P256" s="195"/>
    </row>
    <row r="257" spans="1:16">
      <c r="A257" s="3"/>
      <c r="B257" s="3" t="str">
        <f>TEXT(Tabela223[[#This Row],[DATA]],"mmmm")</f>
        <v>janeiro</v>
      </c>
      <c r="C257" s="2"/>
      <c r="D257" s="2"/>
      <c r="E257" s="2"/>
      <c r="F257" s="2"/>
      <c r="G257" s="173"/>
      <c r="H257" s="174"/>
      <c r="I257" s="173" t="e">
        <f>Tabela22[[#This Row],[PESO TOTAL]]/Tabela22[[#This Row],[QUANTIDADE]]</f>
        <v>#DIV/0!</v>
      </c>
      <c r="J257" s="2"/>
      <c r="K257" s="193"/>
      <c r="L257" s="8"/>
      <c r="M257" s="8"/>
      <c r="N257" s="8"/>
      <c r="O257" s="194"/>
      <c r="P257" s="195"/>
    </row>
    <row r="258" spans="1:16">
      <c r="A258" s="3"/>
      <c r="B258" s="3" t="str">
        <f>TEXT(Tabela223[[#This Row],[DATA]],"mmmm")</f>
        <v>janeiro</v>
      </c>
      <c r="C258" s="2"/>
      <c r="D258" s="2"/>
      <c r="E258" s="2"/>
      <c r="F258" s="2"/>
      <c r="G258" s="173"/>
      <c r="H258" s="174"/>
      <c r="I258" s="173" t="e">
        <f>Tabela22[[#This Row],[PESO TOTAL]]/Tabela22[[#This Row],[QUANTIDADE]]</f>
        <v>#DIV/0!</v>
      </c>
      <c r="J258" s="2"/>
      <c r="K258" s="193"/>
      <c r="L258" s="8"/>
      <c r="M258" s="8"/>
      <c r="N258" s="8"/>
      <c r="O258" s="194"/>
      <c r="P258" s="195"/>
    </row>
    <row r="259" spans="1:16">
      <c r="A259" s="3"/>
      <c r="B259" s="3" t="str">
        <f>TEXT(Tabela223[[#This Row],[DATA]],"mmmm")</f>
        <v>janeiro</v>
      </c>
      <c r="C259" s="2"/>
      <c r="D259" s="2"/>
      <c r="E259" s="2"/>
      <c r="F259" s="2"/>
      <c r="G259" s="173"/>
      <c r="H259" s="174"/>
      <c r="I259" s="173" t="e">
        <f>Tabela22[[#This Row],[PESO TOTAL]]/Tabela22[[#This Row],[QUANTIDADE]]</f>
        <v>#DIV/0!</v>
      </c>
      <c r="J259" s="2"/>
      <c r="K259" s="193"/>
      <c r="L259" s="8"/>
      <c r="M259" s="8"/>
      <c r="N259" s="8"/>
      <c r="O259" s="194"/>
      <c r="P259" s="195"/>
    </row>
    <row r="260" spans="1:16">
      <c r="A260" s="3"/>
      <c r="B260" s="3" t="str">
        <f>TEXT(Tabela223[[#This Row],[DATA]],"mmmm")</f>
        <v>janeiro</v>
      </c>
      <c r="C260" s="2"/>
      <c r="D260" s="2"/>
      <c r="E260" s="2"/>
      <c r="F260" s="2"/>
      <c r="G260" s="173"/>
      <c r="H260" s="174"/>
      <c r="I260" s="173" t="e">
        <f>Tabela22[[#This Row],[PESO TOTAL]]/Tabela22[[#This Row],[QUANTIDADE]]</f>
        <v>#DIV/0!</v>
      </c>
      <c r="J260" s="2"/>
      <c r="K260" s="193"/>
      <c r="L260" s="8"/>
      <c r="M260" s="8"/>
      <c r="N260" s="8"/>
      <c r="O260" s="194"/>
      <c r="P260" s="195"/>
    </row>
    <row r="261" spans="1:16">
      <c r="A261" s="3"/>
      <c r="B261" s="3" t="str">
        <f>TEXT(Tabela223[[#This Row],[DATA]],"mmmm")</f>
        <v>janeiro</v>
      </c>
      <c r="C261" s="2"/>
      <c r="D261" s="2"/>
      <c r="E261" s="2"/>
      <c r="F261" s="2"/>
      <c r="G261" s="173"/>
      <c r="H261" s="174"/>
      <c r="I261" s="173" t="e">
        <f>Tabela22[[#This Row],[PESO TOTAL]]/Tabela22[[#This Row],[QUANTIDADE]]</f>
        <v>#DIV/0!</v>
      </c>
      <c r="J261" s="2"/>
      <c r="K261" s="193"/>
      <c r="L261" s="8"/>
      <c r="M261" s="8"/>
      <c r="N261" s="8"/>
      <c r="O261" s="194"/>
      <c r="P261" s="195"/>
    </row>
    <row r="262" spans="1:16">
      <c r="A262" s="3"/>
      <c r="B262" s="3" t="str">
        <f>TEXT(Tabela223[[#This Row],[DATA]],"mmmm")</f>
        <v>janeiro</v>
      </c>
      <c r="C262" s="2"/>
      <c r="D262" s="2"/>
      <c r="E262" s="2"/>
      <c r="F262" s="2"/>
      <c r="G262" s="173"/>
      <c r="H262" s="174"/>
      <c r="I262" s="173" t="e">
        <f>Tabela22[[#This Row],[PESO TOTAL]]/Tabela22[[#This Row],[QUANTIDADE]]</f>
        <v>#DIV/0!</v>
      </c>
      <c r="J262" s="2"/>
      <c r="K262" s="193"/>
      <c r="L262" s="8"/>
      <c r="M262" s="8"/>
      <c r="N262" s="8"/>
      <c r="O262" s="194"/>
      <c r="P262" s="195"/>
    </row>
    <row r="263" spans="1:16">
      <c r="A263" s="3"/>
      <c r="B263" s="3" t="str">
        <f>TEXT(Tabela223[[#This Row],[DATA]],"mmmm")</f>
        <v>janeiro</v>
      </c>
      <c r="C263" s="2"/>
      <c r="D263" s="2"/>
      <c r="E263" s="2"/>
      <c r="F263" s="2"/>
      <c r="G263" s="173"/>
      <c r="H263" s="174"/>
      <c r="I263" s="173" t="e">
        <f>Tabela22[[#This Row],[PESO TOTAL]]/Tabela22[[#This Row],[QUANTIDADE]]</f>
        <v>#DIV/0!</v>
      </c>
      <c r="J263" s="2"/>
      <c r="K263" s="193"/>
      <c r="L263" s="8"/>
      <c r="M263" s="8"/>
      <c r="N263" s="8"/>
      <c r="O263" s="194"/>
      <c r="P263" s="195"/>
    </row>
    <row r="264" spans="1:16">
      <c r="A264" s="3"/>
      <c r="B264" s="3" t="str">
        <f>TEXT(Tabela223[[#This Row],[DATA]],"mmmm")</f>
        <v>janeiro</v>
      </c>
      <c r="C264" s="2"/>
      <c r="D264" s="2"/>
      <c r="E264" s="2"/>
      <c r="F264" s="2"/>
      <c r="G264" s="173"/>
      <c r="H264" s="174"/>
      <c r="I264" s="173" t="e">
        <f>Tabela22[[#This Row],[PESO TOTAL]]/Tabela22[[#This Row],[QUANTIDADE]]</f>
        <v>#DIV/0!</v>
      </c>
      <c r="J264" s="2"/>
      <c r="K264" s="193"/>
      <c r="L264" s="8"/>
      <c r="M264" s="8"/>
      <c r="N264" s="8"/>
      <c r="O264" s="194"/>
      <c r="P264" s="195"/>
    </row>
    <row r="265" spans="1:16">
      <c r="A265" s="3"/>
      <c r="B265" s="3" t="str">
        <f>TEXT(Tabela223[[#This Row],[DATA]],"mmmm")</f>
        <v>janeiro</v>
      </c>
      <c r="C265" s="2"/>
      <c r="D265" s="2"/>
      <c r="E265" s="2"/>
      <c r="F265" s="2"/>
      <c r="G265" s="173"/>
      <c r="H265" s="174"/>
      <c r="I265" s="173" t="e">
        <f>Tabela22[[#This Row],[PESO TOTAL]]/Tabela22[[#This Row],[QUANTIDADE]]</f>
        <v>#DIV/0!</v>
      </c>
      <c r="J265" s="2"/>
      <c r="K265" s="193"/>
      <c r="L265" s="8"/>
      <c r="M265" s="8"/>
      <c r="N265" s="8"/>
      <c r="O265" s="194"/>
      <c r="P265" s="195"/>
    </row>
    <row r="266" spans="1:16">
      <c r="A266" s="3"/>
      <c r="B266" s="3" t="str">
        <f>TEXT(Tabela223[[#This Row],[DATA]],"mmmm")</f>
        <v>janeiro</v>
      </c>
      <c r="C266" s="2"/>
      <c r="D266" s="2"/>
      <c r="E266" s="2"/>
      <c r="F266" s="2"/>
      <c r="G266" s="173"/>
      <c r="H266" s="174"/>
      <c r="I266" s="173" t="e">
        <f>Tabela22[[#This Row],[PESO TOTAL]]/Tabela22[[#This Row],[QUANTIDADE]]</f>
        <v>#DIV/0!</v>
      </c>
      <c r="J266" s="2"/>
      <c r="K266" s="193"/>
      <c r="L266" s="8"/>
      <c r="M266" s="8"/>
      <c r="N266" s="8"/>
      <c r="O266" s="194"/>
      <c r="P266" s="195"/>
    </row>
    <row r="267" spans="1:16">
      <c r="A267" s="3"/>
      <c r="B267" s="3" t="str">
        <f>TEXT(Tabela223[[#This Row],[DATA]],"mmmm")</f>
        <v>janeiro</v>
      </c>
      <c r="C267" s="2"/>
      <c r="D267" s="2"/>
      <c r="E267" s="2"/>
      <c r="F267" s="2"/>
      <c r="G267" s="173"/>
      <c r="H267" s="174"/>
      <c r="I267" s="173" t="e">
        <f>Tabela22[[#This Row],[PESO TOTAL]]/Tabela22[[#This Row],[QUANTIDADE]]</f>
        <v>#DIV/0!</v>
      </c>
      <c r="J267" s="2"/>
      <c r="K267" s="193"/>
      <c r="L267" s="8"/>
      <c r="M267" s="8"/>
      <c r="N267" s="8"/>
      <c r="O267" s="194"/>
      <c r="P267" s="195"/>
    </row>
    <row r="268" spans="1:16">
      <c r="A268" s="3"/>
      <c r="B268" s="3" t="str">
        <f>TEXT(Tabela223[[#This Row],[DATA]],"mmmm")</f>
        <v>janeiro</v>
      </c>
      <c r="C268" s="2"/>
      <c r="D268" s="2"/>
      <c r="E268" s="2"/>
      <c r="F268" s="2"/>
      <c r="G268" s="173"/>
      <c r="H268" s="174"/>
      <c r="I268" s="173" t="e">
        <f>Tabela22[[#This Row],[PESO TOTAL]]/Tabela22[[#This Row],[QUANTIDADE]]</f>
        <v>#DIV/0!</v>
      </c>
      <c r="J268" s="2"/>
      <c r="K268" s="193"/>
      <c r="L268" s="8"/>
      <c r="M268" s="8"/>
      <c r="N268" s="8"/>
      <c r="O268" s="194"/>
      <c r="P268" s="195"/>
    </row>
    <row r="269" spans="1:16">
      <c r="A269" s="3"/>
      <c r="B269" s="3" t="str">
        <f>TEXT(Tabela223[[#This Row],[DATA]],"mmmm")</f>
        <v>janeiro</v>
      </c>
      <c r="C269" s="2"/>
      <c r="D269" s="2"/>
      <c r="E269" s="2"/>
      <c r="F269" s="2"/>
      <c r="G269" s="173"/>
      <c r="H269" s="174"/>
      <c r="I269" s="173" t="e">
        <f>Tabela22[[#This Row],[PESO TOTAL]]/Tabela22[[#This Row],[QUANTIDADE]]</f>
        <v>#DIV/0!</v>
      </c>
      <c r="J269" s="2"/>
      <c r="K269" s="193"/>
      <c r="L269" s="8"/>
      <c r="M269" s="8"/>
      <c r="N269" s="8"/>
      <c r="O269" s="194"/>
      <c r="P269" s="195"/>
    </row>
    <row r="270" spans="1:16">
      <c r="A270" s="3"/>
      <c r="B270" s="3" t="str">
        <f>TEXT(Tabela223[[#This Row],[DATA]],"mmmm")</f>
        <v>janeiro</v>
      </c>
      <c r="C270" s="2"/>
      <c r="D270" s="2"/>
      <c r="E270" s="2"/>
      <c r="F270" s="2"/>
      <c r="G270" s="173"/>
      <c r="H270" s="174"/>
      <c r="I270" s="173" t="e">
        <f>Tabela22[[#This Row],[PESO TOTAL]]/Tabela22[[#This Row],[QUANTIDADE]]</f>
        <v>#DIV/0!</v>
      </c>
      <c r="J270" s="2"/>
      <c r="K270" s="193"/>
      <c r="L270" s="8"/>
      <c r="M270" s="8"/>
      <c r="N270" s="8"/>
      <c r="O270" s="194"/>
      <c r="P270" s="195"/>
    </row>
    <row r="271" spans="1:16">
      <c r="A271" s="3"/>
      <c r="B271" s="3" t="str">
        <f>TEXT(Tabela223[[#This Row],[DATA]],"mmmm")</f>
        <v>janeiro</v>
      </c>
      <c r="C271" s="2"/>
      <c r="D271" s="2"/>
      <c r="E271" s="2"/>
      <c r="F271" s="2"/>
      <c r="G271" s="173"/>
      <c r="H271" s="174"/>
      <c r="I271" s="173" t="e">
        <f>Tabela22[[#This Row],[PESO TOTAL]]/Tabela22[[#This Row],[QUANTIDADE]]</f>
        <v>#DIV/0!</v>
      </c>
      <c r="J271" s="2"/>
      <c r="K271" s="193"/>
      <c r="L271" s="8"/>
      <c r="M271" s="8"/>
      <c r="N271" s="8"/>
      <c r="O271" s="194"/>
      <c r="P271" s="195"/>
    </row>
    <row r="272" spans="1:16">
      <c r="A272" s="3"/>
      <c r="B272" s="3" t="str">
        <f>TEXT(Tabela223[[#This Row],[DATA]],"mmmm")</f>
        <v>janeiro</v>
      </c>
      <c r="C272" s="2"/>
      <c r="D272" s="2"/>
      <c r="E272" s="2"/>
      <c r="F272" s="2"/>
      <c r="G272" s="173"/>
      <c r="H272" s="174"/>
      <c r="I272" s="173" t="e">
        <f>Tabela22[[#This Row],[PESO TOTAL]]/Tabela22[[#This Row],[QUANTIDADE]]</f>
        <v>#DIV/0!</v>
      </c>
      <c r="J272" s="2"/>
      <c r="K272" s="193"/>
      <c r="L272" s="8"/>
      <c r="M272" s="8"/>
      <c r="N272" s="8"/>
      <c r="O272" s="194"/>
      <c r="P272" s="195"/>
    </row>
    <row r="273" spans="1:16">
      <c r="A273" s="3"/>
      <c r="B273" s="3" t="str">
        <f>TEXT(Tabela223[[#This Row],[DATA]],"mmmm")</f>
        <v>janeiro</v>
      </c>
      <c r="C273" s="2"/>
      <c r="D273" s="2"/>
      <c r="E273" s="2"/>
      <c r="F273" s="2"/>
      <c r="G273" s="173"/>
      <c r="H273" s="174"/>
      <c r="I273" s="173" t="e">
        <f>Tabela22[[#This Row],[PESO TOTAL]]/Tabela22[[#This Row],[QUANTIDADE]]</f>
        <v>#DIV/0!</v>
      </c>
      <c r="J273" s="2"/>
      <c r="K273" s="193"/>
      <c r="L273" s="8"/>
      <c r="M273" s="8"/>
      <c r="N273" s="8"/>
      <c r="O273" s="194"/>
      <c r="P273" s="195"/>
    </row>
    <row r="274" spans="1:16">
      <c r="A274" s="3"/>
      <c r="B274" s="3" t="str">
        <f>TEXT(Tabela223[[#This Row],[DATA]],"mmmm")</f>
        <v>janeiro</v>
      </c>
      <c r="C274" s="2"/>
      <c r="D274" s="2"/>
      <c r="E274" s="2"/>
      <c r="F274" s="2"/>
      <c r="G274" s="173"/>
      <c r="H274" s="174"/>
      <c r="I274" s="173" t="e">
        <f>Tabela22[[#This Row],[PESO TOTAL]]/Tabela22[[#This Row],[QUANTIDADE]]</f>
        <v>#DIV/0!</v>
      </c>
      <c r="J274" s="2"/>
      <c r="K274" s="193"/>
      <c r="L274" s="8"/>
      <c r="M274" s="8"/>
      <c r="N274" s="8"/>
      <c r="O274" s="194"/>
      <c r="P274" s="195"/>
    </row>
    <row r="275" spans="1:16">
      <c r="A275" s="3"/>
      <c r="B275" s="3" t="str">
        <f>TEXT(Tabela223[[#This Row],[DATA]],"mmmm")</f>
        <v>janeiro</v>
      </c>
      <c r="C275" s="2"/>
      <c r="D275" s="2"/>
      <c r="E275" s="2"/>
      <c r="F275" s="2"/>
      <c r="G275" s="173"/>
      <c r="H275" s="174"/>
      <c r="I275" s="173" t="e">
        <f>Tabela22[[#This Row],[PESO TOTAL]]/Tabela22[[#This Row],[QUANTIDADE]]</f>
        <v>#DIV/0!</v>
      </c>
      <c r="J275" s="2"/>
      <c r="K275" s="193"/>
      <c r="L275" s="8"/>
      <c r="M275" s="8"/>
      <c r="N275" s="8"/>
      <c r="O275" s="194"/>
      <c r="P275" s="195"/>
    </row>
    <row r="276" spans="1:16">
      <c r="A276" s="3"/>
      <c r="B276" s="3" t="str">
        <f>TEXT(Tabela223[[#This Row],[DATA]],"mmmm")</f>
        <v>janeiro</v>
      </c>
      <c r="C276" s="2"/>
      <c r="D276" s="2"/>
      <c r="E276" s="2"/>
      <c r="F276" s="2"/>
      <c r="G276" s="173"/>
      <c r="H276" s="174"/>
      <c r="I276" s="173" t="e">
        <f>Tabela22[[#This Row],[PESO TOTAL]]/Tabela22[[#This Row],[QUANTIDADE]]</f>
        <v>#DIV/0!</v>
      </c>
      <c r="J276" s="2"/>
      <c r="K276" s="193"/>
      <c r="L276" s="8"/>
      <c r="M276" s="8"/>
      <c r="N276" s="8"/>
      <c r="O276" s="194"/>
      <c r="P276" s="195"/>
    </row>
    <row r="277" spans="1:16">
      <c r="A277" s="3"/>
      <c r="B277" s="3" t="str">
        <f>TEXT(Tabela223[[#This Row],[DATA]],"mmmm")</f>
        <v>janeiro</v>
      </c>
      <c r="C277" s="2"/>
      <c r="D277" s="2"/>
      <c r="E277" s="2"/>
      <c r="F277" s="2"/>
      <c r="G277" s="173"/>
      <c r="H277" s="174"/>
      <c r="I277" s="173" t="e">
        <f>Tabela22[[#This Row],[PESO TOTAL]]/Tabela22[[#This Row],[QUANTIDADE]]</f>
        <v>#DIV/0!</v>
      </c>
      <c r="J277" s="2"/>
      <c r="K277" s="193"/>
      <c r="L277" s="8"/>
      <c r="M277" s="8"/>
      <c r="N277" s="8"/>
      <c r="O277" s="194"/>
      <c r="P277" s="195"/>
    </row>
    <row r="278" spans="1:16">
      <c r="A278" s="3"/>
      <c r="B278" s="3" t="str">
        <f>TEXT(Tabela223[[#This Row],[DATA]],"mmmm")</f>
        <v>janeiro</v>
      </c>
      <c r="C278" s="2"/>
      <c r="D278" s="2"/>
      <c r="E278" s="2"/>
      <c r="F278" s="2"/>
      <c r="G278" s="173"/>
      <c r="H278" s="174"/>
      <c r="I278" s="173" t="e">
        <f>Tabela22[[#This Row],[PESO TOTAL]]/Tabela22[[#This Row],[QUANTIDADE]]</f>
        <v>#DIV/0!</v>
      </c>
      <c r="J278" s="2"/>
      <c r="K278" s="193"/>
      <c r="L278" s="8"/>
      <c r="M278" s="8"/>
      <c r="N278" s="8"/>
      <c r="O278" s="194"/>
      <c r="P278" s="195"/>
    </row>
    <row r="279" spans="1:16">
      <c r="A279" s="3"/>
      <c r="B279" s="3" t="str">
        <f>TEXT(Tabela223[[#This Row],[DATA]],"mmmm")</f>
        <v>janeiro</v>
      </c>
      <c r="C279" s="2"/>
      <c r="D279" s="2"/>
      <c r="E279" s="2"/>
      <c r="F279" s="2"/>
      <c r="G279" s="173"/>
      <c r="H279" s="174"/>
      <c r="I279" s="173" t="e">
        <f>Tabela22[[#This Row],[PESO TOTAL]]/Tabela22[[#This Row],[QUANTIDADE]]</f>
        <v>#DIV/0!</v>
      </c>
      <c r="J279" s="2"/>
      <c r="K279" s="193"/>
      <c r="L279" s="8"/>
      <c r="M279" s="8"/>
      <c r="N279" s="8"/>
      <c r="O279" s="194"/>
      <c r="P279" s="195"/>
    </row>
    <row r="280" spans="1:16">
      <c r="A280" s="3"/>
      <c r="B280" s="3" t="str">
        <f>TEXT(Tabela223[[#This Row],[DATA]],"mmmm")</f>
        <v>janeiro</v>
      </c>
      <c r="C280" s="2"/>
      <c r="D280" s="2"/>
      <c r="E280" s="2"/>
      <c r="F280" s="2"/>
      <c r="G280" s="173"/>
      <c r="H280" s="174"/>
      <c r="I280" s="173" t="e">
        <f>Tabela22[[#This Row],[PESO TOTAL]]/Tabela22[[#This Row],[QUANTIDADE]]</f>
        <v>#DIV/0!</v>
      </c>
      <c r="J280" s="2"/>
      <c r="K280" s="193"/>
      <c r="L280" s="8"/>
      <c r="M280" s="8"/>
      <c r="N280" s="8"/>
      <c r="O280" s="194"/>
      <c r="P280" s="195"/>
    </row>
    <row r="281" spans="1:16">
      <c r="A281" s="3"/>
      <c r="B281" s="3" t="str">
        <f>TEXT(Tabela223[[#This Row],[DATA]],"mmmm")</f>
        <v>janeiro</v>
      </c>
      <c r="C281" s="2"/>
      <c r="D281" s="2"/>
      <c r="E281" s="2"/>
      <c r="F281" s="2"/>
      <c r="G281" s="173"/>
      <c r="H281" s="174"/>
      <c r="I281" s="173" t="e">
        <f>Tabela22[[#This Row],[PESO TOTAL]]/Tabela22[[#This Row],[QUANTIDADE]]</f>
        <v>#DIV/0!</v>
      </c>
      <c r="J281" s="2"/>
      <c r="K281" s="193"/>
      <c r="L281" s="8"/>
      <c r="M281" s="8"/>
      <c r="N281" s="8"/>
      <c r="O281" s="194"/>
      <c r="P281" s="195"/>
    </row>
    <row r="282" spans="1:16">
      <c r="A282" s="3"/>
      <c r="B282" s="3" t="str">
        <f>TEXT(Tabela223[[#This Row],[DATA]],"mmmm")</f>
        <v>janeiro</v>
      </c>
      <c r="C282" s="2"/>
      <c r="D282" s="2"/>
      <c r="E282" s="2"/>
      <c r="F282" s="2"/>
      <c r="G282" s="173"/>
      <c r="H282" s="174"/>
      <c r="I282" s="173" t="e">
        <f>Tabela22[[#This Row],[PESO TOTAL]]/Tabela22[[#This Row],[QUANTIDADE]]</f>
        <v>#DIV/0!</v>
      </c>
      <c r="J282" s="2"/>
      <c r="K282" s="193"/>
      <c r="L282" s="8"/>
      <c r="M282" s="8"/>
      <c r="N282" s="8"/>
      <c r="O282" s="194"/>
      <c r="P282" s="195"/>
    </row>
    <row r="283" spans="1:16">
      <c r="A283" s="3"/>
      <c r="B283" s="3" t="str">
        <f>TEXT(Tabela223[[#This Row],[DATA]],"mmmm")</f>
        <v>janeiro</v>
      </c>
      <c r="C283" s="2"/>
      <c r="D283" s="2"/>
      <c r="E283" s="2"/>
      <c r="F283" s="2"/>
      <c r="G283" s="173"/>
      <c r="H283" s="174"/>
      <c r="I283" s="173" t="e">
        <f>Tabela22[[#This Row],[PESO TOTAL]]/Tabela22[[#This Row],[QUANTIDADE]]</f>
        <v>#DIV/0!</v>
      </c>
      <c r="J283" s="2"/>
      <c r="K283" s="193"/>
      <c r="L283" s="8"/>
      <c r="M283" s="8"/>
      <c r="N283" s="8"/>
      <c r="O283" s="194"/>
      <c r="P283" s="195"/>
    </row>
    <row r="284" spans="1:16">
      <c r="A284" s="3"/>
      <c r="B284" s="3" t="str">
        <f>TEXT(Tabela223[[#This Row],[DATA]],"mmmm")</f>
        <v>janeiro</v>
      </c>
      <c r="C284" s="2"/>
      <c r="D284" s="2"/>
      <c r="E284" s="2"/>
      <c r="F284" s="2"/>
      <c r="G284" s="173"/>
      <c r="H284" s="174"/>
      <c r="I284" s="173" t="e">
        <f>Tabela22[[#This Row],[PESO TOTAL]]/Tabela22[[#This Row],[QUANTIDADE]]</f>
        <v>#DIV/0!</v>
      </c>
      <c r="J284" s="2"/>
      <c r="K284" s="193"/>
      <c r="L284" s="8"/>
      <c r="M284" s="8"/>
      <c r="N284" s="8"/>
      <c r="O284" s="194"/>
      <c r="P284" s="195"/>
    </row>
    <row r="285" spans="1:16">
      <c r="A285" s="3"/>
      <c r="B285" s="3" t="str">
        <f>TEXT(Tabela223[[#This Row],[DATA]],"mmmm")</f>
        <v>janeiro</v>
      </c>
      <c r="C285" s="2"/>
      <c r="D285" s="2"/>
      <c r="E285" s="2"/>
      <c r="F285" s="2"/>
      <c r="G285" s="173"/>
      <c r="H285" s="174"/>
      <c r="I285" s="173" t="e">
        <f>Tabela22[[#This Row],[PESO TOTAL]]/Tabela22[[#This Row],[QUANTIDADE]]</f>
        <v>#DIV/0!</v>
      </c>
      <c r="J285" s="2"/>
      <c r="K285" s="193"/>
      <c r="L285" s="8"/>
      <c r="M285" s="8"/>
      <c r="N285" s="8"/>
      <c r="O285" s="194"/>
      <c r="P285" s="195"/>
    </row>
    <row r="286" spans="1:16">
      <c r="A286" s="3"/>
      <c r="B286" s="3" t="str">
        <f>TEXT(Tabela223[[#This Row],[DATA]],"mmmm")</f>
        <v>janeiro</v>
      </c>
      <c r="C286" s="2"/>
      <c r="D286" s="2"/>
      <c r="E286" s="2"/>
      <c r="F286" s="2"/>
      <c r="G286" s="173"/>
      <c r="H286" s="174"/>
      <c r="I286" s="173" t="e">
        <f>Tabela22[[#This Row],[PESO TOTAL]]/Tabela22[[#This Row],[QUANTIDADE]]</f>
        <v>#DIV/0!</v>
      </c>
      <c r="J286" s="2"/>
      <c r="K286" s="193"/>
      <c r="L286" s="8"/>
      <c r="M286" s="8"/>
      <c r="N286" s="8"/>
      <c r="O286" s="194"/>
      <c r="P286" s="195"/>
    </row>
    <row r="287" spans="1:16">
      <c r="A287" s="3"/>
      <c r="B287" s="3" t="str">
        <f>TEXT(Tabela223[[#This Row],[DATA]],"mmmm")</f>
        <v>janeiro</v>
      </c>
      <c r="C287" s="2"/>
      <c r="D287" s="2"/>
      <c r="E287" s="2"/>
      <c r="F287" s="2"/>
      <c r="G287" s="173"/>
      <c r="H287" s="174"/>
      <c r="I287" s="173" t="e">
        <f>Tabela22[[#This Row],[PESO TOTAL]]/Tabela22[[#This Row],[QUANTIDADE]]</f>
        <v>#DIV/0!</v>
      </c>
      <c r="J287" s="2"/>
      <c r="K287" s="193"/>
      <c r="L287" s="8"/>
      <c r="M287" s="8"/>
      <c r="N287" s="8"/>
      <c r="O287" s="194"/>
      <c r="P287" s="195"/>
    </row>
    <row r="288" spans="1:16">
      <c r="A288" s="3"/>
      <c r="B288" s="3" t="str">
        <f>TEXT(Tabela223[[#This Row],[DATA]],"mmmm")</f>
        <v>janeiro</v>
      </c>
      <c r="C288" s="2"/>
      <c r="D288" s="2"/>
      <c r="E288" s="2"/>
      <c r="F288" s="2"/>
      <c r="G288" s="173"/>
      <c r="H288" s="174"/>
      <c r="I288" s="173" t="e">
        <f>Tabela22[[#This Row],[PESO TOTAL]]/Tabela22[[#This Row],[QUANTIDADE]]</f>
        <v>#DIV/0!</v>
      </c>
      <c r="J288" s="2"/>
      <c r="K288" s="193"/>
      <c r="L288" s="8"/>
      <c r="M288" s="8"/>
      <c r="N288" s="8"/>
      <c r="O288" s="194"/>
      <c r="P288" s="195"/>
    </row>
    <row r="289" spans="1:16">
      <c r="A289" s="3"/>
      <c r="B289" s="3" t="str">
        <f>TEXT(Tabela223[[#This Row],[DATA]],"mmmm")</f>
        <v>janeiro</v>
      </c>
      <c r="C289" s="2"/>
      <c r="D289" s="2"/>
      <c r="E289" s="2"/>
      <c r="F289" s="2"/>
      <c r="G289" s="173"/>
      <c r="H289" s="174"/>
      <c r="I289" s="173" t="e">
        <f>Tabela22[[#This Row],[PESO TOTAL]]/Tabela22[[#This Row],[QUANTIDADE]]</f>
        <v>#DIV/0!</v>
      </c>
      <c r="J289" s="2"/>
      <c r="K289" s="193"/>
      <c r="L289" s="8"/>
      <c r="M289" s="8"/>
      <c r="N289" s="8"/>
      <c r="O289" s="194"/>
      <c r="P289" s="195"/>
    </row>
    <row r="290" spans="1:16">
      <c r="A290" s="3"/>
      <c r="B290" s="3" t="str">
        <f>TEXT(Tabela223[[#This Row],[DATA]],"mmmm")</f>
        <v>janeiro</v>
      </c>
      <c r="C290" s="2"/>
      <c r="D290" s="2"/>
      <c r="E290" s="2"/>
      <c r="F290" s="2"/>
      <c r="G290" s="173"/>
      <c r="H290" s="174"/>
      <c r="I290" s="173" t="e">
        <f>Tabela22[[#This Row],[PESO TOTAL]]/Tabela22[[#This Row],[QUANTIDADE]]</f>
        <v>#DIV/0!</v>
      </c>
      <c r="J290" s="2"/>
      <c r="K290" s="193"/>
      <c r="L290" s="8"/>
      <c r="M290" s="8"/>
      <c r="N290" s="8"/>
      <c r="O290" s="194"/>
      <c r="P290" s="195"/>
    </row>
    <row r="291" spans="1:16">
      <c r="A291" s="3"/>
      <c r="B291" s="3" t="str">
        <f>TEXT(Tabela223[[#This Row],[DATA]],"mmmm")</f>
        <v>janeiro</v>
      </c>
      <c r="C291" s="2"/>
      <c r="D291" s="2"/>
      <c r="E291" s="2"/>
      <c r="F291" s="2"/>
      <c r="G291" s="173"/>
      <c r="H291" s="174"/>
      <c r="I291" s="173" t="e">
        <f>Tabela22[[#This Row],[PESO TOTAL]]/Tabela22[[#This Row],[QUANTIDADE]]</f>
        <v>#DIV/0!</v>
      </c>
      <c r="J291" s="2"/>
      <c r="K291" s="193"/>
      <c r="L291" s="8"/>
      <c r="M291" s="8"/>
      <c r="N291" s="8"/>
      <c r="O291" s="194"/>
      <c r="P291" s="195"/>
    </row>
    <row r="292" spans="1:16">
      <c r="A292" s="3"/>
      <c r="B292" s="3" t="str">
        <f>TEXT(Tabela223[[#This Row],[DATA]],"mmmm")</f>
        <v>janeiro</v>
      </c>
      <c r="C292" s="2"/>
      <c r="D292" s="2"/>
      <c r="E292" s="2"/>
      <c r="F292" s="2"/>
      <c r="G292" s="173"/>
      <c r="H292" s="174"/>
      <c r="I292" s="173" t="e">
        <f>Tabela22[[#This Row],[PESO TOTAL]]/Tabela22[[#This Row],[QUANTIDADE]]</f>
        <v>#DIV/0!</v>
      </c>
      <c r="J292" s="2"/>
      <c r="K292" s="193"/>
      <c r="L292" s="8"/>
      <c r="M292" s="8"/>
      <c r="N292" s="8"/>
      <c r="O292" s="194"/>
      <c r="P292" s="195"/>
    </row>
    <row r="293" spans="1:16">
      <c r="A293" s="3"/>
      <c r="B293" s="3" t="str">
        <f>TEXT(Tabela223[[#This Row],[DATA]],"mmmm")</f>
        <v>janeiro</v>
      </c>
      <c r="C293" s="2"/>
      <c r="D293" s="2"/>
      <c r="E293" s="2"/>
      <c r="F293" s="2"/>
      <c r="G293" s="173"/>
      <c r="H293" s="174"/>
      <c r="I293" s="173" t="e">
        <f>Tabela22[[#This Row],[PESO TOTAL]]/Tabela22[[#This Row],[QUANTIDADE]]</f>
        <v>#DIV/0!</v>
      </c>
      <c r="J293" s="2"/>
      <c r="K293" s="193"/>
      <c r="L293" s="8"/>
      <c r="M293" s="8"/>
      <c r="N293" s="8"/>
      <c r="O293" s="194"/>
      <c r="P293" s="195"/>
    </row>
    <row r="294" spans="1:16">
      <c r="A294" s="3"/>
      <c r="B294" s="3" t="str">
        <f>TEXT(Tabela223[[#This Row],[DATA]],"mmmm")</f>
        <v>janeiro</v>
      </c>
      <c r="C294" s="2"/>
      <c r="D294" s="2"/>
      <c r="E294" s="2"/>
      <c r="F294" s="2"/>
      <c r="G294" s="173"/>
      <c r="H294" s="174"/>
      <c r="I294" s="173" t="e">
        <f>Tabela22[[#This Row],[PESO TOTAL]]/Tabela22[[#This Row],[QUANTIDADE]]</f>
        <v>#DIV/0!</v>
      </c>
      <c r="J294" s="2"/>
      <c r="K294" s="193"/>
      <c r="L294" s="8"/>
      <c r="M294" s="8"/>
      <c r="N294" s="8"/>
      <c r="O294" s="194"/>
      <c r="P294" s="195"/>
    </row>
    <row r="295" spans="1:16">
      <c r="A295" s="3"/>
      <c r="B295" s="3" t="str">
        <f>TEXT(Tabela223[[#This Row],[DATA]],"mmmm")</f>
        <v>janeiro</v>
      </c>
      <c r="C295" s="2"/>
      <c r="D295" s="2"/>
      <c r="E295" s="2"/>
      <c r="F295" s="2"/>
      <c r="G295" s="173"/>
      <c r="H295" s="174"/>
      <c r="I295" s="173" t="e">
        <f>Tabela22[[#This Row],[PESO TOTAL]]/Tabela22[[#This Row],[QUANTIDADE]]</f>
        <v>#DIV/0!</v>
      </c>
      <c r="J295" s="2"/>
      <c r="K295" s="193"/>
      <c r="L295" s="8"/>
      <c r="M295" s="8"/>
      <c r="N295" s="8"/>
      <c r="O295" s="194"/>
      <c r="P295" s="195"/>
    </row>
    <row r="296" spans="1:16">
      <c r="A296" s="3"/>
      <c r="B296" s="3" t="str">
        <f>TEXT(Tabela223[[#This Row],[DATA]],"mmmm")</f>
        <v>janeiro</v>
      </c>
      <c r="C296" s="2"/>
      <c r="D296" s="2"/>
      <c r="E296" s="2"/>
      <c r="F296" s="2"/>
      <c r="G296" s="173"/>
      <c r="H296" s="174"/>
      <c r="I296" s="173" t="e">
        <f>Tabela22[[#This Row],[PESO TOTAL]]/Tabela22[[#This Row],[QUANTIDADE]]</f>
        <v>#DIV/0!</v>
      </c>
      <c r="J296" s="2"/>
      <c r="K296" s="193"/>
      <c r="L296" s="8"/>
      <c r="M296" s="8"/>
      <c r="N296" s="8"/>
      <c r="O296" s="194"/>
      <c r="P296" s="195"/>
    </row>
    <row r="297" spans="1:16">
      <c r="A297" s="3"/>
      <c r="B297" s="3" t="str">
        <f>TEXT(Tabela223[[#This Row],[DATA]],"mmmm")</f>
        <v>janeiro</v>
      </c>
      <c r="C297" s="2"/>
      <c r="D297" s="2"/>
      <c r="E297" s="2"/>
      <c r="F297" s="2"/>
      <c r="G297" s="173"/>
      <c r="H297" s="174"/>
      <c r="I297" s="173" t="e">
        <f>Tabela22[[#This Row],[PESO TOTAL]]/Tabela22[[#This Row],[QUANTIDADE]]</f>
        <v>#DIV/0!</v>
      </c>
      <c r="J297" s="2"/>
      <c r="K297" s="193"/>
      <c r="L297" s="8"/>
      <c r="M297" s="8"/>
      <c r="N297" s="8"/>
      <c r="O297" s="194"/>
      <c r="P297" s="195"/>
    </row>
    <row r="298" spans="1:16">
      <c r="A298" s="3"/>
      <c r="B298" s="3" t="str">
        <f>TEXT(Tabela223[[#This Row],[DATA]],"mmmm")</f>
        <v>janeiro</v>
      </c>
      <c r="C298" s="2"/>
      <c r="D298" s="2"/>
      <c r="E298" s="2"/>
      <c r="F298" s="2"/>
      <c r="G298" s="173"/>
      <c r="H298" s="174"/>
      <c r="I298" s="173" t="e">
        <f>Tabela22[[#This Row],[PESO TOTAL]]/Tabela22[[#This Row],[QUANTIDADE]]</f>
        <v>#DIV/0!</v>
      </c>
      <c r="J298" s="2"/>
      <c r="K298" s="193"/>
      <c r="L298" s="8"/>
      <c r="M298" s="8"/>
      <c r="N298" s="8"/>
      <c r="O298" s="194"/>
      <c r="P298" s="195"/>
    </row>
    <row r="299" spans="1:16">
      <c r="A299" s="3"/>
      <c r="B299" s="3" t="str">
        <f>TEXT(Tabela223[[#This Row],[DATA]],"mmmm")</f>
        <v>janeiro</v>
      </c>
      <c r="C299" s="2"/>
      <c r="D299" s="2"/>
      <c r="E299" s="2"/>
      <c r="F299" s="2"/>
      <c r="G299" s="173"/>
      <c r="H299" s="174"/>
      <c r="I299" s="173" t="e">
        <f>Tabela22[[#This Row],[PESO TOTAL]]/Tabela22[[#This Row],[QUANTIDADE]]</f>
        <v>#DIV/0!</v>
      </c>
      <c r="J299" s="2"/>
      <c r="K299" s="193"/>
      <c r="L299" s="8"/>
      <c r="M299" s="8"/>
      <c r="N299" s="8"/>
      <c r="O299" s="194"/>
      <c r="P299" s="195"/>
    </row>
    <row r="300" spans="1:16">
      <c r="A300" s="3"/>
      <c r="B300" s="3" t="str">
        <f>TEXT(Tabela223[[#This Row],[DATA]],"mmmm")</f>
        <v>janeiro</v>
      </c>
      <c r="C300" s="2"/>
      <c r="D300" s="2"/>
      <c r="E300" s="2"/>
      <c r="F300" s="2"/>
      <c r="G300" s="173"/>
      <c r="H300" s="174"/>
      <c r="I300" s="173" t="e">
        <f>Tabela22[[#This Row],[PESO TOTAL]]/Tabela22[[#This Row],[QUANTIDADE]]</f>
        <v>#DIV/0!</v>
      </c>
      <c r="J300" s="2"/>
      <c r="K300" s="193"/>
      <c r="L300" s="8"/>
      <c r="M300" s="8"/>
      <c r="N300" s="8"/>
      <c r="O300" s="194"/>
      <c r="P300" s="195"/>
    </row>
    <row r="301" spans="1:16">
      <c r="A301" s="3"/>
      <c r="B301" s="3" t="str">
        <f>TEXT(Tabela223[[#This Row],[DATA]],"mmmm")</f>
        <v>janeiro</v>
      </c>
      <c r="C301" s="2"/>
      <c r="D301" s="2"/>
      <c r="E301" s="2"/>
      <c r="F301" s="2"/>
      <c r="G301" s="173"/>
      <c r="H301" s="174"/>
      <c r="I301" s="173" t="e">
        <f>Tabela22[[#This Row],[PESO TOTAL]]/Tabela22[[#This Row],[QUANTIDADE]]</f>
        <v>#DIV/0!</v>
      </c>
      <c r="J301" s="2"/>
      <c r="K301" s="193"/>
      <c r="L301" s="8"/>
      <c r="M301" s="8"/>
      <c r="N301" s="8"/>
      <c r="O301" s="194"/>
      <c r="P301" s="195"/>
    </row>
    <row r="302" spans="1:16">
      <c r="A302" s="3"/>
      <c r="B302" s="3" t="str">
        <f>TEXT(Tabela223[[#This Row],[DATA]],"mmmm")</f>
        <v>janeiro</v>
      </c>
      <c r="C302" s="2"/>
      <c r="D302" s="2"/>
      <c r="E302" s="2"/>
      <c r="F302" s="2"/>
      <c r="G302" s="173"/>
      <c r="H302" s="174"/>
      <c r="I302" s="173" t="e">
        <f>Tabela22[[#This Row],[PESO TOTAL]]/Tabela22[[#This Row],[QUANTIDADE]]</f>
        <v>#DIV/0!</v>
      </c>
      <c r="J302" s="2"/>
      <c r="K302" s="193"/>
      <c r="L302" s="8"/>
      <c r="M302" s="8"/>
      <c r="N302" s="8"/>
      <c r="O302" s="194"/>
      <c r="P302" s="195"/>
    </row>
    <row r="303" spans="1:16">
      <c r="A303" s="3"/>
      <c r="B303" s="3" t="str">
        <f>TEXT(Tabela223[[#This Row],[DATA]],"mmmm")</f>
        <v>janeiro</v>
      </c>
      <c r="C303" s="2"/>
      <c r="D303" s="2"/>
      <c r="E303" s="2"/>
      <c r="F303" s="2"/>
      <c r="G303" s="173"/>
      <c r="H303" s="174"/>
      <c r="I303" s="173" t="e">
        <f>Tabela22[[#This Row],[PESO TOTAL]]/Tabela22[[#This Row],[QUANTIDADE]]</f>
        <v>#DIV/0!</v>
      </c>
      <c r="J303" s="2"/>
      <c r="K303" s="193"/>
      <c r="L303" s="8"/>
      <c r="M303" s="8"/>
      <c r="N303" s="8"/>
      <c r="O303" s="194"/>
      <c r="P303" s="195"/>
    </row>
    <row r="304" spans="1:16">
      <c r="A304" s="3"/>
      <c r="B304" s="3" t="str">
        <f>TEXT(Tabela223[[#This Row],[DATA]],"mmmm")</f>
        <v>janeiro</v>
      </c>
      <c r="C304" s="2"/>
      <c r="D304" s="2"/>
      <c r="E304" s="2"/>
      <c r="F304" s="2"/>
      <c r="G304" s="173"/>
      <c r="H304" s="174"/>
      <c r="I304" s="173" t="e">
        <f>Tabela22[[#This Row],[PESO TOTAL]]/Tabela22[[#This Row],[QUANTIDADE]]</f>
        <v>#DIV/0!</v>
      </c>
      <c r="J304" s="2"/>
      <c r="K304" s="193"/>
      <c r="L304" s="8"/>
      <c r="M304" s="8"/>
      <c r="N304" s="8"/>
      <c r="O304" s="194"/>
      <c r="P304" s="195"/>
    </row>
    <row r="305" spans="1:16">
      <c r="A305" s="3"/>
      <c r="B305" s="3" t="str">
        <f>TEXT(Tabela223[[#This Row],[DATA]],"mmmm")</f>
        <v>janeiro</v>
      </c>
      <c r="C305" s="2"/>
      <c r="D305" s="2"/>
      <c r="E305" s="2"/>
      <c r="F305" s="2"/>
      <c r="G305" s="173"/>
      <c r="H305" s="174"/>
      <c r="I305" s="173" t="e">
        <f>Tabela22[[#This Row],[PESO TOTAL]]/Tabela22[[#This Row],[QUANTIDADE]]</f>
        <v>#DIV/0!</v>
      </c>
      <c r="J305" s="2"/>
      <c r="K305" s="193"/>
      <c r="L305" s="8"/>
      <c r="M305" s="8"/>
      <c r="N305" s="8"/>
      <c r="O305" s="194"/>
      <c r="P305" s="195"/>
    </row>
    <row r="306" spans="1:16">
      <c r="A306" s="3"/>
      <c r="B306" s="3" t="str">
        <f>TEXT(Tabela223[[#This Row],[DATA]],"mmmm")</f>
        <v>janeiro</v>
      </c>
      <c r="C306" s="2"/>
      <c r="D306" s="2"/>
      <c r="E306" s="2"/>
      <c r="F306" s="2"/>
      <c r="G306" s="173"/>
      <c r="H306" s="174"/>
      <c r="I306" s="173" t="e">
        <f>Tabela22[[#This Row],[PESO TOTAL]]/Tabela22[[#This Row],[QUANTIDADE]]</f>
        <v>#DIV/0!</v>
      </c>
      <c r="J306" s="2"/>
      <c r="K306" s="193"/>
      <c r="L306" s="8"/>
      <c r="M306" s="8"/>
      <c r="N306" s="8"/>
      <c r="O306" s="194"/>
      <c r="P306" s="195"/>
    </row>
    <row r="307" spans="1:16">
      <c r="A307" s="3"/>
      <c r="B307" s="3" t="str">
        <f>TEXT(Tabela223[[#This Row],[DATA]],"mmmm")</f>
        <v>janeiro</v>
      </c>
      <c r="C307" s="2"/>
      <c r="D307" s="2"/>
      <c r="E307" s="2"/>
      <c r="F307" s="2"/>
      <c r="G307" s="173"/>
      <c r="H307" s="174"/>
      <c r="I307" s="173" t="e">
        <f>Tabela22[[#This Row],[PESO TOTAL]]/Tabela22[[#This Row],[QUANTIDADE]]</f>
        <v>#DIV/0!</v>
      </c>
      <c r="J307" s="2"/>
      <c r="K307" s="193"/>
      <c r="L307" s="8"/>
      <c r="M307" s="8"/>
      <c r="N307" s="8"/>
      <c r="O307" s="194"/>
      <c r="P307" s="195"/>
    </row>
    <row r="308" spans="1:16">
      <c r="A308" s="3"/>
      <c r="B308" s="3" t="str">
        <f>TEXT(Tabela223[[#This Row],[DATA]],"mmmm")</f>
        <v>janeiro</v>
      </c>
      <c r="C308" s="2"/>
      <c r="D308" s="2"/>
      <c r="E308" s="2"/>
      <c r="F308" s="2"/>
      <c r="G308" s="173"/>
      <c r="H308" s="174"/>
      <c r="I308" s="173" t="e">
        <f>Tabela22[[#This Row],[PESO TOTAL]]/Tabela22[[#This Row],[QUANTIDADE]]</f>
        <v>#DIV/0!</v>
      </c>
      <c r="J308" s="2"/>
      <c r="K308" s="193"/>
      <c r="L308" s="8"/>
      <c r="M308" s="8"/>
      <c r="N308" s="8"/>
      <c r="O308" s="194"/>
      <c r="P308" s="195"/>
    </row>
    <row r="309" spans="1:16">
      <c r="A309" s="3"/>
      <c r="B309" s="3" t="str">
        <f>TEXT(Tabela223[[#This Row],[DATA]],"mmmm")</f>
        <v>janeiro</v>
      </c>
      <c r="C309" s="2"/>
      <c r="D309" s="2"/>
      <c r="E309" s="2"/>
      <c r="F309" s="2"/>
      <c r="G309" s="173"/>
      <c r="H309" s="174"/>
      <c r="I309" s="173" t="e">
        <f>Tabela22[[#This Row],[PESO TOTAL]]/Tabela22[[#This Row],[QUANTIDADE]]</f>
        <v>#DIV/0!</v>
      </c>
      <c r="J309" s="2"/>
      <c r="K309" s="193"/>
      <c r="L309" s="8"/>
      <c r="M309" s="8"/>
      <c r="N309" s="8"/>
      <c r="O309" s="194"/>
      <c r="P309" s="195"/>
    </row>
    <row r="310" spans="1:16">
      <c r="A310" s="3"/>
      <c r="B310" s="3" t="str">
        <f>TEXT(Tabela223[[#This Row],[DATA]],"mmmm")</f>
        <v>janeiro</v>
      </c>
      <c r="C310" s="2"/>
      <c r="D310" s="2"/>
      <c r="E310" s="2"/>
      <c r="F310" s="2"/>
      <c r="G310" s="173"/>
      <c r="H310" s="174"/>
      <c r="I310" s="173" t="e">
        <f>Tabela22[[#This Row],[PESO TOTAL]]/Tabela22[[#This Row],[QUANTIDADE]]</f>
        <v>#DIV/0!</v>
      </c>
      <c r="J310" s="2"/>
      <c r="K310" s="193"/>
      <c r="L310" s="8"/>
      <c r="M310" s="8"/>
      <c r="N310" s="8"/>
      <c r="O310" s="194"/>
      <c r="P310" s="195"/>
    </row>
    <row r="311" spans="1:16">
      <c r="A311" s="3"/>
      <c r="B311" s="3" t="str">
        <f>TEXT(Tabela223[[#This Row],[DATA]],"mmmm")</f>
        <v>janeiro</v>
      </c>
      <c r="C311" s="2"/>
      <c r="D311" s="2"/>
      <c r="E311" s="2"/>
      <c r="F311" s="2"/>
      <c r="G311" s="173"/>
      <c r="H311" s="174"/>
      <c r="I311" s="173" t="e">
        <f>Tabela22[[#This Row],[PESO TOTAL]]/Tabela22[[#This Row],[QUANTIDADE]]</f>
        <v>#DIV/0!</v>
      </c>
      <c r="J311" s="2"/>
      <c r="K311" s="193"/>
      <c r="L311" s="8"/>
      <c r="M311" s="8"/>
      <c r="N311" s="8"/>
      <c r="O311" s="194"/>
      <c r="P311" s="195"/>
    </row>
    <row r="312" spans="1:16">
      <c r="A312" s="3"/>
      <c r="B312" s="3" t="str">
        <f>TEXT(Tabela223[[#This Row],[DATA]],"mmmm")</f>
        <v>janeiro</v>
      </c>
      <c r="C312" s="2"/>
      <c r="D312" s="2"/>
      <c r="E312" s="2"/>
      <c r="F312" s="2"/>
      <c r="G312" s="173"/>
      <c r="H312" s="174"/>
      <c r="I312" s="173" t="e">
        <f>Tabela22[[#This Row],[PESO TOTAL]]/Tabela22[[#This Row],[QUANTIDADE]]</f>
        <v>#DIV/0!</v>
      </c>
      <c r="J312" s="2"/>
      <c r="K312" s="193"/>
      <c r="L312" s="8"/>
      <c r="M312" s="8"/>
      <c r="N312" s="8"/>
      <c r="O312" s="194"/>
      <c r="P312" s="195"/>
    </row>
    <row r="313" spans="1:16">
      <c r="A313" s="3"/>
      <c r="B313" s="3" t="str">
        <f>TEXT(Tabela223[[#This Row],[DATA]],"mmmm")</f>
        <v>janeiro</v>
      </c>
      <c r="C313" s="2"/>
      <c r="D313" s="2"/>
      <c r="E313" s="2"/>
      <c r="F313" s="2"/>
      <c r="G313" s="173"/>
      <c r="H313" s="174"/>
      <c r="I313" s="173" t="e">
        <f>Tabela22[[#This Row],[PESO TOTAL]]/Tabela22[[#This Row],[QUANTIDADE]]</f>
        <v>#DIV/0!</v>
      </c>
      <c r="J313" s="2"/>
      <c r="K313" s="193"/>
      <c r="L313" s="8"/>
      <c r="M313" s="8"/>
      <c r="N313" s="8"/>
      <c r="O313" s="194"/>
      <c r="P313" s="195"/>
    </row>
    <row r="314" spans="1:16">
      <c r="A314" s="3"/>
      <c r="B314" s="3" t="str">
        <f>TEXT(Tabela223[[#This Row],[DATA]],"mmmm")</f>
        <v>janeiro</v>
      </c>
      <c r="C314" s="2"/>
      <c r="D314" s="2"/>
      <c r="E314" s="2"/>
      <c r="F314" s="2"/>
      <c r="G314" s="173"/>
      <c r="H314" s="174"/>
      <c r="I314" s="173" t="e">
        <f>Tabela22[[#This Row],[PESO TOTAL]]/Tabela22[[#This Row],[QUANTIDADE]]</f>
        <v>#DIV/0!</v>
      </c>
      <c r="J314" s="2"/>
      <c r="K314" s="193"/>
      <c r="L314" s="8"/>
      <c r="M314" s="8"/>
      <c r="N314" s="8"/>
      <c r="O314" s="194"/>
      <c r="P314" s="195"/>
    </row>
    <row r="315" spans="1:16">
      <c r="A315" s="3"/>
      <c r="B315" s="3" t="str">
        <f>TEXT(Tabela223[[#This Row],[DATA]],"mmmm")</f>
        <v>janeiro</v>
      </c>
      <c r="C315" s="2"/>
      <c r="D315" s="2"/>
      <c r="E315" s="2"/>
      <c r="F315" s="2"/>
      <c r="G315" s="173"/>
      <c r="H315" s="174"/>
      <c r="I315" s="173" t="e">
        <f>Tabela22[[#This Row],[PESO TOTAL]]/Tabela22[[#This Row],[QUANTIDADE]]</f>
        <v>#DIV/0!</v>
      </c>
      <c r="J315" s="2"/>
      <c r="K315" s="193"/>
      <c r="L315" s="8"/>
      <c r="M315" s="8"/>
      <c r="N315" s="8"/>
      <c r="O315" s="194"/>
      <c r="P315" s="195"/>
    </row>
    <row r="316" spans="1:16">
      <c r="A316" s="3"/>
      <c r="B316" s="3" t="str">
        <f>TEXT(Tabela223[[#This Row],[DATA]],"mmmm")</f>
        <v>janeiro</v>
      </c>
      <c r="C316" s="2"/>
      <c r="D316" s="2"/>
      <c r="E316" s="2"/>
      <c r="F316" s="2"/>
      <c r="G316" s="173"/>
      <c r="H316" s="174"/>
      <c r="I316" s="173" t="e">
        <f>Tabela22[[#This Row],[PESO TOTAL]]/Tabela22[[#This Row],[QUANTIDADE]]</f>
        <v>#DIV/0!</v>
      </c>
      <c r="J316" s="2"/>
      <c r="K316" s="193"/>
      <c r="L316" s="8"/>
      <c r="M316" s="8"/>
      <c r="N316" s="8"/>
      <c r="O316" s="194"/>
      <c r="P316" s="195"/>
    </row>
    <row r="317" spans="1:16">
      <c r="A317" s="3"/>
      <c r="B317" s="3" t="str">
        <f>TEXT(Tabela223[[#This Row],[DATA]],"mmmm")</f>
        <v>janeiro</v>
      </c>
      <c r="C317" s="2"/>
      <c r="D317" s="2"/>
      <c r="E317" s="2"/>
      <c r="F317" s="2"/>
      <c r="G317" s="173"/>
      <c r="H317" s="174"/>
      <c r="I317" s="173" t="e">
        <f>Tabela22[[#This Row],[PESO TOTAL]]/Tabela22[[#This Row],[QUANTIDADE]]</f>
        <v>#DIV/0!</v>
      </c>
      <c r="J317" s="2"/>
      <c r="K317" s="193"/>
      <c r="L317" s="8"/>
      <c r="M317" s="8"/>
      <c r="N317" s="8"/>
      <c r="O317" s="194"/>
      <c r="P317" s="195"/>
    </row>
    <row r="318" spans="1:16">
      <c r="A318" s="3"/>
      <c r="B318" s="3" t="str">
        <f>TEXT(Tabela223[[#This Row],[DATA]],"mmmm")</f>
        <v>janeiro</v>
      </c>
      <c r="C318" s="2"/>
      <c r="D318" s="2"/>
      <c r="E318" s="2"/>
      <c r="F318" s="2"/>
      <c r="G318" s="173"/>
      <c r="H318" s="174"/>
      <c r="I318" s="173" t="e">
        <f>Tabela22[[#This Row],[PESO TOTAL]]/Tabela22[[#This Row],[QUANTIDADE]]</f>
        <v>#DIV/0!</v>
      </c>
      <c r="J318" s="2"/>
      <c r="K318" s="193"/>
      <c r="L318" s="8"/>
      <c r="M318" s="8"/>
      <c r="N318" s="8"/>
      <c r="O318" s="194"/>
      <c r="P318" s="195"/>
    </row>
    <row r="319" spans="1:16">
      <c r="A319" s="3"/>
      <c r="B319" s="3" t="str">
        <f>TEXT(Tabela223[[#This Row],[DATA]],"mmmm")</f>
        <v>janeiro</v>
      </c>
      <c r="C319" s="2"/>
      <c r="D319" s="2"/>
      <c r="E319" s="2"/>
      <c r="F319" s="2"/>
      <c r="G319" s="173"/>
      <c r="H319" s="174"/>
      <c r="I319" s="173" t="e">
        <f>Tabela22[[#This Row],[PESO TOTAL]]/Tabela22[[#This Row],[QUANTIDADE]]</f>
        <v>#DIV/0!</v>
      </c>
      <c r="J319" s="2"/>
      <c r="K319" s="193"/>
      <c r="L319" s="8"/>
      <c r="M319" s="8"/>
      <c r="N319" s="8"/>
      <c r="O319" s="194"/>
      <c r="P319" s="195"/>
    </row>
    <row r="320" spans="1:16">
      <c r="A320" s="3"/>
      <c r="B320" s="3" t="str">
        <f>TEXT(Tabela223[[#This Row],[DATA]],"mmmm")</f>
        <v>janeiro</v>
      </c>
      <c r="C320" s="2"/>
      <c r="D320" s="2"/>
      <c r="E320" s="2"/>
      <c r="F320" s="2"/>
      <c r="G320" s="173"/>
      <c r="H320" s="174"/>
      <c r="I320" s="173" t="e">
        <f>Tabela22[[#This Row],[PESO TOTAL]]/Tabela22[[#This Row],[QUANTIDADE]]</f>
        <v>#DIV/0!</v>
      </c>
      <c r="J320" s="2"/>
      <c r="K320" s="193"/>
      <c r="L320" s="8"/>
      <c r="M320" s="8"/>
      <c r="N320" s="8"/>
      <c r="O320" s="194"/>
      <c r="P320" s="195"/>
    </row>
    <row r="321" spans="1:16">
      <c r="A321" s="3"/>
      <c r="B321" s="3" t="str">
        <f>TEXT(Tabela223[[#This Row],[DATA]],"mmmm")</f>
        <v>janeiro</v>
      </c>
      <c r="C321" s="2"/>
      <c r="D321" s="2"/>
      <c r="E321" s="2"/>
      <c r="F321" s="2"/>
      <c r="G321" s="173"/>
      <c r="H321" s="174"/>
      <c r="I321" s="173" t="e">
        <f>Tabela22[[#This Row],[PESO TOTAL]]/Tabela22[[#This Row],[QUANTIDADE]]</f>
        <v>#DIV/0!</v>
      </c>
      <c r="J321" s="2"/>
      <c r="K321" s="193"/>
      <c r="L321" s="8"/>
      <c r="M321" s="8"/>
      <c r="N321" s="8"/>
      <c r="O321" s="194"/>
      <c r="P321" s="195"/>
    </row>
    <row r="322" spans="1:16">
      <c r="A322" s="3"/>
      <c r="B322" s="3" t="str">
        <f>TEXT(Tabela223[[#This Row],[DATA]],"mmmm")</f>
        <v>janeiro</v>
      </c>
      <c r="C322" s="2"/>
      <c r="D322" s="2"/>
      <c r="E322" s="2"/>
      <c r="F322" s="2"/>
      <c r="G322" s="173"/>
      <c r="H322" s="174"/>
      <c r="I322" s="173" t="e">
        <f>Tabela22[[#This Row],[PESO TOTAL]]/Tabela22[[#This Row],[QUANTIDADE]]</f>
        <v>#DIV/0!</v>
      </c>
      <c r="J322" s="2"/>
      <c r="K322" s="193"/>
      <c r="L322" s="8"/>
      <c r="M322" s="8"/>
      <c r="N322" s="8"/>
      <c r="O322" s="194"/>
      <c r="P322" s="195"/>
    </row>
    <row r="323" spans="1:16">
      <c r="A323" s="3"/>
      <c r="B323" s="3" t="str">
        <f>TEXT(Tabela223[[#This Row],[DATA]],"mmmm")</f>
        <v>janeiro</v>
      </c>
      <c r="C323" s="2"/>
      <c r="D323" s="2"/>
      <c r="E323" s="2"/>
      <c r="F323" s="2"/>
      <c r="G323" s="173"/>
      <c r="H323" s="174"/>
      <c r="I323" s="173" t="e">
        <f>Tabela22[[#This Row],[PESO TOTAL]]/Tabela22[[#This Row],[QUANTIDADE]]</f>
        <v>#DIV/0!</v>
      </c>
      <c r="J323" s="2"/>
      <c r="K323" s="193"/>
      <c r="L323" s="8"/>
      <c r="M323" s="8"/>
      <c r="N323" s="8"/>
      <c r="O323" s="194"/>
      <c r="P323" s="195"/>
    </row>
    <row r="324" spans="1:16">
      <c r="A324" s="3"/>
      <c r="B324" s="3" t="str">
        <f>TEXT(Tabela223[[#This Row],[DATA]],"mmmm")</f>
        <v>janeiro</v>
      </c>
      <c r="C324" s="2"/>
      <c r="D324" s="2"/>
      <c r="E324" s="2"/>
      <c r="F324" s="2"/>
      <c r="G324" s="173"/>
      <c r="H324" s="174"/>
      <c r="I324" s="173" t="e">
        <f>Tabela22[[#This Row],[PESO TOTAL]]/Tabela22[[#This Row],[QUANTIDADE]]</f>
        <v>#DIV/0!</v>
      </c>
      <c r="J324" s="2"/>
      <c r="K324" s="193"/>
      <c r="L324" s="8"/>
      <c r="M324" s="8"/>
      <c r="N324" s="8"/>
      <c r="O324" s="194"/>
      <c r="P324" s="195"/>
    </row>
    <row r="325" spans="1:16">
      <c r="A325" s="3"/>
      <c r="B325" s="3" t="str">
        <f>TEXT(Tabela223[[#This Row],[DATA]],"mmmm")</f>
        <v>janeiro</v>
      </c>
      <c r="C325" s="2"/>
      <c r="D325" s="2"/>
      <c r="E325" s="2"/>
      <c r="F325" s="2"/>
      <c r="G325" s="173"/>
      <c r="H325" s="174"/>
      <c r="I325" s="173" t="e">
        <f>Tabela22[[#This Row],[PESO TOTAL]]/Tabela22[[#This Row],[QUANTIDADE]]</f>
        <v>#DIV/0!</v>
      </c>
      <c r="J325" s="2"/>
      <c r="K325" s="193"/>
      <c r="L325" s="8"/>
      <c r="M325" s="8"/>
      <c r="N325" s="8"/>
      <c r="O325" s="194"/>
      <c r="P325" s="195"/>
    </row>
    <row r="326" spans="1:16">
      <c r="A326" s="3"/>
      <c r="B326" s="3" t="str">
        <f>TEXT(Tabela223[[#This Row],[DATA]],"mmmm")</f>
        <v>janeiro</v>
      </c>
      <c r="C326" s="2"/>
      <c r="D326" s="2"/>
      <c r="E326" s="2"/>
      <c r="F326" s="2"/>
      <c r="G326" s="173"/>
      <c r="H326" s="174"/>
      <c r="I326" s="173" t="e">
        <f>Tabela22[[#This Row],[PESO TOTAL]]/Tabela22[[#This Row],[QUANTIDADE]]</f>
        <v>#DIV/0!</v>
      </c>
      <c r="J326" s="2"/>
      <c r="K326" s="193"/>
      <c r="L326" s="8"/>
      <c r="M326" s="8"/>
      <c r="N326" s="8"/>
      <c r="O326" s="194"/>
      <c r="P326" s="195"/>
    </row>
    <row r="327" spans="1:16">
      <c r="A327" s="3"/>
      <c r="B327" s="3" t="str">
        <f>TEXT(Tabela223[[#This Row],[DATA]],"mmmm")</f>
        <v>janeiro</v>
      </c>
      <c r="C327" s="2"/>
      <c r="D327" s="2"/>
      <c r="E327" s="2"/>
      <c r="F327" s="2"/>
      <c r="G327" s="173"/>
      <c r="H327" s="174"/>
      <c r="I327" s="173" t="e">
        <f>Tabela22[[#This Row],[PESO TOTAL]]/Tabela22[[#This Row],[QUANTIDADE]]</f>
        <v>#DIV/0!</v>
      </c>
      <c r="J327" s="2"/>
      <c r="K327" s="193"/>
      <c r="L327" s="8"/>
      <c r="M327" s="8"/>
      <c r="N327" s="8"/>
      <c r="O327" s="194"/>
      <c r="P327" s="195"/>
    </row>
    <row r="328" spans="1:16">
      <c r="A328" s="3"/>
      <c r="B328" s="3" t="str">
        <f>TEXT(Tabela223[[#This Row],[DATA]],"mmmm")</f>
        <v>janeiro</v>
      </c>
      <c r="C328" s="2"/>
      <c r="D328" s="2"/>
      <c r="E328" s="2"/>
      <c r="F328" s="2"/>
      <c r="G328" s="173"/>
      <c r="H328" s="174"/>
      <c r="I328" s="173" t="e">
        <f>Tabela22[[#This Row],[PESO TOTAL]]/Tabela22[[#This Row],[QUANTIDADE]]</f>
        <v>#DIV/0!</v>
      </c>
      <c r="J328" s="2"/>
      <c r="K328" s="193"/>
      <c r="L328" s="8"/>
      <c r="M328" s="8"/>
      <c r="N328" s="8"/>
      <c r="O328" s="194"/>
      <c r="P328" s="195"/>
    </row>
    <row r="329" spans="1:16">
      <c r="A329" s="3"/>
      <c r="B329" s="3" t="str">
        <f>TEXT(Tabela223[[#This Row],[DATA]],"mmmm")</f>
        <v>janeiro</v>
      </c>
      <c r="C329" s="2"/>
      <c r="D329" s="2"/>
      <c r="E329" s="2"/>
      <c r="F329" s="2"/>
      <c r="G329" s="173"/>
      <c r="H329" s="174"/>
      <c r="I329" s="173" t="e">
        <f>Tabela22[[#This Row],[PESO TOTAL]]/Tabela22[[#This Row],[QUANTIDADE]]</f>
        <v>#DIV/0!</v>
      </c>
      <c r="J329" s="2"/>
      <c r="K329" s="193"/>
      <c r="L329" s="8"/>
      <c r="M329" s="8"/>
      <c r="N329" s="8"/>
      <c r="O329" s="194"/>
      <c r="P329" s="195"/>
    </row>
    <row r="330" spans="1:16">
      <c r="A330" s="3"/>
      <c r="B330" s="3" t="str">
        <f>TEXT(Tabela223[[#This Row],[DATA]],"mmmm")</f>
        <v>janeiro</v>
      </c>
      <c r="C330" s="2"/>
      <c r="D330" s="2"/>
      <c r="E330" s="2"/>
      <c r="F330" s="2"/>
      <c r="G330" s="173"/>
      <c r="H330" s="174"/>
      <c r="I330" s="173" t="e">
        <f>Tabela22[[#This Row],[PESO TOTAL]]/Tabela22[[#This Row],[QUANTIDADE]]</f>
        <v>#DIV/0!</v>
      </c>
      <c r="J330" s="2"/>
      <c r="K330" s="193"/>
      <c r="L330" s="8"/>
      <c r="M330" s="8"/>
      <c r="N330" s="8"/>
      <c r="O330" s="194"/>
      <c r="P330" s="195"/>
    </row>
    <row r="331" spans="1:16">
      <c r="A331" s="3"/>
      <c r="B331" s="3" t="str">
        <f>TEXT(Tabela223[[#This Row],[DATA]],"mmmm")</f>
        <v>janeiro</v>
      </c>
      <c r="C331" s="2"/>
      <c r="D331" s="2"/>
      <c r="E331" s="2"/>
      <c r="F331" s="2"/>
      <c r="G331" s="173"/>
      <c r="H331" s="174"/>
      <c r="I331" s="173" t="e">
        <f>Tabela22[[#This Row],[PESO TOTAL]]/Tabela22[[#This Row],[QUANTIDADE]]</f>
        <v>#DIV/0!</v>
      </c>
      <c r="J331" s="2"/>
      <c r="K331" s="193"/>
      <c r="L331" s="8"/>
      <c r="M331" s="8"/>
      <c r="N331" s="8"/>
      <c r="O331" s="194"/>
      <c r="P331" s="195"/>
    </row>
    <row r="332" spans="1:16">
      <c r="A332" s="3"/>
      <c r="B332" s="3" t="str">
        <f>TEXT(Tabela223[[#This Row],[DATA]],"mmmm")</f>
        <v>janeiro</v>
      </c>
      <c r="C332" s="2"/>
      <c r="D332" s="2"/>
      <c r="E332" s="2"/>
      <c r="F332" s="2"/>
      <c r="G332" s="173"/>
      <c r="H332" s="174"/>
      <c r="I332" s="173" t="e">
        <f>Tabela22[[#This Row],[PESO TOTAL]]/Tabela22[[#This Row],[QUANTIDADE]]</f>
        <v>#DIV/0!</v>
      </c>
      <c r="J332" s="2"/>
      <c r="K332" s="193"/>
      <c r="L332" s="8"/>
      <c r="M332" s="8"/>
      <c r="N332" s="8"/>
      <c r="O332" s="194"/>
      <c r="P332" s="195"/>
    </row>
    <row r="333" spans="1:16">
      <c r="A333" s="3"/>
      <c r="B333" s="3" t="str">
        <f>TEXT(Tabela223[[#This Row],[DATA]],"mmmm")</f>
        <v>janeiro</v>
      </c>
      <c r="C333" s="2"/>
      <c r="D333" s="2"/>
      <c r="E333" s="2"/>
      <c r="F333" s="2"/>
      <c r="G333" s="173"/>
      <c r="H333" s="174"/>
      <c r="I333" s="173" t="e">
        <f>Tabela22[[#This Row],[PESO TOTAL]]/Tabela22[[#This Row],[QUANTIDADE]]</f>
        <v>#DIV/0!</v>
      </c>
      <c r="J333" s="2"/>
      <c r="K333" s="193"/>
      <c r="L333" s="8"/>
      <c r="M333" s="8"/>
      <c r="N333" s="8"/>
      <c r="O333" s="194"/>
      <c r="P333" s="195"/>
    </row>
    <row r="334" spans="1:16">
      <c r="A334" s="3"/>
      <c r="B334" s="3" t="str">
        <f>TEXT(Tabela223[[#This Row],[DATA]],"mmmm")</f>
        <v>janeiro</v>
      </c>
      <c r="C334" s="2"/>
      <c r="D334" s="2"/>
      <c r="E334" s="2"/>
      <c r="F334" s="2"/>
      <c r="G334" s="173"/>
      <c r="H334" s="174"/>
      <c r="I334" s="173" t="e">
        <f>Tabela22[[#This Row],[PESO TOTAL]]/Tabela22[[#This Row],[QUANTIDADE]]</f>
        <v>#DIV/0!</v>
      </c>
      <c r="J334" s="2"/>
      <c r="K334" s="193"/>
      <c r="L334" s="8"/>
      <c r="M334" s="8"/>
      <c r="N334" s="8"/>
      <c r="O334" s="194"/>
      <c r="P334" s="195"/>
    </row>
    <row r="335" spans="1:16">
      <c r="A335" s="3"/>
      <c r="B335" s="3" t="str">
        <f>TEXT(Tabela223[[#This Row],[DATA]],"mmmm")</f>
        <v>janeiro</v>
      </c>
      <c r="C335" s="2"/>
      <c r="D335" s="2"/>
      <c r="E335" s="2"/>
      <c r="F335" s="2"/>
      <c r="G335" s="173"/>
      <c r="H335" s="174"/>
      <c r="I335" s="173" t="e">
        <f>Tabela22[[#This Row],[PESO TOTAL]]/Tabela22[[#This Row],[QUANTIDADE]]</f>
        <v>#DIV/0!</v>
      </c>
      <c r="J335" s="2"/>
      <c r="K335" s="193"/>
      <c r="L335" s="8"/>
      <c r="M335" s="8"/>
      <c r="N335" s="8"/>
      <c r="O335" s="194"/>
      <c r="P335" s="195"/>
    </row>
    <row r="336" spans="1:16">
      <c r="A336" s="3"/>
      <c r="B336" s="3" t="str">
        <f>TEXT(Tabela223[[#This Row],[DATA]],"mmmm")</f>
        <v>janeiro</v>
      </c>
      <c r="C336" s="2"/>
      <c r="D336" s="2"/>
      <c r="E336" s="2"/>
      <c r="F336" s="2"/>
      <c r="G336" s="173"/>
      <c r="H336" s="174"/>
      <c r="I336" s="173" t="e">
        <f>Tabela22[[#This Row],[PESO TOTAL]]/Tabela22[[#This Row],[QUANTIDADE]]</f>
        <v>#DIV/0!</v>
      </c>
      <c r="J336" s="2"/>
      <c r="K336" s="193"/>
      <c r="L336" s="8"/>
      <c r="M336" s="8"/>
      <c r="N336" s="8"/>
      <c r="O336" s="194"/>
      <c r="P336" s="195"/>
    </row>
    <row r="337" spans="1:16">
      <c r="A337" s="3"/>
      <c r="B337" s="3" t="str">
        <f>TEXT(Tabela223[[#This Row],[DATA]],"mmmm")</f>
        <v>janeiro</v>
      </c>
      <c r="C337" s="2"/>
      <c r="D337" s="2"/>
      <c r="E337" s="2"/>
      <c r="F337" s="2"/>
      <c r="G337" s="173"/>
      <c r="H337" s="174"/>
      <c r="I337" s="173" t="e">
        <f>Tabela22[[#This Row],[PESO TOTAL]]/Tabela22[[#This Row],[QUANTIDADE]]</f>
        <v>#DIV/0!</v>
      </c>
      <c r="J337" s="2"/>
      <c r="K337" s="193"/>
      <c r="L337" s="8"/>
      <c r="M337" s="8"/>
      <c r="N337" s="8"/>
      <c r="O337" s="194"/>
      <c r="P337" s="195"/>
    </row>
    <row r="338" spans="1:16">
      <c r="A338" s="3"/>
      <c r="B338" s="3" t="str">
        <f>TEXT(Tabela223[[#This Row],[DATA]],"mmmm")</f>
        <v>janeiro</v>
      </c>
      <c r="C338" s="2"/>
      <c r="D338" s="2"/>
      <c r="E338" s="2"/>
      <c r="F338" s="2"/>
      <c r="G338" s="173"/>
      <c r="H338" s="174"/>
      <c r="I338" s="173" t="e">
        <f>Tabela22[[#This Row],[PESO TOTAL]]/Tabela22[[#This Row],[QUANTIDADE]]</f>
        <v>#DIV/0!</v>
      </c>
      <c r="J338" s="2"/>
      <c r="K338" s="193"/>
      <c r="L338" s="8"/>
      <c r="M338" s="8"/>
      <c r="N338" s="8"/>
      <c r="O338" s="194"/>
      <c r="P338" s="195"/>
    </row>
    <row r="339" spans="1:16">
      <c r="A339" s="3"/>
      <c r="B339" s="3" t="str">
        <f>TEXT(Tabela223[[#This Row],[DATA]],"mmmm")</f>
        <v>janeiro</v>
      </c>
      <c r="C339" s="2"/>
      <c r="D339" s="2"/>
      <c r="E339" s="2"/>
      <c r="F339" s="2"/>
      <c r="G339" s="173"/>
      <c r="H339" s="174"/>
      <c r="I339" s="173" t="e">
        <f>Tabela22[[#This Row],[PESO TOTAL]]/Tabela22[[#This Row],[QUANTIDADE]]</f>
        <v>#DIV/0!</v>
      </c>
      <c r="J339" s="2"/>
      <c r="K339" s="193"/>
      <c r="L339" s="8"/>
      <c r="M339" s="8"/>
      <c r="N339" s="8"/>
      <c r="O339" s="194"/>
      <c r="P339" s="195"/>
    </row>
    <row r="340" spans="1:16">
      <c r="A340" s="3"/>
      <c r="B340" s="3" t="str">
        <f>TEXT(Tabela223[[#This Row],[DATA]],"mmmm")</f>
        <v>janeiro</v>
      </c>
      <c r="C340" s="2"/>
      <c r="D340" s="2"/>
      <c r="E340" s="2"/>
      <c r="F340" s="2"/>
      <c r="G340" s="173"/>
      <c r="H340" s="174"/>
      <c r="I340" s="173" t="e">
        <f>Tabela22[[#This Row],[PESO TOTAL]]/Tabela22[[#This Row],[QUANTIDADE]]</f>
        <v>#DIV/0!</v>
      </c>
      <c r="J340" s="2"/>
      <c r="K340" s="193"/>
      <c r="L340" s="8"/>
      <c r="M340" s="8"/>
      <c r="N340" s="8"/>
      <c r="O340" s="194"/>
      <c r="P340" s="195"/>
    </row>
    <row r="341" spans="1:16">
      <c r="A341" s="3"/>
      <c r="B341" s="3" t="str">
        <f>TEXT(Tabela223[[#This Row],[DATA]],"mmmm")</f>
        <v>janeiro</v>
      </c>
      <c r="C341" s="2"/>
      <c r="D341" s="2"/>
      <c r="E341" s="2"/>
      <c r="F341" s="2"/>
      <c r="G341" s="173"/>
      <c r="H341" s="174"/>
      <c r="I341" s="173" t="e">
        <f>Tabela22[[#This Row],[PESO TOTAL]]/Tabela22[[#This Row],[QUANTIDADE]]</f>
        <v>#DIV/0!</v>
      </c>
      <c r="J341" s="2"/>
      <c r="K341" s="193"/>
      <c r="L341" s="8"/>
      <c r="M341" s="8"/>
      <c r="N341" s="8"/>
      <c r="O341" s="194"/>
      <c r="P341" s="195"/>
    </row>
    <row r="342" spans="1:16">
      <c r="A342" s="3"/>
      <c r="B342" s="3" t="str">
        <f>TEXT(Tabela223[[#This Row],[DATA]],"mmmm")</f>
        <v>janeiro</v>
      </c>
      <c r="C342" s="2"/>
      <c r="D342" s="2"/>
      <c r="E342" s="2"/>
      <c r="F342" s="2"/>
      <c r="G342" s="173"/>
      <c r="H342" s="174"/>
      <c r="I342" s="173" t="e">
        <f>Tabela22[[#This Row],[PESO TOTAL]]/Tabela22[[#This Row],[QUANTIDADE]]</f>
        <v>#DIV/0!</v>
      </c>
      <c r="J342" s="2"/>
      <c r="K342" s="193"/>
      <c r="L342" s="8"/>
      <c r="M342" s="8"/>
      <c r="N342" s="8"/>
      <c r="O342" s="194"/>
      <c r="P342" s="195"/>
    </row>
    <row r="343" spans="1:16">
      <c r="A343" s="3"/>
      <c r="B343" s="3" t="str">
        <f>TEXT(Tabela223[[#This Row],[DATA]],"mmmm")</f>
        <v>janeiro</v>
      </c>
      <c r="C343" s="2"/>
      <c r="D343" s="2"/>
      <c r="E343" s="2"/>
      <c r="F343" s="2"/>
      <c r="G343" s="173"/>
      <c r="H343" s="174"/>
      <c r="I343" s="173" t="e">
        <f>Tabela22[[#This Row],[PESO TOTAL]]/Tabela22[[#This Row],[QUANTIDADE]]</f>
        <v>#DIV/0!</v>
      </c>
      <c r="J343" s="2"/>
      <c r="K343" s="193"/>
      <c r="L343" s="8"/>
      <c r="M343" s="8"/>
      <c r="N343" s="8"/>
      <c r="O343" s="194"/>
      <c r="P343" s="195"/>
    </row>
    <row r="344" spans="1:16">
      <c r="A344" s="3"/>
      <c r="B344" s="3" t="str">
        <f>TEXT(Tabela223[[#This Row],[DATA]],"mmmm")</f>
        <v>janeiro</v>
      </c>
      <c r="C344" s="2"/>
      <c r="D344" s="2"/>
      <c r="E344" s="2"/>
      <c r="F344" s="2"/>
      <c r="G344" s="173"/>
      <c r="H344" s="174"/>
      <c r="I344" s="173" t="e">
        <f>Tabela22[[#This Row],[PESO TOTAL]]/Tabela22[[#This Row],[QUANTIDADE]]</f>
        <v>#DIV/0!</v>
      </c>
      <c r="J344" s="2"/>
      <c r="K344" s="193"/>
      <c r="L344" s="8"/>
      <c r="M344" s="8"/>
      <c r="N344" s="8"/>
      <c r="O344" s="194"/>
      <c r="P344" s="195"/>
    </row>
    <row r="345" spans="1:16">
      <c r="A345" s="3"/>
      <c r="B345" s="3" t="str">
        <f>TEXT(Tabela223[[#This Row],[DATA]],"mmmm")</f>
        <v>janeiro</v>
      </c>
      <c r="C345" s="2"/>
      <c r="D345" s="2"/>
      <c r="E345" s="2"/>
      <c r="F345" s="2"/>
      <c r="G345" s="173"/>
      <c r="H345" s="174"/>
      <c r="I345" s="173" t="e">
        <f>Tabela22[[#This Row],[PESO TOTAL]]/Tabela22[[#This Row],[QUANTIDADE]]</f>
        <v>#DIV/0!</v>
      </c>
      <c r="J345" s="2"/>
      <c r="K345" s="193"/>
      <c r="L345" s="8"/>
      <c r="M345" s="8"/>
      <c r="N345" s="8"/>
      <c r="O345" s="194"/>
      <c r="P345" s="195"/>
    </row>
    <row r="346" spans="1:16">
      <c r="A346" s="3"/>
      <c r="B346" s="3" t="str">
        <f>TEXT(Tabela223[[#This Row],[DATA]],"mmmm")</f>
        <v>janeiro</v>
      </c>
      <c r="C346" s="2"/>
      <c r="D346" s="2"/>
      <c r="E346" s="2"/>
      <c r="F346" s="2"/>
      <c r="G346" s="173"/>
      <c r="H346" s="174"/>
      <c r="I346" s="173" t="e">
        <f>Tabela22[[#This Row],[PESO TOTAL]]/Tabela22[[#This Row],[QUANTIDADE]]</f>
        <v>#DIV/0!</v>
      </c>
      <c r="J346" s="2"/>
      <c r="K346" s="193"/>
      <c r="L346" s="8"/>
      <c r="M346" s="8"/>
      <c r="N346" s="8"/>
      <c r="O346" s="194"/>
      <c r="P346" s="195"/>
    </row>
    <row r="347" spans="1:16">
      <c r="A347" s="3"/>
      <c r="B347" s="3" t="str">
        <f>TEXT(Tabela223[[#This Row],[DATA]],"mmmm")</f>
        <v>janeiro</v>
      </c>
      <c r="C347" s="2"/>
      <c r="D347" s="2"/>
      <c r="E347" s="2"/>
      <c r="F347" s="2"/>
      <c r="G347" s="173"/>
      <c r="H347" s="174"/>
      <c r="I347" s="173" t="e">
        <f>Tabela22[[#This Row],[PESO TOTAL]]/Tabela22[[#This Row],[QUANTIDADE]]</f>
        <v>#DIV/0!</v>
      </c>
      <c r="J347" s="2"/>
      <c r="K347" s="193"/>
      <c r="L347" s="8"/>
      <c r="M347" s="8"/>
      <c r="N347" s="8"/>
      <c r="O347" s="194"/>
      <c r="P347" s="195"/>
    </row>
    <row r="348" spans="1:16">
      <c r="A348" s="3"/>
      <c r="B348" s="3" t="str">
        <f>TEXT(Tabela223[[#This Row],[DATA]],"mmmm")</f>
        <v>janeiro</v>
      </c>
      <c r="C348" s="2"/>
      <c r="D348" s="2"/>
      <c r="E348" s="2"/>
      <c r="F348" s="2"/>
      <c r="G348" s="173"/>
      <c r="H348" s="174"/>
      <c r="I348" s="173" t="e">
        <f>Tabela22[[#This Row],[PESO TOTAL]]/Tabela22[[#This Row],[QUANTIDADE]]</f>
        <v>#DIV/0!</v>
      </c>
      <c r="J348" s="2"/>
      <c r="K348" s="193"/>
      <c r="L348" s="8"/>
      <c r="M348" s="8"/>
      <c r="N348" s="8"/>
      <c r="O348" s="194"/>
      <c r="P348" s="195"/>
    </row>
    <row r="349" spans="1:16">
      <c r="A349" s="3"/>
      <c r="B349" s="3" t="str">
        <f>TEXT(Tabela223[[#This Row],[DATA]],"mmmm")</f>
        <v>janeiro</v>
      </c>
      <c r="C349" s="2"/>
      <c r="D349" s="2"/>
      <c r="E349" s="2"/>
      <c r="F349" s="2"/>
      <c r="G349" s="173"/>
      <c r="H349" s="174"/>
      <c r="I349" s="173" t="e">
        <f>Tabela22[[#This Row],[PESO TOTAL]]/Tabela22[[#This Row],[QUANTIDADE]]</f>
        <v>#DIV/0!</v>
      </c>
      <c r="J349" s="2"/>
      <c r="K349" s="193"/>
      <c r="L349" s="8"/>
      <c r="M349" s="8"/>
      <c r="N349" s="8"/>
      <c r="O349" s="194"/>
      <c r="P349" s="195"/>
    </row>
    <row r="350" spans="1:16">
      <c r="A350" s="3"/>
      <c r="B350" s="3" t="str">
        <f>TEXT(Tabela223[[#This Row],[DATA]],"mmmm")</f>
        <v>janeiro</v>
      </c>
      <c r="C350" s="2"/>
      <c r="D350" s="2"/>
      <c r="E350" s="2"/>
      <c r="F350" s="2"/>
      <c r="G350" s="173"/>
      <c r="H350" s="174"/>
      <c r="I350" s="173" t="e">
        <f>Tabela22[[#This Row],[PESO TOTAL]]/Tabela22[[#This Row],[QUANTIDADE]]</f>
        <v>#DIV/0!</v>
      </c>
      <c r="J350" s="2"/>
      <c r="K350" s="193"/>
      <c r="L350" s="8"/>
      <c r="M350" s="8"/>
      <c r="N350" s="8"/>
      <c r="O350" s="194"/>
      <c r="P350" s="195"/>
    </row>
    <row r="351" spans="1:16">
      <c r="A351" s="3"/>
      <c r="B351" s="3" t="str">
        <f>TEXT(Tabela223[[#This Row],[DATA]],"mmmm")</f>
        <v>janeiro</v>
      </c>
      <c r="C351" s="2"/>
      <c r="D351" s="2"/>
      <c r="E351" s="2"/>
      <c r="F351" s="2"/>
      <c r="G351" s="173"/>
      <c r="H351" s="174"/>
      <c r="I351" s="173" t="e">
        <f>Tabela22[[#This Row],[PESO TOTAL]]/Tabela22[[#This Row],[QUANTIDADE]]</f>
        <v>#DIV/0!</v>
      </c>
      <c r="J351" s="2"/>
      <c r="K351" s="193"/>
      <c r="L351" s="8"/>
      <c r="M351" s="8"/>
      <c r="N351" s="8"/>
      <c r="O351" s="194"/>
      <c r="P351" s="195"/>
    </row>
    <row r="352" spans="1:16">
      <c r="A352" s="3"/>
      <c r="B352" s="3" t="str">
        <f>TEXT(Tabela223[[#This Row],[DATA]],"mmmm")</f>
        <v>janeiro</v>
      </c>
      <c r="C352" s="2"/>
      <c r="D352" s="2"/>
      <c r="E352" s="2"/>
      <c r="F352" s="2"/>
      <c r="G352" s="173"/>
      <c r="H352" s="174"/>
      <c r="I352" s="173" t="e">
        <f>Tabela22[[#This Row],[PESO TOTAL]]/Tabela22[[#This Row],[QUANTIDADE]]</f>
        <v>#DIV/0!</v>
      </c>
      <c r="J352" s="2"/>
      <c r="K352" s="193"/>
      <c r="L352" s="8"/>
      <c r="M352" s="8"/>
      <c r="N352" s="8"/>
      <c r="O352" s="194"/>
      <c r="P352" s="195"/>
    </row>
    <row r="353" spans="1:16">
      <c r="A353" s="3"/>
      <c r="B353" s="3" t="str">
        <f>TEXT(Tabela223[[#This Row],[DATA]],"mmmm")</f>
        <v>janeiro</v>
      </c>
      <c r="C353" s="2"/>
      <c r="D353" s="2"/>
      <c r="E353" s="2"/>
      <c r="F353" s="2"/>
      <c r="G353" s="173"/>
      <c r="H353" s="174"/>
      <c r="I353" s="173" t="e">
        <f>Tabela22[[#This Row],[PESO TOTAL]]/Tabela22[[#This Row],[QUANTIDADE]]</f>
        <v>#DIV/0!</v>
      </c>
      <c r="J353" s="2"/>
      <c r="K353" s="193"/>
      <c r="L353" s="8"/>
      <c r="M353" s="8"/>
      <c r="N353" s="8"/>
      <c r="O353" s="194"/>
      <c r="P353" s="195"/>
    </row>
    <row r="354" spans="1:16">
      <c r="A354" s="3"/>
      <c r="B354" s="3" t="str">
        <f>TEXT(Tabela223[[#This Row],[DATA]],"mmmm")</f>
        <v>janeiro</v>
      </c>
      <c r="C354" s="2"/>
      <c r="D354" s="2"/>
      <c r="E354" s="2"/>
      <c r="F354" s="2"/>
      <c r="G354" s="173"/>
      <c r="H354" s="174"/>
      <c r="I354" s="173" t="e">
        <f>Tabela22[[#This Row],[PESO TOTAL]]/Tabela22[[#This Row],[QUANTIDADE]]</f>
        <v>#DIV/0!</v>
      </c>
      <c r="J354" s="2"/>
      <c r="K354" s="193"/>
      <c r="L354" s="8"/>
      <c r="M354" s="8"/>
      <c r="N354" s="8"/>
      <c r="O354" s="194"/>
      <c r="P354" s="195"/>
    </row>
    <row r="355" spans="1:16">
      <c r="A355" s="3"/>
      <c r="B355" s="3" t="str">
        <f>TEXT(Tabela223[[#This Row],[DATA]],"mmmm")</f>
        <v>janeiro</v>
      </c>
      <c r="C355" s="2"/>
      <c r="D355" s="2"/>
      <c r="E355" s="2"/>
      <c r="F355" s="2"/>
      <c r="G355" s="173"/>
      <c r="H355" s="174"/>
      <c r="I355" s="173" t="e">
        <f>Tabela22[[#This Row],[PESO TOTAL]]/Tabela22[[#This Row],[QUANTIDADE]]</f>
        <v>#DIV/0!</v>
      </c>
      <c r="J355" s="2"/>
      <c r="K355" s="193"/>
      <c r="L355" s="8"/>
      <c r="M355" s="8"/>
      <c r="N355" s="8"/>
      <c r="O355" s="194"/>
      <c r="P355" s="195"/>
    </row>
    <row r="356" spans="1:16">
      <c r="A356" s="3"/>
      <c r="B356" s="3" t="str">
        <f>TEXT(Tabela223[[#This Row],[DATA]],"mmmm")</f>
        <v>janeiro</v>
      </c>
      <c r="C356" s="2"/>
      <c r="D356" s="2"/>
      <c r="E356" s="2"/>
      <c r="F356" s="2"/>
      <c r="G356" s="173"/>
      <c r="H356" s="174"/>
      <c r="I356" s="173" t="e">
        <f>Tabela22[[#This Row],[PESO TOTAL]]/Tabela22[[#This Row],[QUANTIDADE]]</f>
        <v>#DIV/0!</v>
      </c>
      <c r="J356" s="2"/>
      <c r="K356" s="193"/>
      <c r="L356" s="8"/>
      <c r="M356" s="8"/>
      <c r="N356" s="8"/>
      <c r="O356" s="194"/>
      <c r="P356" s="195"/>
    </row>
    <row r="357" spans="1:16">
      <c r="A357" s="3"/>
      <c r="B357" s="3" t="str">
        <f>TEXT(Tabela223[[#This Row],[DATA]],"mmmm")</f>
        <v>janeiro</v>
      </c>
      <c r="C357" s="2"/>
      <c r="D357" s="2"/>
      <c r="E357" s="2"/>
      <c r="F357" s="2"/>
      <c r="G357" s="173"/>
      <c r="H357" s="174"/>
      <c r="I357" s="173" t="e">
        <f>Tabela22[[#This Row],[PESO TOTAL]]/Tabela22[[#This Row],[QUANTIDADE]]</f>
        <v>#DIV/0!</v>
      </c>
      <c r="J357" s="2"/>
      <c r="K357" s="193"/>
      <c r="L357" s="8"/>
      <c r="M357" s="8"/>
      <c r="N357" s="8"/>
      <c r="O357" s="194"/>
      <c r="P357" s="195"/>
    </row>
    <row r="358" spans="1:16">
      <c r="A358" s="3"/>
      <c r="B358" s="3" t="str">
        <f>TEXT(Tabela223[[#This Row],[DATA]],"mmmm")</f>
        <v>janeiro</v>
      </c>
      <c r="C358" s="2"/>
      <c r="D358" s="2"/>
      <c r="E358" s="2"/>
      <c r="F358" s="2"/>
      <c r="G358" s="173"/>
      <c r="H358" s="174"/>
      <c r="I358" s="173" t="e">
        <f>Tabela22[[#This Row],[PESO TOTAL]]/Tabela22[[#This Row],[QUANTIDADE]]</f>
        <v>#DIV/0!</v>
      </c>
      <c r="J358" s="2"/>
      <c r="K358" s="193"/>
      <c r="L358" s="8"/>
      <c r="M358" s="8"/>
      <c r="N358" s="8"/>
      <c r="O358" s="194"/>
      <c r="P358" s="195"/>
    </row>
    <row r="359" spans="1:16">
      <c r="A359" s="3"/>
      <c r="B359" s="3" t="str">
        <f>TEXT(Tabela223[[#This Row],[DATA]],"mmmm")</f>
        <v>janeiro</v>
      </c>
      <c r="C359" s="2"/>
      <c r="D359" s="2"/>
      <c r="E359" s="2"/>
      <c r="F359" s="2"/>
      <c r="G359" s="173"/>
      <c r="H359" s="174"/>
      <c r="I359" s="173" t="e">
        <f>Tabela22[[#This Row],[PESO TOTAL]]/Tabela22[[#This Row],[QUANTIDADE]]</f>
        <v>#DIV/0!</v>
      </c>
      <c r="J359" s="2"/>
      <c r="K359" s="193"/>
      <c r="L359" s="8"/>
      <c r="M359" s="8"/>
      <c r="N359" s="8"/>
      <c r="O359" s="194"/>
      <c r="P359" s="195"/>
    </row>
    <row r="360" spans="1:16">
      <c r="A360" s="3"/>
      <c r="B360" s="3" t="str">
        <f>TEXT(Tabela223[[#This Row],[DATA]],"mmmm")</f>
        <v>janeiro</v>
      </c>
      <c r="C360" s="2"/>
      <c r="D360" s="2"/>
      <c r="E360" s="2"/>
      <c r="F360" s="2"/>
      <c r="G360" s="173"/>
      <c r="H360" s="174"/>
      <c r="I360" s="173" t="e">
        <f>Tabela22[[#This Row],[PESO TOTAL]]/Tabela22[[#This Row],[QUANTIDADE]]</f>
        <v>#DIV/0!</v>
      </c>
      <c r="J360" s="2"/>
      <c r="K360" s="193"/>
      <c r="L360" s="8"/>
      <c r="M360" s="8"/>
      <c r="N360" s="8"/>
      <c r="O360" s="194"/>
      <c r="P360" s="195"/>
    </row>
    <row r="361" spans="1:16">
      <c r="A361" s="3"/>
      <c r="B361" s="3" t="str">
        <f>TEXT(Tabela223[[#This Row],[DATA]],"mmmm")</f>
        <v>janeiro</v>
      </c>
      <c r="C361" s="2"/>
      <c r="D361" s="2"/>
      <c r="E361" s="2"/>
      <c r="F361" s="2"/>
      <c r="G361" s="173"/>
      <c r="H361" s="174"/>
      <c r="I361" s="173" t="e">
        <f>Tabela22[[#This Row],[PESO TOTAL]]/Tabela22[[#This Row],[QUANTIDADE]]</f>
        <v>#DIV/0!</v>
      </c>
      <c r="J361" s="2"/>
      <c r="K361" s="193"/>
      <c r="L361" s="8"/>
      <c r="M361" s="8"/>
      <c r="N361" s="8"/>
      <c r="O361" s="194"/>
      <c r="P361" s="195"/>
    </row>
    <row r="362" spans="1:16">
      <c r="A362" s="3"/>
      <c r="B362" s="3" t="str">
        <f>TEXT(Tabela223[[#This Row],[DATA]],"mmmm")</f>
        <v>janeiro</v>
      </c>
      <c r="C362" s="2"/>
      <c r="D362" s="2"/>
      <c r="E362" s="2"/>
      <c r="F362" s="2"/>
      <c r="G362" s="173"/>
      <c r="H362" s="174"/>
      <c r="I362" s="173" t="e">
        <f>Tabela22[[#This Row],[PESO TOTAL]]/Tabela22[[#This Row],[QUANTIDADE]]</f>
        <v>#DIV/0!</v>
      </c>
      <c r="J362" s="2"/>
      <c r="K362" s="193"/>
      <c r="L362" s="8"/>
      <c r="M362" s="8"/>
      <c r="N362" s="8"/>
      <c r="O362" s="194"/>
      <c r="P362" s="195"/>
    </row>
    <row r="363" spans="1:16">
      <c r="A363" s="3"/>
      <c r="B363" s="3" t="str">
        <f>TEXT(Tabela223[[#This Row],[DATA]],"mmmm")</f>
        <v>janeiro</v>
      </c>
      <c r="C363" s="2"/>
      <c r="D363" s="2"/>
      <c r="E363" s="2"/>
      <c r="F363" s="2"/>
      <c r="G363" s="173"/>
      <c r="H363" s="174"/>
      <c r="I363" s="173" t="e">
        <f>Tabela22[[#This Row],[PESO TOTAL]]/Tabela22[[#This Row],[QUANTIDADE]]</f>
        <v>#DIV/0!</v>
      </c>
      <c r="J363" s="2"/>
      <c r="K363" s="193"/>
      <c r="L363" s="8"/>
      <c r="M363" s="8"/>
      <c r="N363" s="8"/>
      <c r="O363" s="194"/>
      <c r="P363" s="195"/>
    </row>
    <row r="364" spans="1:16">
      <c r="A364" s="3"/>
      <c r="B364" s="3" t="str">
        <f>TEXT(Tabela223[[#This Row],[DATA]],"mmmm")</f>
        <v>janeiro</v>
      </c>
      <c r="C364" s="2"/>
      <c r="D364" s="2"/>
      <c r="E364" s="2"/>
      <c r="F364" s="2"/>
      <c r="G364" s="173"/>
      <c r="H364" s="174"/>
      <c r="I364" s="173" t="e">
        <f>Tabela22[[#This Row],[PESO TOTAL]]/Tabela22[[#This Row],[QUANTIDADE]]</f>
        <v>#DIV/0!</v>
      </c>
      <c r="J364" s="2"/>
      <c r="K364" s="193"/>
      <c r="L364" s="8"/>
      <c r="M364" s="8"/>
      <c r="N364" s="8"/>
      <c r="O364" s="194"/>
      <c r="P364" s="195"/>
    </row>
    <row r="365" spans="1:16">
      <c r="A365" s="3"/>
      <c r="B365" s="3" t="str">
        <f>TEXT(Tabela223[[#This Row],[DATA]],"mmmm")</f>
        <v>janeiro</v>
      </c>
      <c r="C365" s="2"/>
      <c r="D365" s="2"/>
      <c r="E365" s="2"/>
      <c r="F365" s="2"/>
      <c r="G365" s="173"/>
      <c r="H365" s="174"/>
      <c r="I365" s="173" t="e">
        <f>Tabela22[[#This Row],[PESO TOTAL]]/Tabela22[[#This Row],[QUANTIDADE]]</f>
        <v>#DIV/0!</v>
      </c>
      <c r="J365" s="2"/>
      <c r="K365" s="193"/>
      <c r="L365" s="8"/>
      <c r="M365" s="8"/>
      <c r="N365" s="8"/>
      <c r="O365" s="194"/>
      <c r="P365" s="195"/>
    </row>
    <row r="366" spans="1:16">
      <c r="A366" s="3"/>
      <c r="B366" s="3" t="str">
        <f>TEXT(Tabela223[[#This Row],[DATA]],"mmmm")</f>
        <v>janeiro</v>
      </c>
      <c r="C366" s="2"/>
      <c r="D366" s="2"/>
      <c r="E366" s="2"/>
      <c r="F366" s="2"/>
      <c r="G366" s="173"/>
      <c r="H366" s="174"/>
      <c r="I366" s="173" t="e">
        <f>Tabela22[[#This Row],[PESO TOTAL]]/Tabela22[[#This Row],[QUANTIDADE]]</f>
        <v>#DIV/0!</v>
      </c>
      <c r="J366" s="2"/>
      <c r="K366" s="193"/>
      <c r="L366" s="8"/>
      <c r="M366" s="8"/>
      <c r="N366" s="8"/>
      <c r="O366" s="194"/>
      <c r="P366" s="195"/>
    </row>
    <row r="367" spans="1:16">
      <c r="A367" s="3"/>
      <c r="B367" s="3" t="str">
        <f>TEXT(Tabela223[[#This Row],[DATA]],"mmmm")</f>
        <v>janeiro</v>
      </c>
      <c r="C367" s="2"/>
      <c r="D367" s="2"/>
      <c r="E367" s="2"/>
      <c r="F367" s="2"/>
      <c r="G367" s="173"/>
      <c r="H367" s="174"/>
      <c r="I367" s="173" t="e">
        <f>Tabela22[[#This Row],[PESO TOTAL]]/Tabela22[[#This Row],[QUANTIDADE]]</f>
        <v>#DIV/0!</v>
      </c>
      <c r="J367" s="2"/>
      <c r="K367" s="193"/>
      <c r="L367" s="8"/>
      <c r="M367" s="8"/>
      <c r="N367" s="8"/>
      <c r="O367" s="194"/>
      <c r="P367" s="195"/>
    </row>
    <row r="368" spans="1:16">
      <c r="A368" s="3"/>
      <c r="B368" s="3" t="str">
        <f>TEXT(Tabela223[[#This Row],[DATA]],"mmmm")</f>
        <v>janeiro</v>
      </c>
      <c r="C368" s="2"/>
      <c r="D368" s="2"/>
      <c r="E368" s="2"/>
      <c r="F368" s="2"/>
      <c r="G368" s="173"/>
      <c r="H368" s="174"/>
      <c r="I368" s="173" t="e">
        <f>Tabela22[[#This Row],[PESO TOTAL]]/Tabela22[[#This Row],[QUANTIDADE]]</f>
        <v>#DIV/0!</v>
      </c>
      <c r="J368" s="2"/>
      <c r="K368" s="193"/>
      <c r="L368" s="8"/>
      <c r="M368" s="8"/>
      <c r="N368" s="8"/>
      <c r="O368" s="194"/>
      <c r="P368" s="195"/>
    </row>
    <row r="369" spans="1:16">
      <c r="A369" s="3"/>
      <c r="B369" s="3" t="str">
        <f>TEXT(Tabela223[[#This Row],[DATA]],"mmmm")</f>
        <v>janeiro</v>
      </c>
      <c r="C369" s="2"/>
      <c r="D369" s="2"/>
      <c r="E369" s="2"/>
      <c r="F369" s="2"/>
      <c r="G369" s="173"/>
      <c r="H369" s="174"/>
      <c r="I369" s="173" t="e">
        <f>Tabela22[[#This Row],[PESO TOTAL]]/Tabela22[[#This Row],[QUANTIDADE]]</f>
        <v>#DIV/0!</v>
      </c>
      <c r="J369" s="2"/>
      <c r="K369" s="193"/>
      <c r="L369" s="8"/>
      <c r="M369" s="8"/>
      <c r="N369" s="8"/>
      <c r="O369" s="194"/>
      <c r="P369" s="195"/>
    </row>
    <row r="370" spans="1:16">
      <c r="A370" s="3"/>
      <c r="B370" s="3" t="str">
        <f>TEXT(Tabela223[[#This Row],[DATA]],"mmmm")</f>
        <v>janeiro</v>
      </c>
      <c r="C370" s="2"/>
      <c r="D370" s="2"/>
      <c r="E370" s="2"/>
      <c r="F370" s="2"/>
      <c r="G370" s="173"/>
      <c r="H370" s="174"/>
      <c r="I370" s="173" t="e">
        <f>Tabela22[[#This Row],[PESO TOTAL]]/Tabela22[[#This Row],[QUANTIDADE]]</f>
        <v>#DIV/0!</v>
      </c>
      <c r="J370" s="2"/>
      <c r="K370" s="193"/>
      <c r="L370" s="8"/>
      <c r="M370" s="8"/>
      <c r="N370" s="8"/>
      <c r="O370" s="194"/>
      <c r="P370" s="195"/>
    </row>
    <row r="371" spans="1:16">
      <c r="A371" s="3"/>
      <c r="B371" s="3" t="str">
        <f>TEXT(Tabela223[[#This Row],[DATA]],"mmmm")</f>
        <v>janeiro</v>
      </c>
      <c r="C371" s="2"/>
      <c r="D371" s="2"/>
      <c r="E371" s="2"/>
      <c r="F371" s="2"/>
      <c r="G371" s="173"/>
      <c r="H371" s="174"/>
      <c r="I371" s="173" t="e">
        <f>Tabela22[[#This Row],[PESO TOTAL]]/Tabela22[[#This Row],[QUANTIDADE]]</f>
        <v>#DIV/0!</v>
      </c>
      <c r="J371" s="2"/>
      <c r="K371" s="193"/>
      <c r="L371" s="8"/>
      <c r="M371" s="8"/>
      <c r="N371" s="8"/>
      <c r="O371" s="194"/>
      <c r="P371" s="195"/>
    </row>
    <row r="372" spans="1:16">
      <c r="A372" s="3"/>
      <c r="B372" s="3" t="str">
        <f>TEXT(Tabela223[[#This Row],[DATA]],"mmmm")</f>
        <v>janeiro</v>
      </c>
      <c r="C372" s="2"/>
      <c r="D372" s="2"/>
      <c r="E372" s="2"/>
      <c r="F372" s="2"/>
      <c r="G372" s="173"/>
      <c r="H372" s="174"/>
      <c r="I372" s="173" t="e">
        <f>Tabela22[[#This Row],[PESO TOTAL]]/Tabela22[[#This Row],[QUANTIDADE]]</f>
        <v>#DIV/0!</v>
      </c>
      <c r="J372" s="2"/>
      <c r="K372" s="193"/>
      <c r="L372" s="8"/>
      <c r="M372" s="8"/>
      <c r="N372" s="8"/>
      <c r="O372" s="194"/>
      <c r="P372" s="195"/>
    </row>
    <row r="373" spans="1:16">
      <c r="A373" s="3"/>
      <c r="B373" s="3" t="str">
        <f>TEXT(Tabela223[[#This Row],[DATA]],"mmmm")</f>
        <v>janeiro</v>
      </c>
      <c r="C373" s="2"/>
      <c r="D373" s="2"/>
      <c r="E373" s="2"/>
      <c r="F373" s="2"/>
      <c r="G373" s="173"/>
      <c r="H373" s="174"/>
      <c r="I373" s="173" t="e">
        <f>Tabela22[[#This Row],[PESO TOTAL]]/Tabela22[[#This Row],[QUANTIDADE]]</f>
        <v>#DIV/0!</v>
      </c>
      <c r="J373" s="2"/>
      <c r="K373" s="193"/>
      <c r="L373" s="8"/>
      <c r="M373" s="8"/>
      <c r="N373" s="8"/>
      <c r="O373" s="194"/>
      <c r="P373" s="195"/>
    </row>
    <row r="374" spans="1:16">
      <c r="A374" s="3"/>
      <c r="B374" s="3" t="str">
        <f>TEXT(Tabela223[[#This Row],[DATA]],"mmmm")</f>
        <v>janeiro</v>
      </c>
      <c r="C374" s="2"/>
      <c r="D374" s="2"/>
      <c r="E374" s="2"/>
      <c r="F374" s="2"/>
      <c r="G374" s="173"/>
      <c r="H374" s="174"/>
      <c r="I374" s="173" t="e">
        <f>Tabela22[[#This Row],[PESO TOTAL]]/Tabela22[[#This Row],[QUANTIDADE]]</f>
        <v>#DIV/0!</v>
      </c>
      <c r="J374" s="2"/>
      <c r="K374" s="193"/>
      <c r="L374" s="8"/>
      <c r="M374" s="8"/>
      <c r="N374" s="8"/>
      <c r="O374" s="194"/>
      <c r="P374" s="195"/>
    </row>
    <row r="375" spans="1:16">
      <c r="A375" s="3"/>
      <c r="B375" s="3" t="str">
        <f>TEXT(Tabela223[[#This Row],[DATA]],"mmmm")</f>
        <v>janeiro</v>
      </c>
      <c r="C375" s="2"/>
      <c r="D375" s="2"/>
      <c r="E375" s="2"/>
      <c r="F375" s="2"/>
      <c r="G375" s="173"/>
      <c r="H375" s="174"/>
      <c r="I375" s="173" t="e">
        <f>Tabela22[[#This Row],[PESO TOTAL]]/Tabela22[[#This Row],[QUANTIDADE]]</f>
        <v>#DIV/0!</v>
      </c>
      <c r="J375" s="2"/>
      <c r="K375" s="193"/>
      <c r="L375" s="8"/>
      <c r="M375" s="8"/>
      <c r="N375" s="8"/>
      <c r="O375" s="194"/>
      <c r="P375" s="195"/>
    </row>
    <row r="376" spans="1:16">
      <c r="A376" s="3"/>
      <c r="B376" s="3" t="str">
        <f>TEXT(Tabela223[[#This Row],[DATA]],"mmmm")</f>
        <v>janeiro</v>
      </c>
      <c r="C376" s="2"/>
      <c r="D376" s="2"/>
      <c r="E376" s="2"/>
      <c r="F376" s="2"/>
      <c r="G376" s="173"/>
      <c r="H376" s="174"/>
      <c r="I376" s="173" t="e">
        <f>Tabela22[[#This Row],[PESO TOTAL]]/Tabela22[[#This Row],[QUANTIDADE]]</f>
        <v>#DIV/0!</v>
      </c>
      <c r="J376" s="2"/>
      <c r="K376" s="193"/>
      <c r="L376" s="8"/>
      <c r="M376" s="8"/>
      <c r="N376" s="8"/>
      <c r="O376" s="194"/>
      <c r="P376" s="195"/>
    </row>
    <row r="377" spans="1:16">
      <c r="A377" s="3"/>
      <c r="B377" s="3" t="str">
        <f>TEXT(Tabela223[[#This Row],[DATA]],"mmmm")</f>
        <v>janeiro</v>
      </c>
      <c r="C377" s="2"/>
      <c r="D377" s="2"/>
      <c r="E377" s="2"/>
      <c r="F377" s="2"/>
      <c r="G377" s="173"/>
      <c r="H377" s="174"/>
      <c r="I377" s="173" t="e">
        <f>Tabela22[[#This Row],[PESO TOTAL]]/Tabela22[[#This Row],[QUANTIDADE]]</f>
        <v>#DIV/0!</v>
      </c>
      <c r="J377" s="2"/>
      <c r="K377" s="193"/>
      <c r="L377" s="8"/>
      <c r="M377" s="8"/>
      <c r="N377" s="8"/>
      <c r="O377" s="194"/>
      <c r="P377" s="195"/>
    </row>
    <row r="378" spans="1:16">
      <c r="A378" s="3"/>
      <c r="B378" s="3" t="str">
        <f>TEXT(Tabela223[[#This Row],[DATA]],"mmmm")</f>
        <v>janeiro</v>
      </c>
      <c r="C378" s="2"/>
      <c r="D378" s="2"/>
      <c r="E378" s="2"/>
      <c r="F378" s="2"/>
      <c r="G378" s="173"/>
      <c r="H378" s="174"/>
      <c r="I378" s="173" t="e">
        <f>Tabela22[[#This Row],[PESO TOTAL]]/Tabela22[[#This Row],[QUANTIDADE]]</f>
        <v>#DIV/0!</v>
      </c>
      <c r="J378" s="2"/>
      <c r="K378" s="193"/>
      <c r="L378" s="8"/>
      <c r="M378" s="8"/>
      <c r="N378" s="8"/>
      <c r="O378" s="194"/>
      <c r="P378" s="195"/>
    </row>
    <row r="379" spans="1:16">
      <c r="A379" s="3"/>
      <c r="B379" s="3" t="str">
        <f>TEXT(Tabela223[[#This Row],[DATA]],"mmmm")</f>
        <v>janeiro</v>
      </c>
      <c r="C379" s="2"/>
      <c r="D379" s="2"/>
      <c r="E379" s="2"/>
      <c r="F379" s="2"/>
      <c r="G379" s="173"/>
      <c r="H379" s="174"/>
      <c r="I379" s="173" t="e">
        <f>Tabela22[[#This Row],[PESO TOTAL]]/Tabela22[[#This Row],[QUANTIDADE]]</f>
        <v>#DIV/0!</v>
      </c>
      <c r="J379" s="2"/>
      <c r="K379" s="193"/>
      <c r="L379" s="8"/>
      <c r="M379" s="8"/>
      <c r="N379" s="8"/>
      <c r="O379" s="194"/>
      <c r="P379" s="195"/>
    </row>
    <row r="380" spans="1:16">
      <c r="A380" s="3"/>
      <c r="B380" s="3" t="str">
        <f>TEXT(Tabela223[[#This Row],[DATA]],"mmmm")</f>
        <v>janeiro</v>
      </c>
      <c r="C380" s="2"/>
      <c r="D380" s="2"/>
      <c r="E380" s="2"/>
      <c r="F380" s="2"/>
      <c r="G380" s="173"/>
      <c r="H380" s="174"/>
      <c r="I380" s="173" t="e">
        <f>Tabela22[[#This Row],[PESO TOTAL]]/Tabela22[[#This Row],[QUANTIDADE]]</f>
        <v>#DIV/0!</v>
      </c>
      <c r="J380" s="2"/>
      <c r="K380" s="193"/>
      <c r="L380" s="8"/>
      <c r="M380" s="8"/>
      <c r="N380" s="8"/>
      <c r="O380" s="194"/>
      <c r="P380" s="195"/>
    </row>
    <row r="381" spans="1:16">
      <c r="A381" s="3"/>
      <c r="B381" s="3" t="str">
        <f>TEXT(Tabela223[[#This Row],[DATA]],"mmmm")</f>
        <v>janeiro</v>
      </c>
      <c r="C381" s="2"/>
      <c r="D381" s="2"/>
      <c r="E381" s="2"/>
      <c r="F381" s="2"/>
      <c r="G381" s="173"/>
      <c r="H381" s="174"/>
      <c r="I381" s="173" t="e">
        <f>Tabela22[[#This Row],[PESO TOTAL]]/Tabela22[[#This Row],[QUANTIDADE]]</f>
        <v>#DIV/0!</v>
      </c>
      <c r="J381" s="2"/>
      <c r="K381" s="193"/>
      <c r="L381" s="8"/>
      <c r="M381" s="8"/>
      <c r="N381" s="8"/>
      <c r="O381" s="194"/>
      <c r="P381" s="195"/>
    </row>
    <row r="382" spans="1:16">
      <c r="A382" s="3"/>
      <c r="B382" s="3" t="str">
        <f>TEXT(Tabela223[[#This Row],[DATA]],"mmmm")</f>
        <v>janeiro</v>
      </c>
      <c r="C382" s="2"/>
      <c r="D382" s="2"/>
      <c r="E382" s="2"/>
      <c r="F382" s="2"/>
      <c r="G382" s="173"/>
      <c r="H382" s="174"/>
      <c r="I382" s="173" t="e">
        <f>Tabela22[[#This Row],[PESO TOTAL]]/Tabela22[[#This Row],[QUANTIDADE]]</f>
        <v>#DIV/0!</v>
      </c>
      <c r="J382" s="2"/>
      <c r="K382" s="193"/>
      <c r="L382" s="8"/>
      <c r="M382" s="8"/>
      <c r="N382" s="8"/>
      <c r="O382" s="194"/>
      <c r="P382" s="195"/>
    </row>
    <row r="383" spans="1:16">
      <c r="A383" s="3"/>
      <c r="B383" s="3" t="str">
        <f>TEXT(Tabela223[[#This Row],[DATA]],"mmmm")</f>
        <v>janeiro</v>
      </c>
      <c r="C383" s="2"/>
      <c r="D383" s="2"/>
      <c r="E383" s="2"/>
      <c r="F383" s="2"/>
      <c r="G383" s="173"/>
      <c r="H383" s="174"/>
      <c r="I383" s="173" t="e">
        <f>Tabela22[[#This Row],[PESO TOTAL]]/Tabela22[[#This Row],[QUANTIDADE]]</f>
        <v>#DIV/0!</v>
      </c>
      <c r="J383" s="2"/>
      <c r="K383" s="193"/>
      <c r="L383" s="8"/>
      <c r="M383" s="8"/>
      <c r="N383" s="8"/>
      <c r="O383" s="194"/>
      <c r="P383" s="195"/>
    </row>
    <row r="384" spans="1:16">
      <c r="A384" s="3"/>
      <c r="B384" s="3" t="str">
        <f>TEXT(Tabela223[[#This Row],[DATA]],"mmmm")</f>
        <v>janeiro</v>
      </c>
      <c r="C384" s="2"/>
      <c r="D384" s="2"/>
      <c r="E384" s="2"/>
      <c r="F384" s="2"/>
      <c r="G384" s="173"/>
      <c r="H384" s="174"/>
      <c r="I384" s="173" t="e">
        <f>Tabela22[[#This Row],[PESO TOTAL]]/Tabela22[[#This Row],[QUANTIDADE]]</f>
        <v>#DIV/0!</v>
      </c>
      <c r="J384" s="2"/>
      <c r="K384" s="193"/>
      <c r="L384" s="8"/>
      <c r="M384" s="8"/>
      <c r="N384" s="8"/>
      <c r="O384" s="194"/>
      <c r="P384" s="195"/>
    </row>
    <row r="385" spans="1:16">
      <c r="A385" s="3"/>
      <c r="B385" s="3" t="str">
        <f>TEXT(Tabela223[[#This Row],[DATA]],"mmmm")</f>
        <v>janeiro</v>
      </c>
      <c r="C385" s="2"/>
      <c r="D385" s="2"/>
      <c r="E385" s="2"/>
      <c r="F385" s="2"/>
      <c r="G385" s="173"/>
      <c r="H385" s="174"/>
      <c r="I385" s="173" t="e">
        <f>Tabela22[[#This Row],[PESO TOTAL]]/Tabela22[[#This Row],[QUANTIDADE]]</f>
        <v>#DIV/0!</v>
      </c>
      <c r="J385" s="2"/>
      <c r="K385" s="193"/>
      <c r="L385" s="8"/>
      <c r="M385" s="8"/>
      <c r="N385" s="8"/>
      <c r="O385" s="194"/>
      <c r="P385" s="195"/>
    </row>
    <row r="386" spans="1:16">
      <c r="A386" s="3"/>
      <c r="B386" s="3" t="str">
        <f>TEXT(Tabela223[[#This Row],[DATA]],"mmmm")</f>
        <v>janeiro</v>
      </c>
      <c r="C386" s="2"/>
      <c r="D386" s="2"/>
      <c r="E386" s="2"/>
      <c r="F386" s="2"/>
      <c r="G386" s="173"/>
      <c r="H386" s="174"/>
      <c r="I386" s="173" t="e">
        <f>Tabela22[[#This Row],[PESO TOTAL]]/Tabela22[[#This Row],[QUANTIDADE]]</f>
        <v>#DIV/0!</v>
      </c>
      <c r="J386" s="2"/>
      <c r="K386" s="193"/>
      <c r="L386" s="8"/>
      <c r="M386" s="8"/>
      <c r="N386" s="8"/>
      <c r="O386" s="194"/>
      <c r="P386" s="195"/>
    </row>
    <row r="387" spans="1:16">
      <c r="A387" s="3"/>
      <c r="B387" s="3" t="str">
        <f>TEXT(Tabela223[[#This Row],[DATA]],"mmmm")</f>
        <v>janeiro</v>
      </c>
      <c r="C387" s="2"/>
      <c r="D387" s="2"/>
      <c r="E387" s="2"/>
      <c r="F387" s="2"/>
      <c r="G387" s="173"/>
      <c r="H387" s="174"/>
      <c r="I387" s="173" t="e">
        <f>Tabela22[[#This Row],[PESO TOTAL]]/Tabela22[[#This Row],[QUANTIDADE]]</f>
        <v>#DIV/0!</v>
      </c>
      <c r="J387" s="2"/>
      <c r="K387" s="193"/>
      <c r="L387" s="8"/>
      <c r="M387" s="8"/>
      <c r="N387" s="8"/>
      <c r="O387" s="194"/>
      <c r="P387" s="195"/>
    </row>
    <row r="388" spans="1:16">
      <c r="A388" s="3"/>
      <c r="B388" s="3" t="str">
        <f>TEXT(Tabela223[[#This Row],[DATA]],"mmmm")</f>
        <v>janeiro</v>
      </c>
      <c r="C388" s="2"/>
      <c r="D388" s="2"/>
      <c r="E388" s="2"/>
      <c r="F388" s="2"/>
      <c r="G388" s="173"/>
      <c r="H388" s="174"/>
      <c r="I388" s="173" t="e">
        <f>Tabela22[[#This Row],[PESO TOTAL]]/Tabela22[[#This Row],[QUANTIDADE]]</f>
        <v>#DIV/0!</v>
      </c>
      <c r="J388" s="2"/>
      <c r="K388" s="193"/>
      <c r="L388" s="8"/>
      <c r="M388" s="8"/>
      <c r="N388" s="8"/>
      <c r="O388" s="194"/>
      <c r="P388" s="195"/>
    </row>
    <row r="389" spans="1:16">
      <c r="A389" s="3"/>
      <c r="B389" s="3" t="str">
        <f>TEXT(Tabela223[[#This Row],[DATA]],"mmmm")</f>
        <v>janeiro</v>
      </c>
      <c r="C389" s="2"/>
      <c r="D389" s="2"/>
      <c r="E389" s="2"/>
      <c r="F389" s="2"/>
      <c r="G389" s="173"/>
      <c r="H389" s="174"/>
      <c r="I389" s="173" t="e">
        <f>Tabela22[[#This Row],[PESO TOTAL]]/Tabela22[[#This Row],[QUANTIDADE]]</f>
        <v>#DIV/0!</v>
      </c>
      <c r="J389" s="2"/>
      <c r="K389" s="193"/>
      <c r="L389" s="8"/>
      <c r="M389" s="8"/>
      <c r="N389" s="8"/>
      <c r="O389" s="194"/>
      <c r="P389" s="195"/>
    </row>
    <row r="390" spans="1:16">
      <c r="A390" s="3"/>
      <c r="B390" s="3" t="str">
        <f>TEXT(Tabela223[[#This Row],[DATA]],"mmmm")</f>
        <v>janeiro</v>
      </c>
      <c r="C390" s="2"/>
      <c r="D390" s="2"/>
      <c r="E390" s="2"/>
      <c r="F390" s="2"/>
      <c r="G390" s="173"/>
      <c r="H390" s="174"/>
      <c r="I390" s="173" t="e">
        <f>Tabela22[[#This Row],[PESO TOTAL]]/Tabela22[[#This Row],[QUANTIDADE]]</f>
        <v>#DIV/0!</v>
      </c>
      <c r="J390" s="2"/>
      <c r="K390" s="193"/>
      <c r="L390" s="8"/>
      <c r="M390" s="8"/>
      <c r="N390" s="8"/>
      <c r="O390" s="194"/>
      <c r="P390" s="195"/>
    </row>
    <row r="391" spans="1:16">
      <c r="A391" s="3"/>
      <c r="B391" s="3" t="str">
        <f>TEXT(Tabela223[[#This Row],[DATA]],"mmmm")</f>
        <v>janeiro</v>
      </c>
      <c r="C391" s="2"/>
      <c r="D391" s="2"/>
      <c r="E391" s="2"/>
      <c r="F391" s="2"/>
      <c r="G391" s="173"/>
      <c r="H391" s="174"/>
      <c r="I391" s="173" t="e">
        <f>Tabela22[[#This Row],[PESO TOTAL]]/Tabela22[[#This Row],[QUANTIDADE]]</f>
        <v>#DIV/0!</v>
      </c>
      <c r="J391" s="2"/>
      <c r="K391" s="193"/>
      <c r="L391" s="8"/>
      <c r="M391" s="8"/>
      <c r="N391" s="8"/>
      <c r="O391" s="194"/>
      <c r="P391" s="195"/>
    </row>
    <row r="392" spans="1:16">
      <c r="A392" s="3"/>
      <c r="B392" s="3" t="str">
        <f>TEXT(Tabela223[[#This Row],[DATA]],"mmmm")</f>
        <v>janeiro</v>
      </c>
      <c r="C392" s="2"/>
      <c r="D392" s="2"/>
      <c r="E392" s="2"/>
      <c r="F392" s="2"/>
      <c r="G392" s="173"/>
      <c r="H392" s="174"/>
      <c r="I392" s="173" t="e">
        <f>Tabela22[[#This Row],[PESO TOTAL]]/Tabela22[[#This Row],[QUANTIDADE]]</f>
        <v>#DIV/0!</v>
      </c>
      <c r="J392" s="2"/>
      <c r="K392" s="193"/>
      <c r="L392" s="8"/>
      <c r="M392" s="8"/>
      <c r="N392" s="8"/>
      <c r="O392" s="194"/>
      <c r="P392" s="195"/>
    </row>
    <row r="393" spans="1:16">
      <c r="A393" s="3"/>
      <c r="B393" s="3" t="str">
        <f>TEXT(Tabela223[[#This Row],[DATA]],"mmmm")</f>
        <v>janeiro</v>
      </c>
      <c r="C393" s="2"/>
      <c r="D393" s="2"/>
      <c r="E393" s="2"/>
      <c r="F393" s="2"/>
      <c r="G393" s="173"/>
      <c r="H393" s="174"/>
      <c r="I393" s="173" t="e">
        <f>Tabela22[[#This Row],[PESO TOTAL]]/Tabela22[[#This Row],[QUANTIDADE]]</f>
        <v>#DIV/0!</v>
      </c>
      <c r="J393" s="2"/>
      <c r="K393" s="193"/>
      <c r="L393" s="8"/>
      <c r="M393" s="8"/>
      <c r="N393" s="8"/>
      <c r="O393" s="194"/>
      <c r="P393" s="195"/>
    </row>
    <row r="394" spans="1:16">
      <c r="A394" s="3"/>
      <c r="B394" s="3" t="str">
        <f>TEXT(Tabela223[[#This Row],[DATA]],"mmmm")</f>
        <v>janeiro</v>
      </c>
      <c r="C394" s="2"/>
      <c r="D394" s="2"/>
      <c r="E394" s="2"/>
      <c r="F394" s="2"/>
      <c r="G394" s="173"/>
      <c r="H394" s="174"/>
      <c r="I394" s="173" t="e">
        <f>Tabela22[[#This Row],[PESO TOTAL]]/Tabela22[[#This Row],[QUANTIDADE]]</f>
        <v>#DIV/0!</v>
      </c>
      <c r="J394" s="2"/>
      <c r="K394" s="193"/>
      <c r="L394" s="8"/>
      <c r="M394" s="8"/>
      <c r="N394" s="8"/>
      <c r="O394" s="194"/>
      <c r="P394" s="195"/>
    </row>
    <row r="395" spans="1:16">
      <c r="A395" s="3"/>
      <c r="B395" s="3" t="str">
        <f>TEXT(Tabela223[[#This Row],[DATA]],"mmmm")</f>
        <v>janeiro</v>
      </c>
      <c r="C395" s="2"/>
      <c r="D395" s="2"/>
      <c r="E395" s="2"/>
      <c r="F395" s="2"/>
      <c r="G395" s="173"/>
      <c r="H395" s="174"/>
      <c r="I395" s="173" t="e">
        <f>Tabela22[[#This Row],[PESO TOTAL]]/Tabela22[[#This Row],[QUANTIDADE]]</f>
        <v>#DIV/0!</v>
      </c>
      <c r="J395" s="2"/>
      <c r="K395" s="193"/>
      <c r="L395" s="8"/>
      <c r="M395" s="8"/>
      <c r="N395" s="8"/>
      <c r="O395" s="194"/>
      <c r="P395" s="195"/>
    </row>
    <row r="396" spans="1:16">
      <c r="A396" s="3"/>
      <c r="B396" s="3" t="str">
        <f>TEXT(Tabela223[[#This Row],[DATA]],"mmmm")</f>
        <v>janeiro</v>
      </c>
      <c r="C396" s="2"/>
      <c r="D396" s="2"/>
      <c r="E396" s="2"/>
      <c r="F396" s="2"/>
      <c r="G396" s="173"/>
      <c r="H396" s="174"/>
      <c r="I396" s="173" t="e">
        <f>Tabela22[[#This Row],[PESO TOTAL]]/Tabela22[[#This Row],[QUANTIDADE]]</f>
        <v>#DIV/0!</v>
      </c>
      <c r="J396" s="2"/>
      <c r="K396" s="193"/>
      <c r="L396" s="8"/>
      <c r="M396" s="8"/>
      <c r="N396" s="8"/>
      <c r="O396" s="194"/>
      <c r="P396" s="195"/>
    </row>
    <row r="397" spans="1:16">
      <c r="A397" s="3"/>
      <c r="B397" s="3" t="str">
        <f>TEXT(Tabela223[[#This Row],[DATA]],"mmmm")</f>
        <v>janeiro</v>
      </c>
      <c r="C397" s="2"/>
      <c r="D397" s="2"/>
      <c r="E397" s="2"/>
      <c r="F397" s="2"/>
      <c r="G397" s="173"/>
      <c r="H397" s="174"/>
      <c r="I397" s="173" t="e">
        <f>Tabela22[[#This Row],[PESO TOTAL]]/Tabela22[[#This Row],[QUANTIDADE]]</f>
        <v>#DIV/0!</v>
      </c>
      <c r="J397" s="2"/>
      <c r="K397" s="193"/>
      <c r="L397" s="8"/>
      <c r="M397" s="8"/>
      <c r="N397" s="8"/>
      <c r="O397" s="194"/>
      <c r="P397" s="195"/>
    </row>
    <row r="398" spans="1:16">
      <c r="A398" s="3"/>
      <c r="B398" s="3" t="str">
        <f>TEXT(Tabela223[[#This Row],[DATA]],"mmmm")</f>
        <v>janeiro</v>
      </c>
      <c r="C398" s="2"/>
      <c r="D398" s="2"/>
      <c r="E398" s="2"/>
      <c r="F398" s="2"/>
      <c r="G398" s="173"/>
      <c r="H398" s="174"/>
      <c r="I398" s="173" t="e">
        <f>Tabela22[[#This Row],[PESO TOTAL]]/Tabela22[[#This Row],[QUANTIDADE]]</f>
        <v>#DIV/0!</v>
      </c>
      <c r="J398" s="2"/>
      <c r="K398" s="193"/>
      <c r="L398" s="8"/>
      <c r="M398" s="8"/>
      <c r="N398" s="8"/>
      <c r="O398" s="194"/>
      <c r="P398" s="195"/>
    </row>
    <row r="399" spans="1:16">
      <c r="A399" s="3"/>
      <c r="B399" s="3" t="str">
        <f>TEXT(Tabela223[[#This Row],[DATA]],"mmmm")</f>
        <v>janeiro</v>
      </c>
      <c r="C399" s="2"/>
      <c r="D399" s="2"/>
      <c r="E399" s="2"/>
      <c r="F399" s="2"/>
      <c r="G399" s="173"/>
      <c r="H399" s="174"/>
      <c r="I399" s="173" t="e">
        <f>Tabela22[[#This Row],[PESO TOTAL]]/Tabela22[[#This Row],[QUANTIDADE]]</f>
        <v>#DIV/0!</v>
      </c>
      <c r="J399" s="2"/>
      <c r="K399" s="193"/>
      <c r="L399" s="8"/>
      <c r="M399" s="8"/>
      <c r="N399" s="8"/>
      <c r="O399" s="194"/>
      <c r="P399" s="195"/>
    </row>
    <row r="400" spans="1:16">
      <c r="A400" s="3"/>
      <c r="B400" s="3" t="str">
        <f>TEXT(Tabela223[[#This Row],[DATA]],"mmmm")</f>
        <v>janeiro</v>
      </c>
      <c r="C400" s="2"/>
      <c r="D400" s="2"/>
      <c r="E400" s="2"/>
      <c r="F400" s="2"/>
      <c r="G400" s="173"/>
      <c r="H400" s="174"/>
      <c r="I400" s="173" t="e">
        <f>Tabela22[[#This Row],[PESO TOTAL]]/Tabela22[[#This Row],[QUANTIDADE]]</f>
        <v>#DIV/0!</v>
      </c>
      <c r="J400" s="2"/>
      <c r="K400" s="193"/>
      <c r="L400" s="8"/>
      <c r="M400" s="8"/>
      <c r="N400" s="8"/>
      <c r="O400" s="194"/>
      <c r="P400" s="195"/>
    </row>
    <row r="401" spans="1:16">
      <c r="A401" s="3"/>
      <c r="B401" s="3" t="str">
        <f>TEXT(Tabela223[[#This Row],[DATA]],"mmmm")</f>
        <v>janeiro</v>
      </c>
      <c r="C401" s="2"/>
      <c r="D401" s="2"/>
      <c r="E401" s="2"/>
      <c r="F401" s="2"/>
      <c r="G401" s="173"/>
      <c r="H401" s="174"/>
      <c r="I401" s="173" t="e">
        <f>Tabela22[[#This Row],[PESO TOTAL]]/Tabela22[[#This Row],[QUANTIDADE]]</f>
        <v>#DIV/0!</v>
      </c>
      <c r="J401" s="2"/>
      <c r="K401" s="193"/>
      <c r="L401" s="8"/>
      <c r="M401" s="8"/>
      <c r="N401" s="8"/>
      <c r="O401" s="194"/>
      <c r="P401" s="195"/>
    </row>
    <row r="402" spans="1:16">
      <c r="A402" s="3"/>
      <c r="B402" s="3" t="str">
        <f>TEXT(Tabela223[[#This Row],[DATA]],"mmmm")</f>
        <v>janeiro</v>
      </c>
      <c r="C402" s="2"/>
      <c r="D402" s="2"/>
      <c r="E402" s="2"/>
      <c r="F402" s="2"/>
      <c r="G402" s="173"/>
      <c r="H402" s="174"/>
      <c r="I402" s="173" t="e">
        <f>Tabela22[[#This Row],[PESO TOTAL]]/Tabela22[[#This Row],[QUANTIDADE]]</f>
        <v>#DIV/0!</v>
      </c>
      <c r="J402" s="2"/>
      <c r="K402" s="193"/>
      <c r="L402" s="8"/>
      <c r="M402" s="8"/>
      <c r="N402" s="8"/>
      <c r="O402" s="194"/>
      <c r="P402" s="195"/>
    </row>
    <row r="403" spans="1:16">
      <c r="A403" s="3"/>
      <c r="B403" s="3" t="str">
        <f>TEXT(Tabela223[[#This Row],[DATA]],"mmmm")</f>
        <v>janeiro</v>
      </c>
      <c r="C403" s="2"/>
      <c r="D403" s="2"/>
      <c r="E403" s="2"/>
      <c r="F403" s="2"/>
      <c r="G403" s="173"/>
      <c r="H403" s="174"/>
      <c r="I403" s="173" t="e">
        <f>Tabela22[[#This Row],[PESO TOTAL]]/Tabela22[[#This Row],[QUANTIDADE]]</f>
        <v>#DIV/0!</v>
      </c>
      <c r="J403" s="2"/>
      <c r="K403" s="193"/>
      <c r="L403" s="8"/>
      <c r="M403" s="8"/>
      <c r="N403" s="8"/>
      <c r="O403" s="194"/>
      <c r="P403" s="195"/>
    </row>
    <row r="404" spans="1:16">
      <c r="A404" s="3"/>
      <c r="B404" s="3" t="str">
        <f>TEXT(Tabela223[[#This Row],[DATA]],"mmmm")</f>
        <v>janeiro</v>
      </c>
      <c r="C404" s="2"/>
      <c r="D404" s="2"/>
      <c r="E404" s="2"/>
      <c r="F404" s="2"/>
      <c r="G404" s="173"/>
      <c r="H404" s="174"/>
      <c r="I404" s="173" t="e">
        <f>Tabela22[[#This Row],[PESO TOTAL]]/Tabela22[[#This Row],[QUANTIDADE]]</f>
        <v>#DIV/0!</v>
      </c>
      <c r="J404" s="2"/>
      <c r="K404" s="193"/>
      <c r="L404" s="8"/>
      <c r="M404" s="8"/>
      <c r="N404" s="8"/>
      <c r="O404" s="194"/>
      <c r="P404" s="195"/>
    </row>
    <row r="405" spans="1:16">
      <c r="A405" s="3"/>
      <c r="B405" s="3" t="str">
        <f>TEXT(Tabela223[[#This Row],[DATA]],"mmmm")</f>
        <v>janeiro</v>
      </c>
      <c r="C405" s="2"/>
      <c r="D405" s="2"/>
      <c r="E405" s="2"/>
      <c r="F405" s="2"/>
      <c r="G405" s="173"/>
      <c r="H405" s="174"/>
      <c r="I405" s="173" t="e">
        <f>Tabela22[[#This Row],[PESO TOTAL]]/Tabela22[[#This Row],[QUANTIDADE]]</f>
        <v>#DIV/0!</v>
      </c>
      <c r="J405" s="2"/>
      <c r="K405" s="193"/>
      <c r="L405" s="8"/>
      <c r="M405" s="8"/>
      <c r="N405" s="8"/>
      <c r="O405" s="194"/>
      <c r="P405" s="195"/>
    </row>
    <row r="406" spans="1:16">
      <c r="A406" s="3"/>
      <c r="B406" s="3" t="str">
        <f>TEXT(Tabela223[[#This Row],[DATA]],"mmmm")</f>
        <v>janeiro</v>
      </c>
      <c r="C406" s="2"/>
      <c r="D406" s="2"/>
      <c r="E406" s="2"/>
      <c r="F406" s="2"/>
      <c r="G406" s="173"/>
      <c r="H406" s="174"/>
      <c r="I406" s="173" t="e">
        <f>Tabela22[[#This Row],[PESO TOTAL]]/Tabela22[[#This Row],[QUANTIDADE]]</f>
        <v>#DIV/0!</v>
      </c>
      <c r="J406" s="2"/>
      <c r="K406" s="193"/>
      <c r="L406" s="8"/>
      <c r="M406" s="8"/>
      <c r="N406" s="8"/>
      <c r="O406" s="194"/>
      <c r="P406" s="195"/>
    </row>
    <row r="407" spans="1:16">
      <c r="A407" s="3"/>
      <c r="B407" s="3" t="str">
        <f>TEXT(Tabela223[[#This Row],[DATA]],"mmmm")</f>
        <v>janeiro</v>
      </c>
      <c r="C407" s="2"/>
      <c r="D407" s="2"/>
      <c r="E407" s="2"/>
      <c r="F407" s="2"/>
      <c r="G407" s="173"/>
      <c r="H407" s="174"/>
      <c r="I407" s="173" t="e">
        <f>Tabela22[[#This Row],[PESO TOTAL]]/Tabela22[[#This Row],[QUANTIDADE]]</f>
        <v>#DIV/0!</v>
      </c>
      <c r="J407" s="2"/>
      <c r="K407" s="193"/>
      <c r="L407" s="8"/>
      <c r="M407" s="8"/>
      <c r="N407" s="8"/>
      <c r="O407" s="194"/>
      <c r="P407" s="195"/>
    </row>
    <row r="408" spans="1:16">
      <c r="A408" s="3"/>
      <c r="B408" s="3" t="str">
        <f>TEXT(Tabela223[[#This Row],[DATA]],"mmmm")</f>
        <v>janeiro</v>
      </c>
      <c r="C408" s="2"/>
      <c r="D408" s="2"/>
      <c r="E408" s="2"/>
      <c r="F408" s="2"/>
      <c r="G408" s="173"/>
      <c r="H408" s="174"/>
      <c r="I408" s="173" t="e">
        <f>Tabela22[[#This Row],[PESO TOTAL]]/Tabela22[[#This Row],[QUANTIDADE]]</f>
        <v>#DIV/0!</v>
      </c>
      <c r="J408" s="2"/>
      <c r="K408" s="193"/>
      <c r="L408" s="8"/>
      <c r="M408" s="8"/>
      <c r="N408" s="8"/>
      <c r="O408" s="194"/>
      <c r="P408" s="195"/>
    </row>
    <row r="409" spans="1:16">
      <c r="A409" s="3"/>
      <c r="B409" s="3" t="str">
        <f>TEXT(Tabela223[[#This Row],[DATA]],"mmmm")</f>
        <v>janeiro</v>
      </c>
      <c r="C409" s="2"/>
      <c r="D409" s="2"/>
      <c r="E409" s="2"/>
      <c r="F409" s="2"/>
      <c r="G409" s="173"/>
      <c r="H409" s="174"/>
      <c r="I409" s="173" t="e">
        <f>Tabela22[[#This Row],[PESO TOTAL]]/Tabela22[[#This Row],[QUANTIDADE]]</f>
        <v>#DIV/0!</v>
      </c>
      <c r="J409" s="2"/>
      <c r="K409" s="193"/>
      <c r="L409" s="8"/>
      <c r="M409" s="8"/>
      <c r="N409" s="8"/>
      <c r="O409" s="194"/>
      <c r="P409" s="195"/>
    </row>
    <row r="410" spans="1:16">
      <c r="A410" s="3"/>
      <c r="B410" s="3" t="str">
        <f>TEXT(Tabela223[[#This Row],[DATA]],"mmmm")</f>
        <v>janeiro</v>
      </c>
      <c r="C410" s="2"/>
      <c r="D410" s="2"/>
      <c r="E410" s="2"/>
      <c r="F410" s="2"/>
      <c r="G410" s="173"/>
      <c r="H410" s="174"/>
      <c r="I410" s="173" t="e">
        <f>Tabela22[[#This Row],[PESO TOTAL]]/Tabela22[[#This Row],[QUANTIDADE]]</f>
        <v>#DIV/0!</v>
      </c>
      <c r="J410" s="2"/>
      <c r="K410" s="193"/>
      <c r="L410" s="8"/>
      <c r="M410" s="8"/>
      <c r="N410" s="8"/>
      <c r="O410" s="194"/>
      <c r="P410" s="195"/>
    </row>
    <row r="411" spans="1:16">
      <c r="A411" s="3"/>
      <c r="B411" s="3" t="str">
        <f>TEXT(Tabela223[[#This Row],[DATA]],"mmmm")</f>
        <v>janeiro</v>
      </c>
      <c r="C411" s="2"/>
      <c r="D411" s="2"/>
      <c r="E411" s="2"/>
      <c r="F411" s="2"/>
      <c r="G411" s="173"/>
      <c r="H411" s="174"/>
      <c r="I411" s="173" t="e">
        <f>Tabela22[[#This Row],[PESO TOTAL]]/Tabela22[[#This Row],[QUANTIDADE]]</f>
        <v>#DIV/0!</v>
      </c>
      <c r="J411" s="2"/>
      <c r="K411" s="193"/>
      <c r="L411" s="8"/>
      <c r="M411" s="8"/>
      <c r="N411" s="8"/>
      <c r="O411" s="194"/>
      <c r="P411" s="195"/>
    </row>
    <row r="412" spans="1:16">
      <c r="A412" s="3"/>
      <c r="B412" s="3" t="str">
        <f>TEXT(Tabela223[[#This Row],[DATA]],"mmmm")</f>
        <v>janeiro</v>
      </c>
      <c r="C412" s="2"/>
      <c r="D412" s="2"/>
      <c r="E412" s="2"/>
      <c r="F412" s="2"/>
      <c r="G412" s="173"/>
      <c r="H412" s="174"/>
      <c r="I412" s="173" t="e">
        <f>Tabela22[[#This Row],[PESO TOTAL]]/Tabela22[[#This Row],[QUANTIDADE]]</f>
        <v>#DIV/0!</v>
      </c>
      <c r="J412" s="2"/>
      <c r="K412" s="193"/>
      <c r="L412" s="8"/>
      <c r="M412" s="8"/>
      <c r="N412" s="8"/>
      <c r="O412" s="194"/>
      <c r="P412" s="195"/>
    </row>
    <row r="413" spans="1:16">
      <c r="A413" s="3"/>
      <c r="B413" s="3" t="str">
        <f>TEXT(Tabela223[[#This Row],[DATA]],"mmmm")</f>
        <v>janeiro</v>
      </c>
      <c r="C413" s="2"/>
      <c r="D413" s="2"/>
      <c r="E413" s="2"/>
      <c r="F413" s="2"/>
      <c r="G413" s="173"/>
      <c r="H413" s="174"/>
      <c r="I413" s="173" t="e">
        <f>Tabela22[[#This Row],[PESO TOTAL]]/Tabela22[[#This Row],[QUANTIDADE]]</f>
        <v>#DIV/0!</v>
      </c>
      <c r="J413" s="2"/>
      <c r="K413" s="193"/>
      <c r="L413" s="8"/>
      <c r="M413" s="8"/>
      <c r="N413" s="8"/>
      <c r="O413" s="194"/>
      <c r="P413" s="195"/>
    </row>
    <row r="414" spans="1:16">
      <c r="A414" s="3"/>
      <c r="B414" s="3" t="str">
        <f>TEXT(Tabela223[[#This Row],[DATA]],"mmmm")</f>
        <v>janeiro</v>
      </c>
      <c r="C414" s="2"/>
      <c r="D414" s="2"/>
      <c r="E414" s="2"/>
      <c r="F414" s="2"/>
      <c r="G414" s="173"/>
      <c r="H414" s="174"/>
      <c r="I414" s="173" t="e">
        <f>Tabela22[[#This Row],[PESO TOTAL]]/Tabela22[[#This Row],[QUANTIDADE]]</f>
        <v>#DIV/0!</v>
      </c>
      <c r="J414" s="2"/>
      <c r="K414" s="193"/>
      <c r="L414" s="8"/>
      <c r="M414" s="8"/>
      <c r="N414" s="8"/>
      <c r="O414" s="194"/>
      <c r="P414" s="195"/>
    </row>
    <row r="415" spans="1:16">
      <c r="A415" s="3"/>
      <c r="B415" s="3" t="str">
        <f>TEXT(Tabela223[[#This Row],[DATA]],"mmmm")</f>
        <v>janeiro</v>
      </c>
      <c r="C415" s="2"/>
      <c r="D415" s="2"/>
      <c r="E415" s="2"/>
      <c r="F415" s="2"/>
      <c r="G415" s="173"/>
      <c r="H415" s="174"/>
      <c r="I415" s="173" t="e">
        <f>Tabela22[[#This Row],[PESO TOTAL]]/Tabela22[[#This Row],[QUANTIDADE]]</f>
        <v>#DIV/0!</v>
      </c>
      <c r="J415" s="2"/>
      <c r="K415" s="193"/>
      <c r="L415" s="8"/>
      <c r="M415" s="8"/>
      <c r="N415" s="8"/>
      <c r="O415" s="194"/>
      <c r="P415" s="195"/>
    </row>
    <row r="416" spans="1:16">
      <c r="A416" s="3"/>
      <c r="B416" s="3" t="str">
        <f>TEXT(Tabela223[[#This Row],[DATA]],"mmmm")</f>
        <v>janeiro</v>
      </c>
      <c r="C416" s="2"/>
      <c r="D416" s="2"/>
      <c r="E416" s="2"/>
      <c r="F416" s="2"/>
      <c r="G416" s="173"/>
      <c r="H416" s="174"/>
      <c r="I416" s="173" t="e">
        <f>Tabela22[[#This Row],[PESO TOTAL]]/Tabela22[[#This Row],[QUANTIDADE]]</f>
        <v>#DIV/0!</v>
      </c>
      <c r="J416" s="2"/>
      <c r="K416" s="193"/>
      <c r="L416" s="8"/>
      <c r="M416" s="8"/>
      <c r="N416" s="8"/>
      <c r="O416" s="194"/>
      <c r="P416" s="195"/>
    </row>
    <row r="417" spans="1:16">
      <c r="A417" s="3"/>
      <c r="B417" s="3" t="str">
        <f>TEXT(Tabela223[[#This Row],[DATA]],"mmmm")</f>
        <v>janeiro</v>
      </c>
      <c r="C417" s="2"/>
      <c r="D417" s="2"/>
      <c r="E417" s="2"/>
      <c r="F417" s="2"/>
      <c r="G417" s="173"/>
      <c r="H417" s="174"/>
      <c r="I417" s="173" t="e">
        <f>Tabela22[[#This Row],[PESO TOTAL]]/Tabela22[[#This Row],[QUANTIDADE]]</f>
        <v>#DIV/0!</v>
      </c>
      <c r="J417" s="2"/>
      <c r="K417" s="193"/>
      <c r="L417" s="8"/>
      <c r="M417" s="8"/>
      <c r="N417" s="8"/>
      <c r="O417" s="194"/>
      <c r="P417" s="195"/>
    </row>
    <row r="418" spans="1:16">
      <c r="A418" s="3"/>
      <c r="B418" s="3" t="str">
        <f>TEXT(Tabela223[[#This Row],[DATA]],"mmmm")</f>
        <v>janeiro</v>
      </c>
      <c r="C418" s="2"/>
      <c r="D418" s="2"/>
      <c r="E418" s="2"/>
      <c r="F418" s="2"/>
      <c r="G418" s="173"/>
      <c r="H418" s="174"/>
      <c r="I418" s="173" t="e">
        <f>Tabela22[[#This Row],[PESO TOTAL]]/Tabela22[[#This Row],[QUANTIDADE]]</f>
        <v>#DIV/0!</v>
      </c>
      <c r="J418" s="2"/>
      <c r="K418" s="193"/>
      <c r="L418" s="8"/>
      <c r="M418" s="8"/>
      <c r="N418" s="8"/>
      <c r="O418" s="194"/>
      <c r="P418" s="195"/>
    </row>
    <row r="419" spans="1:16">
      <c r="A419" s="3"/>
      <c r="B419" s="3" t="str">
        <f>TEXT(Tabela223[[#This Row],[DATA]],"mmmm")</f>
        <v>janeiro</v>
      </c>
      <c r="C419" s="2"/>
      <c r="D419" s="2"/>
      <c r="E419" s="2"/>
      <c r="F419" s="2"/>
      <c r="G419" s="173"/>
      <c r="H419" s="174"/>
      <c r="I419" s="173" t="e">
        <f>Tabela22[[#This Row],[PESO TOTAL]]/Tabela22[[#This Row],[QUANTIDADE]]</f>
        <v>#DIV/0!</v>
      </c>
      <c r="J419" s="2"/>
      <c r="K419" s="193"/>
      <c r="L419" s="8"/>
      <c r="M419" s="8"/>
      <c r="N419" s="8"/>
      <c r="O419" s="194"/>
      <c r="P419" s="195"/>
    </row>
    <row r="420" spans="1:16">
      <c r="A420" s="3"/>
      <c r="B420" s="3" t="str">
        <f>TEXT(Tabela223[[#This Row],[DATA]],"mmmm")</f>
        <v>janeiro</v>
      </c>
      <c r="C420" s="2"/>
      <c r="D420" s="2"/>
      <c r="E420" s="2"/>
      <c r="F420" s="2"/>
      <c r="G420" s="173"/>
      <c r="H420" s="174"/>
      <c r="I420" s="173" t="e">
        <f>Tabela22[[#This Row],[PESO TOTAL]]/Tabela22[[#This Row],[QUANTIDADE]]</f>
        <v>#DIV/0!</v>
      </c>
      <c r="J420" s="2"/>
      <c r="K420" s="193"/>
      <c r="L420" s="8"/>
      <c r="M420" s="8"/>
      <c r="N420" s="8"/>
      <c r="O420" s="194"/>
      <c r="P420" s="195"/>
    </row>
    <row r="421" spans="1:16">
      <c r="A421" s="3"/>
      <c r="B421" s="3" t="str">
        <f>TEXT(Tabela223[[#This Row],[DATA]],"mmmm")</f>
        <v>janeiro</v>
      </c>
      <c r="C421" s="2"/>
      <c r="D421" s="2"/>
      <c r="E421" s="2"/>
      <c r="F421" s="2"/>
      <c r="G421" s="173"/>
      <c r="H421" s="174"/>
      <c r="I421" s="173" t="e">
        <f>Tabela22[[#This Row],[PESO TOTAL]]/Tabela22[[#This Row],[QUANTIDADE]]</f>
        <v>#DIV/0!</v>
      </c>
      <c r="J421" s="2"/>
      <c r="K421" s="193"/>
      <c r="L421" s="8"/>
      <c r="M421" s="8"/>
      <c r="N421" s="8"/>
      <c r="O421" s="194"/>
      <c r="P421" s="195"/>
    </row>
    <row r="422" spans="1:16">
      <c r="A422" s="3"/>
      <c r="B422" s="3" t="str">
        <f>TEXT(Tabela223[[#This Row],[DATA]],"mmmm")</f>
        <v>janeiro</v>
      </c>
      <c r="C422" s="2"/>
      <c r="D422" s="2"/>
      <c r="E422" s="2"/>
      <c r="F422" s="2"/>
      <c r="G422" s="173"/>
      <c r="H422" s="174"/>
      <c r="I422" s="173" t="e">
        <f>Tabela22[[#This Row],[PESO TOTAL]]/Tabela22[[#This Row],[QUANTIDADE]]</f>
        <v>#DIV/0!</v>
      </c>
      <c r="J422" s="2"/>
      <c r="K422" s="193"/>
      <c r="L422" s="8"/>
      <c r="M422" s="8"/>
      <c r="N422" s="8"/>
      <c r="O422" s="194"/>
      <c r="P422" s="195"/>
    </row>
    <row r="423" spans="1:16">
      <c r="A423" s="3"/>
      <c r="B423" s="3" t="str">
        <f>TEXT(Tabela223[[#This Row],[DATA]],"mmmm")</f>
        <v>janeiro</v>
      </c>
      <c r="C423" s="2"/>
      <c r="D423" s="2"/>
      <c r="E423" s="2"/>
      <c r="F423" s="2"/>
      <c r="G423" s="173"/>
      <c r="H423" s="174"/>
      <c r="I423" s="173" t="e">
        <f>Tabela22[[#This Row],[PESO TOTAL]]/Tabela22[[#This Row],[QUANTIDADE]]</f>
        <v>#DIV/0!</v>
      </c>
      <c r="J423" s="2"/>
      <c r="K423" s="193"/>
      <c r="L423" s="8"/>
      <c r="M423" s="8"/>
      <c r="N423" s="8"/>
      <c r="O423" s="194"/>
      <c r="P423" s="195"/>
    </row>
    <row r="424" spans="1:16">
      <c r="A424" s="3"/>
      <c r="B424" s="3" t="str">
        <f>TEXT(Tabela223[[#This Row],[DATA]],"mmmm")</f>
        <v>janeiro</v>
      </c>
      <c r="C424" s="2"/>
      <c r="D424" s="2"/>
      <c r="E424" s="2"/>
      <c r="F424" s="2"/>
      <c r="G424" s="173"/>
      <c r="H424" s="174"/>
      <c r="I424" s="173" t="e">
        <f>Tabela22[[#This Row],[PESO TOTAL]]/Tabela22[[#This Row],[QUANTIDADE]]</f>
        <v>#DIV/0!</v>
      </c>
      <c r="J424" s="2"/>
      <c r="K424" s="193"/>
      <c r="L424" s="8"/>
      <c r="M424" s="8"/>
      <c r="N424" s="8"/>
      <c r="O424" s="194"/>
      <c r="P424" s="195"/>
    </row>
    <row r="425" spans="1:16">
      <c r="A425" s="3"/>
      <c r="B425" s="3" t="str">
        <f>TEXT(Tabela223[[#This Row],[DATA]],"mmmm")</f>
        <v>janeiro</v>
      </c>
      <c r="C425" s="2"/>
      <c r="D425" s="2"/>
      <c r="E425" s="2"/>
      <c r="F425" s="2"/>
      <c r="G425" s="173"/>
      <c r="H425" s="174"/>
      <c r="I425" s="173" t="e">
        <f>Tabela22[[#This Row],[PESO TOTAL]]/Tabela22[[#This Row],[QUANTIDADE]]</f>
        <v>#DIV/0!</v>
      </c>
      <c r="J425" s="2"/>
      <c r="K425" s="193"/>
      <c r="L425" s="8"/>
      <c r="M425" s="8"/>
      <c r="N425" s="8"/>
      <c r="O425" s="194"/>
      <c r="P425" s="195"/>
    </row>
    <row r="426" spans="1:16">
      <c r="A426" s="3"/>
      <c r="B426" s="3" t="str">
        <f>TEXT(Tabela223[[#This Row],[DATA]],"mmmm")</f>
        <v>janeiro</v>
      </c>
      <c r="C426" s="2"/>
      <c r="D426" s="2"/>
      <c r="E426" s="2"/>
      <c r="F426" s="2"/>
      <c r="G426" s="173"/>
      <c r="H426" s="174"/>
      <c r="I426" s="173" t="e">
        <f>Tabela22[[#This Row],[PESO TOTAL]]/Tabela22[[#This Row],[QUANTIDADE]]</f>
        <v>#DIV/0!</v>
      </c>
      <c r="J426" s="2"/>
      <c r="K426" s="193"/>
      <c r="L426" s="8"/>
      <c r="M426" s="8"/>
      <c r="N426" s="8"/>
      <c r="O426" s="194"/>
      <c r="P426" s="195"/>
    </row>
    <row r="427" spans="1:16">
      <c r="A427" s="3"/>
      <c r="B427" s="3" t="str">
        <f>TEXT(Tabela223[[#This Row],[DATA]],"mmmm")</f>
        <v>janeiro</v>
      </c>
      <c r="C427" s="2"/>
      <c r="D427" s="2"/>
      <c r="E427" s="2"/>
      <c r="F427" s="2"/>
      <c r="G427" s="173"/>
      <c r="H427" s="174"/>
      <c r="I427" s="173" t="e">
        <f>Tabela22[[#This Row],[PESO TOTAL]]/Tabela22[[#This Row],[QUANTIDADE]]</f>
        <v>#DIV/0!</v>
      </c>
      <c r="J427" s="2"/>
      <c r="K427" s="193"/>
      <c r="L427" s="8"/>
      <c r="M427" s="8"/>
      <c r="N427" s="8"/>
      <c r="O427" s="194"/>
      <c r="P427" s="195"/>
    </row>
    <row r="428" spans="1:16">
      <c r="A428" s="3"/>
      <c r="B428" s="3" t="str">
        <f>TEXT(Tabela223[[#This Row],[DATA]],"mmmm")</f>
        <v>janeiro</v>
      </c>
      <c r="C428" s="2"/>
      <c r="D428" s="2"/>
      <c r="E428" s="2"/>
      <c r="F428" s="2"/>
      <c r="G428" s="173"/>
      <c r="H428" s="174"/>
      <c r="I428" s="173" t="e">
        <f>Tabela22[[#This Row],[PESO TOTAL]]/Tabela22[[#This Row],[QUANTIDADE]]</f>
        <v>#DIV/0!</v>
      </c>
      <c r="J428" s="2"/>
      <c r="K428" s="193"/>
      <c r="L428" s="8"/>
      <c r="M428" s="8"/>
      <c r="N428" s="8"/>
      <c r="O428" s="194"/>
      <c r="P428" s="195"/>
    </row>
    <row r="429" spans="1:16">
      <c r="A429" s="3"/>
      <c r="B429" s="3" t="str">
        <f>TEXT(Tabela223[[#This Row],[DATA]],"mmmm")</f>
        <v>janeiro</v>
      </c>
      <c r="C429" s="2"/>
      <c r="D429" s="2"/>
      <c r="E429" s="2"/>
      <c r="F429" s="2"/>
      <c r="G429" s="173"/>
      <c r="H429" s="174"/>
      <c r="I429" s="173" t="e">
        <f>Tabela22[[#This Row],[PESO TOTAL]]/Tabela22[[#This Row],[QUANTIDADE]]</f>
        <v>#DIV/0!</v>
      </c>
      <c r="J429" s="2"/>
      <c r="K429" s="193"/>
      <c r="L429" s="8"/>
      <c r="M429" s="8"/>
      <c r="N429" s="8"/>
      <c r="O429" s="194"/>
      <c r="P429" s="195"/>
    </row>
    <row r="430" spans="1:16">
      <c r="A430" s="3"/>
      <c r="B430" s="3" t="str">
        <f>TEXT(Tabela223[[#This Row],[DATA]],"mmmm")</f>
        <v>janeiro</v>
      </c>
      <c r="C430" s="2"/>
      <c r="D430" s="2"/>
      <c r="E430" s="2"/>
      <c r="F430" s="2"/>
      <c r="G430" s="173"/>
      <c r="H430" s="174"/>
      <c r="I430" s="173" t="e">
        <f>Tabela22[[#This Row],[PESO TOTAL]]/Tabela22[[#This Row],[QUANTIDADE]]</f>
        <v>#DIV/0!</v>
      </c>
      <c r="J430" s="2"/>
      <c r="K430" s="193"/>
      <c r="L430" s="8"/>
      <c r="M430" s="8"/>
      <c r="N430" s="8"/>
      <c r="O430" s="194"/>
      <c r="P430" s="195"/>
    </row>
    <row r="431" spans="1:16">
      <c r="A431" s="3"/>
      <c r="B431" s="3" t="str">
        <f>TEXT(Tabela223[[#This Row],[DATA]],"mmmm")</f>
        <v>janeiro</v>
      </c>
      <c r="C431" s="2"/>
      <c r="D431" s="2"/>
      <c r="E431" s="2"/>
      <c r="F431" s="2"/>
      <c r="G431" s="173"/>
      <c r="H431" s="174"/>
      <c r="I431" s="173" t="e">
        <f>Tabela22[[#This Row],[PESO TOTAL]]/Tabela22[[#This Row],[QUANTIDADE]]</f>
        <v>#DIV/0!</v>
      </c>
      <c r="J431" s="2"/>
      <c r="K431" s="193"/>
      <c r="L431" s="8"/>
      <c r="M431" s="8"/>
      <c r="N431" s="8"/>
      <c r="O431" s="194"/>
      <c r="P431" s="195"/>
    </row>
    <row r="432" spans="1:16">
      <c r="A432" s="3"/>
      <c r="B432" s="3" t="str">
        <f>TEXT(Tabela223[[#This Row],[DATA]],"mmmm")</f>
        <v>janeiro</v>
      </c>
      <c r="C432" s="2"/>
      <c r="D432" s="2"/>
      <c r="E432" s="2"/>
      <c r="F432" s="2"/>
      <c r="G432" s="173"/>
      <c r="H432" s="174"/>
      <c r="I432" s="173" t="e">
        <f>Tabela22[[#This Row],[PESO TOTAL]]/Tabela22[[#This Row],[QUANTIDADE]]</f>
        <v>#DIV/0!</v>
      </c>
      <c r="J432" s="2"/>
      <c r="K432" s="193"/>
      <c r="L432" s="8"/>
      <c r="M432" s="8"/>
      <c r="N432" s="8"/>
      <c r="O432" s="194"/>
      <c r="P432" s="195"/>
    </row>
    <row r="433" spans="1:16">
      <c r="A433" s="3"/>
      <c r="B433" s="3" t="str">
        <f>TEXT(Tabela223[[#This Row],[DATA]],"mmmm")</f>
        <v>janeiro</v>
      </c>
      <c r="C433" s="2"/>
      <c r="D433" s="2"/>
      <c r="E433" s="2"/>
      <c r="F433" s="2"/>
      <c r="G433" s="173"/>
      <c r="H433" s="174"/>
      <c r="I433" s="173" t="e">
        <f>Tabela22[[#This Row],[PESO TOTAL]]/Tabela22[[#This Row],[QUANTIDADE]]</f>
        <v>#DIV/0!</v>
      </c>
      <c r="J433" s="2"/>
      <c r="K433" s="193"/>
      <c r="L433" s="8"/>
      <c r="M433" s="8"/>
      <c r="N433" s="8"/>
      <c r="O433" s="194"/>
      <c r="P433" s="195"/>
    </row>
    <row r="434" spans="1:16">
      <c r="A434" s="3"/>
      <c r="B434" s="3" t="str">
        <f>TEXT(Tabela223[[#This Row],[DATA]],"mmmm")</f>
        <v>janeiro</v>
      </c>
      <c r="C434" s="2"/>
      <c r="D434" s="2"/>
      <c r="E434" s="2"/>
      <c r="F434" s="2"/>
      <c r="G434" s="173"/>
      <c r="H434" s="174"/>
      <c r="I434" s="173" t="e">
        <f>Tabela22[[#This Row],[PESO TOTAL]]/Tabela22[[#This Row],[QUANTIDADE]]</f>
        <v>#DIV/0!</v>
      </c>
      <c r="J434" s="2"/>
      <c r="K434" s="193"/>
      <c r="L434" s="8"/>
      <c r="M434" s="8"/>
      <c r="N434" s="8"/>
      <c r="O434" s="194"/>
      <c r="P434" s="195"/>
    </row>
    <row r="435" spans="1:16">
      <c r="A435" s="3"/>
      <c r="B435" s="3" t="str">
        <f>TEXT(Tabela223[[#This Row],[DATA]],"mmmm")</f>
        <v>janeiro</v>
      </c>
      <c r="C435" s="2"/>
      <c r="D435" s="2"/>
      <c r="E435" s="2"/>
      <c r="F435" s="2"/>
      <c r="G435" s="173"/>
      <c r="H435" s="174"/>
      <c r="I435" s="173" t="e">
        <f>Tabela22[[#This Row],[PESO TOTAL]]/Tabela22[[#This Row],[QUANTIDADE]]</f>
        <v>#DIV/0!</v>
      </c>
      <c r="J435" s="2"/>
      <c r="K435" s="193"/>
      <c r="L435" s="8"/>
      <c r="M435" s="8"/>
      <c r="N435" s="8"/>
      <c r="O435" s="194"/>
      <c r="P435" s="195"/>
    </row>
    <row r="436" spans="1:16">
      <c r="A436" s="3"/>
      <c r="B436" s="3" t="str">
        <f>TEXT(Tabela223[[#This Row],[DATA]],"mmmm")</f>
        <v>janeiro</v>
      </c>
      <c r="C436" s="2"/>
      <c r="D436" s="2"/>
      <c r="E436" s="2"/>
      <c r="F436" s="2"/>
      <c r="G436" s="173"/>
      <c r="H436" s="174"/>
      <c r="I436" s="173" t="e">
        <f>Tabela22[[#This Row],[PESO TOTAL]]/Tabela22[[#This Row],[QUANTIDADE]]</f>
        <v>#DIV/0!</v>
      </c>
      <c r="J436" s="2"/>
      <c r="K436" s="193"/>
      <c r="L436" s="8"/>
      <c r="M436" s="8"/>
      <c r="N436" s="8"/>
      <c r="O436" s="194"/>
      <c r="P436" s="195"/>
    </row>
    <row r="437" spans="1:16">
      <c r="A437" s="3"/>
      <c r="B437" s="3" t="str">
        <f>TEXT(Tabela223[[#This Row],[DATA]],"mmmm")</f>
        <v>janeiro</v>
      </c>
      <c r="C437" s="2"/>
      <c r="D437" s="2"/>
      <c r="E437" s="2"/>
      <c r="F437" s="2"/>
      <c r="G437" s="173"/>
      <c r="H437" s="174"/>
      <c r="I437" s="173" t="e">
        <f>Tabela22[[#This Row],[PESO TOTAL]]/Tabela22[[#This Row],[QUANTIDADE]]</f>
        <v>#DIV/0!</v>
      </c>
      <c r="J437" s="2"/>
      <c r="K437" s="193"/>
      <c r="L437" s="8"/>
      <c r="M437" s="8"/>
      <c r="N437" s="8"/>
      <c r="O437" s="194"/>
      <c r="P437" s="195"/>
    </row>
    <row r="438" spans="1:16">
      <c r="A438" s="3"/>
      <c r="B438" s="3" t="str">
        <f>TEXT(Tabela223[[#This Row],[DATA]],"mmmm")</f>
        <v>janeiro</v>
      </c>
      <c r="C438" s="2"/>
      <c r="D438" s="2"/>
      <c r="E438" s="2"/>
      <c r="F438" s="2"/>
      <c r="G438" s="173"/>
      <c r="H438" s="174"/>
      <c r="I438" s="173" t="e">
        <f>Tabela22[[#This Row],[PESO TOTAL]]/Tabela22[[#This Row],[QUANTIDADE]]</f>
        <v>#DIV/0!</v>
      </c>
      <c r="J438" s="2"/>
      <c r="K438" s="193"/>
      <c r="L438" s="8"/>
      <c r="M438" s="8"/>
      <c r="N438" s="8"/>
      <c r="O438" s="194"/>
      <c r="P438" s="195"/>
    </row>
    <row r="439" spans="1:16">
      <c r="A439" s="3"/>
      <c r="B439" s="3" t="str">
        <f>TEXT(Tabela223[[#This Row],[DATA]],"mmmm")</f>
        <v>janeiro</v>
      </c>
      <c r="C439" s="2"/>
      <c r="D439" s="2"/>
      <c r="E439" s="2"/>
      <c r="F439" s="2"/>
      <c r="G439" s="173"/>
      <c r="H439" s="174"/>
      <c r="I439" s="173" t="e">
        <f>Tabela22[[#This Row],[PESO TOTAL]]/Tabela22[[#This Row],[QUANTIDADE]]</f>
        <v>#DIV/0!</v>
      </c>
      <c r="J439" s="2"/>
      <c r="K439" s="193"/>
      <c r="L439" s="8"/>
      <c r="M439" s="8"/>
      <c r="N439" s="8"/>
      <c r="O439" s="194"/>
      <c r="P439" s="195"/>
    </row>
    <row r="440" spans="1:16">
      <c r="A440" s="3"/>
      <c r="B440" s="3" t="str">
        <f>TEXT(Tabela223[[#This Row],[DATA]],"mmmm")</f>
        <v>janeiro</v>
      </c>
      <c r="C440" s="2"/>
      <c r="D440" s="2"/>
      <c r="E440" s="2"/>
      <c r="F440" s="2"/>
      <c r="G440" s="173"/>
      <c r="H440" s="174"/>
      <c r="I440" s="173" t="e">
        <f>Tabela22[[#This Row],[PESO TOTAL]]/Tabela22[[#This Row],[QUANTIDADE]]</f>
        <v>#DIV/0!</v>
      </c>
      <c r="J440" s="2"/>
      <c r="K440" s="193"/>
      <c r="L440" s="8"/>
      <c r="M440" s="8"/>
      <c r="N440" s="8"/>
      <c r="O440" s="194"/>
      <c r="P440" s="195"/>
    </row>
    <row r="441" spans="1:16">
      <c r="A441" s="3"/>
      <c r="B441" s="3" t="str">
        <f>TEXT(Tabela223[[#This Row],[DATA]],"mmmm")</f>
        <v>janeiro</v>
      </c>
      <c r="C441" s="2"/>
      <c r="D441" s="2"/>
      <c r="E441" s="2"/>
      <c r="F441" s="2"/>
      <c r="G441" s="173"/>
      <c r="H441" s="174"/>
      <c r="I441" s="173" t="e">
        <f>Tabela22[[#This Row],[PESO TOTAL]]/Tabela22[[#This Row],[QUANTIDADE]]</f>
        <v>#DIV/0!</v>
      </c>
      <c r="J441" s="2"/>
      <c r="K441" s="193"/>
      <c r="L441" s="8"/>
      <c r="M441" s="8"/>
      <c r="N441" s="8"/>
      <c r="O441" s="194"/>
      <c r="P441" s="195"/>
    </row>
    <row r="442" spans="1:16">
      <c r="A442" s="3"/>
      <c r="B442" s="3" t="str">
        <f>TEXT(Tabela223[[#This Row],[DATA]],"mmmm")</f>
        <v>janeiro</v>
      </c>
      <c r="C442" s="2"/>
      <c r="D442" s="2"/>
      <c r="E442" s="2"/>
      <c r="F442" s="2"/>
      <c r="G442" s="173"/>
      <c r="H442" s="174"/>
      <c r="I442" s="173" t="e">
        <f>Tabela22[[#This Row],[PESO TOTAL]]/Tabela22[[#This Row],[QUANTIDADE]]</f>
        <v>#DIV/0!</v>
      </c>
      <c r="J442" s="2"/>
      <c r="K442" s="193"/>
      <c r="L442" s="8"/>
      <c r="M442" s="8"/>
      <c r="N442" s="8"/>
      <c r="O442" s="194"/>
      <c r="P442" s="195"/>
    </row>
    <row r="443" spans="1:16">
      <c r="A443" s="3"/>
      <c r="B443" s="3" t="str">
        <f>TEXT(Tabela223[[#This Row],[DATA]],"mmmm")</f>
        <v>janeiro</v>
      </c>
      <c r="C443" s="2"/>
      <c r="D443" s="2"/>
      <c r="E443" s="2"/>
      <c r="F443" s="2"/>
      <c r="G443" s="173"/>
      <c r="H443" s="174"/>
      <c r="I443" s="173" t="e">
        <f>Tabela22[[#This Row],[PESO TOTAL]]/Tabela22[[#This Row],[QUANTIDADE]]</f>
        <v>#DIV/0!</v>
      </c>
      <c r="J443" s="2"/>
      <c r="K443" s="193"/>
      <c r="L443" s="8"/>
      <c r="M443" s="8"/>
      <c r="N443" s="8"/>
      <c r="O443" s="194"/>
      <c r="P443" s="195"/>
    </row>
    <row r="444" spans="1:16">
      <c r="A444" s="3"/>
      <c r="B444" s="3" t="str">
        <f>TEXT(Tabela223[[#This Row],[DATA]],"mmmm")</f>
        <v>janeiro</v>
      </c>
      <c r="C444" s="2"/>
      <c r="D444" s="2"/>
      <c r="E444" s="2"/>
      <c r="F444" s="2"/>
      <c r="G444" s="173"/>
      <c r="H444" s="174"/>
      <c r="I444" s="173" t="e">
        <f>Tabela22[[#This Row],[PESO TOTAL]]/Tabela22[[#This Row],[QUANTIDADE]]</f>
        <v>#DIV/0!</v>
      </c>
      <c r="J444" s="2"/>
      <c r="K444" s="193"/>
      <c r="L444" s="8"/>
      <c r="M444" s="8"/>
      <c r="N444" s="8"/>
      <c r="O444" s="194"/>
      <c r="P444" s="195"/>
    </row>
    <row r="445" spans="1:16">
      <c r="A445" s="3"/>
      <c r="B445" s="3" t="str">
        <f>TEXT(Tabela223[[#This Row],[DATA]],"mmmm")</f>
        <v>janeiro</v>
      </c>
      <c r="C445" s="2"/>
      <c r="D445" s="2"/>
      <c r="E445" s="2"/>
      <c r="F445" s="2"/>
      <c r="G445" s="173"/>
      <c r="H445" s="174"/>
      <c r="I445" s="173" t="e">
        <f>Tabela22[[#This Row],[PESO TOTAL]]/Tabela22[[#This Row],[QUANTIDADE]]</f>
        <v>#DIV/0!</v>
      </c>
      <c r="J445" s="2"/>
      <c r="K445" s="193"/>
      <c r="L445" s="8"/>
      <c r="M445" s="8"/>
      <c r="N445" s="8"/>
      <c r="O445" s="194"/>
      <c r="P445" s="195"/>
    </row>
    <row r="446" spans="1:16">
      <c r="A446" s="3"/>
      <c r="B446" s="3" t="str">
        <f>TEXT(Tabela223[[#This Row],[DATA]],"mmmm")</f>
        <v>janeiro</v>
      </c>
      <c r="C446" s="2"/>
      <c r="D446" s="2"/>
      <c r="E446" s="2"/>
      <c r="F446" s="2"/>
      <c r="G446" s="173"/>
      <c r="H446" s="174"/>
      <c r="I446" s="173" t="e">
        <f>Tabela22[[#This Row],[PESO TOTAL]]/Tabela22[[#This Row],[QUANTIDADE]]</f>
        <v>#DIV/0!</v>
      </c>
      <c r="J446" s="2"/>
      <c r="K446" s="193"/>
      <c r="L446" s="8"/>
      <c r="M446" s="8"/>
      <c r="N446" s="8"/>
      <c r="O446" s="194"/>
      <c r="P446" s="195"/>
    </row>
    <row r="447" spans="1:16">
      <c r="A447" s="3"/>
      <c r="B447" s="3" t="str">
        <f>TEXT(Tabela223[[#This Row],[DATA]],"mmmm")</f>
        <v>janeiro</v>
      </c>
      <c r="C447" s="2"/>
      <c r="D447" s="2"/>
      <c r="E447" s="2"/>
      <c r="F447" s="2"/>
      <c r="G447" s="173"/>
      <c r="H447" s="174"/>
      <c r="I447" s="173" t="e">
        <f>Tabela22[[#This Row],[PESO TOTAL]]/Tabela22[[#This Row],[QUANTIDADE]]</f>
        <v>#DIV/0!</v>
      </c>
      <c r="J447" s="2"/>
      <c r="K447" s="193"/>
      <c r="L447" s="8"/>
      <c r="M447" s="8"/>
      <c r="N447" s="8"/>
      <c r="O447" s="194"/>
      <c r="P447" s="195"/>
    </row>
    <row r="448" spans="1:16">
      <c r="A448" s="3"/>
      <c r="B448" s="3" t="str">
        <f>TEXT(Tabela223[[#This Row],[DATA]],"mmmm")</f>
        <v>janeiro</v>
      </c>
      <c r="C448" s="2"/>
      <c r="D448" s="2"/>
      <c r="E448" s="2"/>
      <c r="F448" s="2"/>
      <c r="G448" s="173"/>
      <c r="H448" s="174"/>
      <c r="I448" s="173" t="e">
        <f>Tabela22[[#This Row],[PESO TOTAL]]/Tabela22[[#This Row],[QUANTIDADE]]</f>
        <v>#DIV/0!</v>
      </c>
      <c r="J448" s="2"/>
      <c r="K448" s="193"/>
      <c r="L448" s="8"/>
      <c r="M448" s="8"/>
      <c r="N448" s="8"/>
      <c r="O448" s="194"/>
      <c r="P448" s="195"/>
    </row>
    <row r="449" spans="1:16">
      <c r="A449" s="3"/>
      <c r="B449" s="3" t="str">
        <f>TEXT(Tabela223[[#This Row],[DATA]],"mmmm")</f>
        <v>janeiro</v>
      </c>
      <c r="C449" s="2"/>
      <c r="D449" s="2"/>
      <c r="E449" s="2"/>
      <c r="F449" s="2"/>
      <c r="G449" s="173"/>
      <c r="H449" s="174"/>
      <c r="I449" s="173" t="e">
        <f>Tabela22[[#This Row],[PESO TOTAL]]/Tabela22[[#This Row],[QUANTIDADE]]</f>
        <v>#DIV/0!</v>
      </c>
      <c r="J449" s="2"/>
      <c r="K449" s="193"/>
      <c r="L449" s="8"/>
      <c r="M449" s="8"/>
      <c r="N449" s="8"/>
      <c r="O449" s="194"/>
      <c r="P449" s="195"/>
    </row>
    <row r="450" spans="1:16">
      <c r="A450" s="3"/>
      <c r="B450" s="3" t="str">
        <f>TEXT(Tabela223[[#This Row],[DATA]],"mmmm")</f>
        <v>janeiro</v>
      </c>
      <c r="C450" s="2"/>
      <c r="D450" s="2"/>
      <c r="E450" s="2"/>
      <c r="F450" s="2"/>
      <c r="G450" s="173"/>
      <c r="H450" s="174"/>
      <c r="I450" s="173" t="e">
        <f>Tabela22[[#This Row],[PESO TOTAL]]/Tabela22[[#This Row],[QUANTIDADE]]</f>
        <v>#DIV/0!</v>
      </c>
      <c r="J450" s="2"/>
      <c r="K450" s="193"/>
      <c r="L450" s="8"/>
      <c r="M450" s="8"/>
      <c r="N450" s="8"/>
      <c r="O450" s="194"/>
      <c r="P450" s="195"/>
    </row>
    <row r="451" spans="1:16">
      <c r="A451" s="3"/>
      <c r="B451" s="3" t="str">
        <f>TEXT(Tabela223[[#This Row],[DATA]],"mmmm")</f>
        <v>janeiro</v>
      </c>
      <c r="C451" s="2"/>
      <c r="D451" s="2"/>
      <c r="E451" s="2"/>
      <c r="F451" s="2"/>
      <c r="G451" s="173"/>
      <c r="H451" s="174"/>
      <c r="I451" s="173" t="e">
        <f>Tabela22[[#This Row],[PESO TOTAL]]/Tabela22[[#This Row],[QUANTIDADE]]</f>
        <v>#DIV/0!</v>
      </c>
      <c r="J451" s="2"/>
      <c r="K451" s="193"/>
      <c r="L451" s="8"/>
      <c r="M451" s="8"/>
      <c r="N451" s="8"/>
      <c r="O451" s="194"/>
      <c r="P451" s="195"/>
    </row>
    <row r="452" spans="1:16">
      <c r="A452" s="3"/>
      <c r="B452" s="3" t="str">
        <f>TEXT(Tabela223[[#This Row],[DATA]],"mmmm")</f>
        <v>janeiro</v>
      </c>
      <c r="C452" s="2"/>
      <c r="D452" s="2"/>
      <c r="E452" s="2"/>
      <c r="F452" s="2"/>
      <c r="G452" s="173"/>
      <c r="H452" s="174"/>
      <c r="I452" s="173" t="e">
        <f>Tabela22[[#This Row],[PESO TOTAL]]/Tabela22[[#This Row],[QUANTIDADE]]</f>
        <v>#DIV/0!</v>
      </c>
      <c r="J452" s="2"/>
      <c r="K452" s="193"/>
      <c r="L452" s="8"/>
      <c r="M452" s="8"/>
      <c r="N452" s="8"/>
      <c r="O452" s="194"/>
      <c r="P452" s="195"/>
    </row>
    <row r="453" spans="1:16">
      <c r="A453" s="3"/>
      <c r="B453" s="3" t="str">
        <f>TEXT(Tabela223[[#This Row],[DATA]],"mmmm")</f>
        <v>janeiro</v>
      </c>
      <c r="C453" s="2"/>
      <c r="D453" s="2"/>
      <c r="E453" s="2"/>
      <c r="F453" s="2"/>
      <c r="G453" s="173"/>
      <c r="H453" s="174"/>
      <c r="I453" s="173" t="e">
        <f>Tabela22[[#This Row],[PESO TOTAL]]/Tabela22[[#This Row],[QUANTIDADE]]</f>
        <v>#DIV/0!</v>
      </c>
      <c r="J453" s="2"/>
      <c r="K453" s="193"/>
      <c r="L453" s="8"/>
      <c r="M453" s="8"/>
      <c r="N453" s="8"/>
      <c r="O453" s="194"/>
      <c r="P453" s="195"/>
    </row>
    <row r="454" spans="1:16">
      <c r="A454" s="3"/>
      <c r="B454" s="3" t="str">
        <f>TEXT(Tabela223[[#This Row],[DATA]],"mmmm")</f>
        <v>janeiro</v>
      </c>
      <c r="C454" s="2"/>
      <c r="D454" s="2"/>
      <c r="E454" s="2"/>
      <c r="F454" s="2"/>
      <c r="G454" s="173"/>
      <c r="H454" s="174"/>
      <c r="I454" s="173" t="e">
        <f>Tabela22[[#This Row],[PESO TOTAL]]/Tabela22[[#This Row],[QUANTIDADE]]</f>
        <v>#DIV/0!</v>
      </c>
      <c r="J454" s="2"/>
      <c r="K454" s="193"/>
      <c r="L454" s="8"/>
      <c r="M454" s="8"/>
      <c r="N454" s="8"/>
      <c r="O454" s="194"/>
      <c r="P454" s="195"/>
    </row>
    <row r="455" spans="1:16">
      <c r="A455" s="3"/>
      <c r="B455" s="3" t="str">
        <f>TEXT(Tabela223[[#This Row],[DATA]],"mmmm")</f>
        <v>janeiro</v>
      </c>
      <c r="C455" s="2"/>
      <c r="D455" s="2"/>
      <c r="E455" s="2"/>
      <c r="F455" s="2"/>
      <c r="G455" s="173"/>
      <c r="H455" s="174"/>
      <c r="I455" s="173" t="e">
        <f>Tabela22[[#This Row],[PESO TOTAL]]/Tabela22[[#This Row],[QUANTIDADE]]</f>
        <v>#DIV/0!</v>
      </c>
      <c r="J455" s="2"/>
      <c r="K455" s="193"/>
      <c r="L455" s="8"/>
      <c r="M455" s="8"/>
      <c r="N455" s="8"/>
      <c r="O455" s="194"/>
      <c r="P455" s="195"/>
    </row>
    <row r="456" spans="1:16">
      <c r="A456" s="3"/>
      <c r="B456" s="3" t="str">
        <f>TEXT(Tabela223[[#This Row],[DATA]],"mmmm")</f>
        <v>janeiro</v>
      </c>
      <c r="C456" s="2"/>
      <c r="D456" s="2"/>
      <c r="E456" s="2"/>
      <c r="F456" s="2"/>
      <c r="G456" s="173"/>
      <c r="H456" s="174"/>
      <c r="I456" s="173" t="e">
        <f>Tabela22[[#This Row],[PESO TOTAL]]/Tabela22[[#This Row],[QUANTIDADE]]</f>
        <v>#DIV/0!</v>
      </c>
      <c r="J456" s="2"/>
      <c r="K456" s="193"/>
      <c r="L456" s="8"/>
      <c r="M456" s="8"/>
      <c r="N456" s="8"/>
      <c r="O456" s="194"/>
      <c r="P456" s="195"/>
    </row>
    <row r="457" spans="1:16">
      <c r="A457" s="3"/>
      <c r="B457" s="3" t="str">
        <f>TEXT(Tabela223[[#This Row],[DATA]],"mmmm")</f>
        <v>janeiro</v>
      </c>
      <c r="C457" s="2"/>
      <c r="D457" s="2"/>
      <c r="E457" s="2"/>
      <c r="F457" s="2"/>
      <c r="G457" s="173"/>
      <c r="H457" s="174"/>
      <c r="I457" s="173" t="e">
        <f>Tabela22[[#This Row],[PESO TOTAL]]/Tabela22[[#This Row],[QUANTIDADE]]</f>
        <v>#DIV/0!</v>
      </c>
      <c r="J457" s="2"/>
      <c r="K457" s="193"/>
      <c r="L457" s="8"/>
      <c r="M457" s="8"/>
      <c r="N457" s="8"/>
      <c r="O457" s="194"/>
      <c r="P457" s="195"/>
    </row>
    <row r="458" spans="1:16">
      <c r="A458" s="3"/>
      <c r="B458" s="3" t="str">
        <f>TEXT(Tabela223[[#This Row],[DATA]],"mmmm")</f>
        <v>janeiro</v>
      </c>
      <c r="C458" s="2"/>
      <c r="D458" s="2"/>
      <c r="E458" s="2"/>
      <c r="F458" s="2"/>
      <c r="G458" s="173"/>
      <c r="H458" s="174"/>
      <c r="I458" s="173" t="e">
        <f>Tabela22[[#This Row],[PESO TOTAL]]/Tabela22[[#This Row],[QUANTIDADE]]</f>
        <v>#DIV/0!</v>
      </c>
      <c r="J458" s="2"/>
      <c r="K458" s="193"/>
      <c r="L458" s="8"/>
      <c r="M458" s="8"/>
      <c r="N458" s="8"/>
      <c r="O458" s="194"/>
      <c r="P458" s="195"/>
    </row>
    <row r="459" spans="1:16">
      <c r="A459" s="3"/>
      <c r="B459" s="3" t="str">
        <f>TEXT(Tabela223[[#This Row],[DATA]],"mmmm")</f>
        <v>janeiro</v>
      </c>
      <c r="C459" s="2"/>
      <c r="D459" s="2"/>
      <c r="E459" s="2"/>
      <c r="F459" s="2"/>
      <c r="G459" s="173"/>
      <c r="H459" s="174"/>
      <c r="I459" s="173" t="e">
        <f>Tabela22[[#This Row],[PESO TOTAL]]/Tabela22[[#This Row],[QUANTIDADE]]</f>
        <v>#DIV/0!</v>
      </c>
      <c r="J459" s="2"/>
      <c r="K459" s="193"/>
      <c r="L459" s="8"/>
      <c r="M459" s="8"/>
      <c r="N459" s="8"/>
      <c r="O459" s="194"/>
      <c r="P459" s="195"/>
    </row>
    <row r="460" spans="1:16">
      <c r="A460" s="3"/>
      <c r="B460" s="3" t="str">
        <f>TEXT(Tabela223[[#This Row],[DATA]],"mmmm")</f>
        <v>janeiro</v>
      </c>
      <c r="C460" s="2"/>
      <c r="D460" s="2"/>
      <c r="E460" s="2"/>
      <c r="F460" s="2"/>
      <c r="G460" s="173"/>
      <c r="H460" s="174"/>
      <c r="I460" s="173" t="e">
        <f>Tabela22[[#This Row],[PESO TOTAL]]/Tabela22[[#This Row],[QUANTIDADE]]</f>
        <v>#DIV/0!</v>
      </c>
      <c r="J460" s="2"/>
      <c r="K460" s="193"/>
      <c r="L460" s="8"/>
      <c r="M460" s="8"/>
      <c r="N460" s="8"/>
      <c r="O460" s="194"/>
      <c r="P460" s="195"/>
    </row>
    <row r="461" spans="1:16">
      <c r="A461" s="3"/>
      <c r="B461" s="3" t="str">
        <f>TEXT(Tabela223[[#This Row],[DATA]],"mmmm")</f>
        <v>janeiro</v>
      </c>
      <c r="C461" s="2"/>
      <c r="D461" s="2"/>
      <c r="E461" s="2"/>
      <c r="F461" s="2"/>
      <c r="G461" s="173"/>
      <c r="H461" s="174"/>
      <c r="I461" s="173" t="e">
        <f>Tabela22[[#This Row],[PESO TOTAL]]/Tabela22[[#This Row],[QUANTIDADE]]</f>
        <v>#DIV/0!</v>
      </c>
      <c r="J461" s="2"/>
      <c r="K461" s="193"/>
      <c r="L461" s="8"/>
      <c r="M461" s="8"/>
      <c r="N461" s="8"/>
      <c r="O461" s="194"/>
      <c r="P461" s="195"/>
    </row>
    <row r="462" spans="1:16">
      <c r="A462" s="3"/>
      <c r="B462" s="3" t="str">
        <f>TEXT(Tabela223[[#This Row],[DATA]],"mmmm")</f>
        <v>janeiro</v>
      </c>
      <c r="C462" s="2"/>
      <c r="D462" s="2"/>
      <c r="E462" s="2"/>
      <c r="F462" s="2"/>
      <c r="G462" s="173"/>
      <c r="H462" s="174"/>
      <c r="I462" s="173" t="e">
        <f>Tabela22[[#This Row],[PESO TOTAL]]/Tabela22[[#This Row],[QUANTIDADE]]</f>
        <v>#DIV/0!</v>
      </c>
      <c r="J462" s="2"/>
      <c r="K462" s="193"/>
      <c r="L462" s="8"/>
      <c r="M462" s="8"/>
      <c r="N462" s="8"/>
      <c r="O462" s="194"/>
      <c r="P462" s="195"/>
    </row>
    <row r="463" spans="1:16">
      <c r="A463" s="3"/>
      <c r="B463" s="3" t="str">
        <f>TEXT(Tabela223[[#This Row],[DATA]],"mmmm")</f>
        <v>janeiro</v>
      </c>
      <c r="C463" s="2"/>
      <c r="D463" s="2"/>
      <c r="E463" s="2"/>
      <c r="F463" s="2"/>
      <c r="G463" s="173"/>
      <c r="H463" s="174"/>
      <c r="I463" s="173" t="e">
        <f>Tabela22[[#This Row],[PESO TOTAL]]/Tabela22[[#This Row],[QUANTIDADE]]</f>
        <v>#DIV/0!</v>
      </c>
      <c r="J463" s="2"/>
      <c r="K463" s="193"/>
      <c r="L463" s="8"/>
      <c r="M463" s="8"/>
      <c r="N463" s="8"/>
      <c r="O463" s="194"/>
      <c r="P463" s="195"/>
    </row>
    <row r="464" spans="1:16">
      <c r="A464" s="3"/>
      <c r="B464" s="3" t="str">
        <f>TEXT(Tabela223[[#This Row],[DATA]],"mmmm")</f>
        <v>janeiro</v>
      </c>
      <c r="C464" s="2"/>
      <c r="D464" s="2"/>
      <c r="E464" s="2"/>
      <c r="F464" s="2"/>
      <c r="G464" s="173"/>
      <c r="H464" s="174"/>
      <c r="I464" s="173" t="e">
        <f>Tabela22[[#This Row],[PESO TOTAL]]/Tabela22[[#This Row],[QUANTIDADE]]</f>
        <v>#DIV/0!</v>
      </c>
      <c r="J464" s="2"/>
      <c r="K464" s="193"/>
      <c r="L464" s="8"/>
      <c r="M464" s="8"/>
      <c r="N464" s="8"/>
      <c r="O464" s="194"/>
      <c r="P464" s="195"/>
    </row>
    <row r="465" spans="1:16">
      <c r="A465" s="3"/>
      <c r="B465" s="3" t="str">
        <f>TEXT(Tabela223[[#This Row],[DATA]],"mmmm")</f>
        <v>janeiro</v>
      </c>
      <c r="C465" s="2"/>
      <c r="D465" s="2"/>
      <c r="E465" s="2"/>
      <c r="F465" s="2"/>
      <c r="G465" s="173"/>
      <c r="H465" s="174"/>
      <c r="I465" s="173" t="e">
        <f>Tabela22[[#This Row],[PESO TOTAL]]/Tabela22[[#This Row],[QUANTIDADE]]</f>
        <v>#DIV/0!</v>
      </c>
      <c r="J465" s="2"/>
      <c r="K465" s="193"/>
      <c r="L465" s="8"/>
      <c r="M465" s="8"/>
      <c r="N465" s="8"/>
      <c r="O465" s="194"/>
      <c r="P465" s="195"/>
    </row>
    <row r="466" spans="1:16">
      <c r="A466" s="3"/>
      <c r="B466" s="3" t="str">
        <f>TEXT(Tabela223[[#This Row],[DATA]],"mmmm")</f>
        <v>janeiro</v>
      </c>
      <c r="C466" s="2"/>
      <c r="D466" s="2"/>
      <c r="E466" s="2"/>
      <c r="F466" s="2"/>
      <c r="G466" s="173"/>
      <c r="H466" s="174"/>
      <c r="I466" s="173" t="e">
        <f>Tabela22[[#This Row],[PESO TOTAL]]/Tabela22[[#This Row],[QUANTIDADE]]</f>
        <v>#DIV/0!</v>
      </c>
      <c r="J466" s="2"/>
      <c r="K466" s="193"/>
      <c r="L466" s="8"/>
      <c r="M466" s="8"/>
      <c r="N466" s="8"/>
      <c r="O466" s="194"/>
      <c r="P466" s="195"/>
    </row>
    <row r="467" spans="1:16">
      <c r="A467" s="3"/>
      <c r="B467" s="3" t="str">
        <f>TEXT(Tabela223[[#This Row],[DATA]],"mmmm")</f>
        <v>janeiro</v>
      </c>
      <c r="C467" s="2"/>
      <c r="D467" s="2"/>
      <c r="E467" s="2"/>
      <c r="F467" s="2"/>
      <c r="G467" s="173"/>
      <c r="H467" s="174"/>
      <c r="I467" s="173" t="e">
        <f>Tabela22[[#This Row],[PESO TOTAL]]/Tabela22[[#This Row],[QUANTIDADE]]</f>
        <v>#DIV/0!</v>
      </c>
      <c r="J467" s="2"/>
      <c r="K467" s="193"/>
      <c r="L467" s="8"/>
      <c r="M467" s="8"/>
      <c r="N467" s="8"/>
      <c r="O467" s="194"/>
      <c r="P467" s="195"/>
    </row>
    <row r="468" spans="1:16">
      <c r="A468" s="3"/>
      <c r="B468" s="3" t="str">
        <f>TEXT(Tabela223[[#This Row],[DATA]],"mmmm")</f>
        <v>janeiro</v>
      </c>
      <c r="C468" s="2"/>
      <c r="D468" s="2"/>
      <c r="E468" s="2"/>
      <c r="F468" s="2"/>
      <c r="G468" s="173"/>
      <c r="H468" s="174"/>
      <c r="I468" s="173" t="e">
        <f>Tabela22[[#This Row],[PESO TOTAL]]/Tabela22[[#This Row],[QUANTIDADE]]</f>
        <v>#DIV/0!</v>
      </c>
      <c r="J468" s="2"/>
      <c r="K468" s="193"/>
      <c r="L468" s="8"/>
      <c r="M468" s="8"/>
      <c r="N468" s="8"/>
      <c r="O468" s="194"/>
      <c r="P468" s="195"/>
    </row>
    <row r="469" spans="1:16">
      <c r="A469" s="3"/>
      <c r="B469" s="3" t="str">
        <f>TEXT(Tabela223[[#This Row],[DATA]],"mmmm")</f>
        <v>janeiro</v>
      </c>
      <c r="C469" s="2"/>
      <c r="D469" s="2"/>
      <c r="E469" s="2"/>
      <c r="F469" s="2"/>
      <c r="G469" s="173"/>
      <c r="H469" s="174"/>
      <c r="I469" s="173" t="e">
        <f>Tabela22[[#This Row],[PESO TOTAL]]/Tabela22[[#This Row],[QUANTIDADE]]</f>
        <v>#DIV/0!</v>
      </c>
      <c r="J469" s="2"/>
      <c r="K469" s="193"/>
      <c r="L469" s="8"/>
      <c r="M469" s="8"/>
      <c r="N469" s="8"/>
      <c r="O469" s="194"/>
      <c r="P469" s="195"/>
    </row>
    <row r="470" spans="1:16">
      <c r="A470" s="3"/>
      <c r="B470" s="3" t="str">
        <f>TEXT(Tabela223[[#This Row],[DATA]],"mmmm")</f>
        <v>janeiro</v>
      </c>
      <c r="C470" s="2"/>
      <c r="D470" s="2"/>
      <c r="E470" s="2"/>
      <c r="F470" s="2"/>
      <c r="G470" s="173"/>
      <c r="H470" s="174"/>
      <c r="I470" s="173" t="e">
        <f>Tabela22[[#This Row],[PESO TOTAL]]/Tabela22[[#This Row],[QUANTIDADE]]</f>
        <v>#DIV/0!</v>
      </c>
      <c r="J470" s="2"/>
      <c r="K470" s="193"/>
      <c r="L470" s="8"/>
      <c r="M470" s="8"/>
      <c r="N470" s="8"/>
      <c r="O470" s="194"/>
      <c r="P470" s="195"/>
    </row>
    <row r="471" spans="1:16">
      <c r="A471" s="3"/>
      <c r="B471" s="3" t="str">
        <f>TEXT(Tabela223[[#This Row],[DATA]],"mmmm")</f>
        <v>janeiro</v>
      </c>
      <c r="C471" s="2"/>
      <c r="D471" s="2"/>
      <c r="E471" s="2"/>
      <c r="F471" s="2"/>
      <c r="G471" s="173"/>
      <c r="H471" s="174"/>
      <c r="I471" s="173" t="e">
        <f>Tabela22[[#This Row],[PESO TOTAL]]/Tabela22[[#This Row],[QUANTIDADE]]</f>
        <v>#DIV/0!</v>
      </c>
      <c r="J471" s="2"/>
      <c r="K471" s="193"/>
      <c r="L471" s="8"/>
      <c r="M471" s="8"/>
      <c r="N471" s="8"/>
      <c r="O471" s="194"/>
      <c r="P471" s="195"/>
    </row>
    <row r="472" spans="1:16">
      <c r="A472" s="3"/>
      <c r="B472" s="3" t="str">
        <f>TEXT(Tabela223[[#This Row],[DATA]],"mmmm")</f>
        <v>janeiro</v>
      </c>
      <c r="C472" s="2"/>
      <c r="D472" s="2"/>
      <c r="E472" s="2"/>
      <c r="F472" s="2"/>
      <c r="G472" s="173"/>
      <c r="H472" s="174"/>
      <c r="I472" s="173" t="e">
        <f>Tabela22[[#This Row],[PESO TOTAL]]/Tabela22[[#This Row],[QUANTIDADE]]</f>
        <v>#DIV/0!</v>
      </c>
      <c r="J472" s="2"/>
      <c r="K472" s="193"/>
      <c r="L472" s="8"/>
      <c r="M472" s="8"/>
      <c r="N472" s="8"/>
      <c r="O472" s="194"/>
      <c r="P472" s="195"/>
    </row>
    <row r="473" spans="1:16">
      <c r="A473" s="3"/>
      <c r="B473" s="3" t="str">
        <f>TEXT(Tabela223[[#This Row],[DATA]],"mmmm")</f>
        <v>janeiro</v>
      </c>
      <c r="C473" s="2"/>
      <c r="D473" s="2"/>
      <c r="E473" s="2"/>
      <c r="F473" s="2"/>
      <c r="G473" s="173"/>
      <c r="H473" s="174"/>
      <c r="I473" s="173" t="e">
        <f>Tabela22[[#This Row],[PESO TOTAL]]/Tabela22[[#This Row],[QUANTIDADE]]</f>
        <v>#DIV/0!</v>
      </c>
      <c r="J473" s="2"/>
      <c r="K473" s="193"/>
      <c r="L473" s="8"/>
      <c r="M473" s="8"/>
      <c r="N473" s="8"/>
      <c r="O473" s="194"/>
      <c r="P473" s="195"/>
    </row>
    <row r="474" spans="1:16">
      <c r="A474" s="3"/>
      <c r="B474" s="3" t="str">
        <f>TEXT(Tabela223[[#This Row],[DATA]],"mmmm")</f>
        <v>janeiro</v>
      </c>
      <c r="C474" s="2"/>
      <c r="D474" s="2"/>
      <c r="E474" s="2"/>
      <c r="F474" s="2"/>
      <c r="G474" s="173"/>
      <c r="H474" s="174"/>
      <c r="I474" s="173" t="e">
        <f>Tabela22[[#This Row],[PESO TOTAL]]/Tabela22[[#This Row],[QUANTIDADE]]</f>
        <v>#DIV/0!</v>
      </c>
      <c r="J474" s="2"/>
      <c r="K474" s="193"/>
      <c r="L474" s="8"/>
      <c r="M474" s="8"/>
      <c r="N474" s="8"/>
      <c r="O474" s="194"/>
      <c r="P474" s="195"/>
    </row>
    <row r="475" spans="1:16">
      <c r="A475" s="3"/>
      <c r="B475" s="3" t="str">
        <f>TEXT(Tabela223[[#This Row],[DATA]],"mmmm")</f>
        <v>janeiro</v>
      </c>
      <c r="C475" s="2"/>
      <c r="D475" s="2"/>
      <c r="E475" s="2"/>
      <c r="F475" s="2"/>
      <c r="G475" s="173"/>
      <c r="H475" s="174"/>
      <c r="I475" s="173" t="e">
        <f>Tabela22[[#This Row],[PESO TOTAL]]/Tabela22[[#This Row],[QUANTIDADE]]</f>
        <v>#DIV/0!</v>
      </c>
      <c r="J475" s="2"/>
      <c r="K475" s="193"/>
      <c r="L475" s="8"/>
      <c r="M475" s="8"/>
      <c r="N475" s="8"/>
      <c r="O475" s="194"/>
      <c r="P475" s="195"/>
    </row>
    <row r="476" spans="1:16">
      <c r="A476" s="3"/>
      <c r="B476" s="3" t="str">
        <f>TEXT(Tabela223[[#This Row],[DATA]],"mmmm")</f>
        <v>janeiro</v>
      </c>
      <c r="C476" s="2"/>
      <c r="D476" s="2"/>
      <c r="E476" s="2"/>
      <c r="F476" s="2"/>
      <c r="G476" s="173"/>
      <c r="H476" s="174"/>
      <c r="I476" s="173" t="e">
        <f>Tabela22[[#This Row],[PESO TOTAL]]/Tabela22[[#This Row],[QUANTIDADE]]</f>
        <v>#DIV/0!</v>
      </c>
      <c r="J476" s="2"/>
      <c r="K476" s="193"/>
      <c r="L476" s="8"/>
      <c r="M476" s="8"/>
      <c r="N476" s="8"/>
      <c r="O476" s="194"/>
      <c r="P476" s="195"/>
    </row>
    <row r="477" spans="1:16">
      <c r="A477" s="3"/>
      <c r="B477" s="3" t="str">
        <f>TEXT(Tabela223[[#This Row],[DATA]],"mmmm")</f>
        <v>janeiro</v>
      </c>
      <c r="C477" s="2"/>
      <c r="D477" s="2"/>
      <c r="E477" s="2"/>
      <c r="F477" s="2"/>
      <c r="G477" s="173"/>
      <c r="H477" s="174"/>
      <c r="I477" s="173" t="e">
        <f>Tabela22[[#This Row],[PESO TOTAL]]/Tabela22[[#This Row],[QUANTIDADE]]</f>
        <v>#DIV/0!</v>
      </c>
      <c r="J477" s="2"/>
      <c r="K477" s="193"/>
      <c r="L477" s="8"/>
      <c r="M477" s="8"/>
      <c r="N477" s="8"/>
      <c r="O477" s="194"/>
      <c r="P477" s="195"/>
    </row>
    <row r="478" spans="1:16">
      <c r="A478" s="3"/>
      <c r="B478" s="3" t="str">
        <f>TEXT(Tabela223[[#This Row],[DATA]],"mmmm")</f>
        <v>janeiro</v>
      </c>
      <c r="C478" s="2"/>
      <c r="D478" s="2"/>
      <c r="E478" s="2"/>
      <c r="F478" s="2"/>
      <c r="G478" s="173"/>
      <c r="H478" s="174"/>
      <c r="I478" s="173" t="e">
        <f>Tabela22[[#This Row],[PESO TOTAL]]/Tabela22[[#This Row],[QUANTIDADE]]</f>
        <v>#DIV/0!</v>
      </c>
      <c r="J478" s="2"/>
      <c r="K478" s="193"/>
      <c r="L478" s="8"/>
      <c r="M478" s="8"/>
      <c r="N478" s="8"/>
      <c r="O478" s="194"/>
      <c r="P478" s="195"/>
    </row>
    <row r="479" spans="1:16">
      <c r="A479" s="3"/>
      <c r="B479" s="3" t="str">
        <f>TEXT(Tabela223[[#This Row],[DATA]],"mmmm")</f>
        <v>janeiro</v>
      </c>
      <c r="C479" s="2"/>
      <c r="D479" s="2"/>
      <c r="E479" s="2"/>
      <c r="F479" s="2"/>
      <c r="G479" s="173"/>
      <c r="H479" s="174"/>
      <c r="I479" s="173" t="e">
        <f>Tabela22[[#This Row],[PESO TOTAL]]/Tabela22[[#This Row],[QUANTIDADE]]</f>
        <v>#DIV/0!</v>
      </c>
      <c r="J479" s="2"/>
      <c r="K479" s="193"/>
      <c r="L479" s="8"/>
      <c r="M479" s="8"/>
      <c r="N479" s="8"/>
      <c r="O479" s="194"/>
      <c r="P479" s="195"/>
    </row>
    <row r="480" spans="1:16">
      <c r="A480" s="3"/>
      <c r="B480" s="3" t="str">
        <f>TEXT(Tabela223[[#This Row],[DATA]],"mmmm")</f>
        <v>janeiro</v>
      </c>
      <c r="C480" s="2"/>
      <c r="D480" s="2"/>
      <c r="E480" s="2"/>
      <c r="F480" s="2"/>
      <c r="G480" s="173"/>
      <c r="H480" s="174"/>
      <c r="I480" s="173" t="e">
        <f>Tabela22[[#This Row],[PESO TOTAL]]/Tabela22[[#This Row],[QUANTIDADE]]</f>
        <v>#DIV/0!</v>
      </c>
      <c r="J480" s="2"/>
      <c r="K480" s="193"/>
      <c r="L480" s="8"/>
      <c r="M480" s="8"/>
      <c r="N480" s="8"/>
      <c r="O480" s="194"/>
      <c r="P480" s="195"/>
    </row>
    <row r="481" spans="1:16">
      <c r="A481" s="3"/>
      <c r="B481" s="3" t="str">
        <f>TEXT(Tabela223[[#This Row],[DATA]],"mmmm")</f>
        <v>janeiro</v>
      </c>
      <c r="C481" s="2"/>
      <c r="D481" s="2"/>
      <c r="E481" s="2"/>
      <c r="F481" s="2"/>
      <c r="G481" s="173"/>
      <c r="H481" s="174"/>
      <c r="I481" s="173" t="e">
        <f>Tabela22[[#This Row],[PESO TOTAL]]/Tabela22[[#This Row],[QUANTIDADE]]</f>
        <v>#DIV/0!</v>
      </c>
      <c r="J481" s="2"/>
      <c r="K481" s="193"/>
      <c r="L481" s="8"/>
      <c r="M481" s="8"/>
      <c r="N481" s="8"/>
      <c r="O481" s="194"/>
      <c r="P481" s="195"/>
    </row>
    <row r="482" spans="1:16">
      <c r="A482" s="3"/>
      <c r="B482" s="3" t="str">
        <f>TEXT(Tabela223[[#This Row],[DATA]],"mmmm")</f>
        <v>janeiro</v>
      </c>
      <c r="C482" s="2"/>
      <c r="D482" s="2"/>
      <c r="E482" s="2"/>
      <c r="F482" s="2"/>
      <c r="G482" s="173"/>
      <c r="H482" s="174"/>
      <c r="I482" s="173" t="e">
        <f>Tabela22[[#This Row],[PESO TOTAL]]/Tabela22[[#This Row],[QUANTIDADE]]</f>
        <v>#DIV/0!</v>
      </c>
      <c r="J482" s="2"/>
      <c r="K482" s="193"/>
      <c r="L482" s="8"/>
      <c r="M482" s="8"/>
      <c r="N482" s="8"/>
      <c r="O482" s="194"/>
      <c r="P482" s="195"/>
    </row>
    <row r="483" spans="1:16">
      <c r="A483" s="3"/>
      <c r="B483" s="3" t="str">
        <f>TEXT(Tabela223[[#This Row],[DATA]],"mmmm")</f>
        <v>janeiro</v>
      </c>
      <c r="C483" s="2"/>
      <c r="D483" s="2"/>
      <c r="E483" s="2"/>
      <c r="F483" s="2"/>
      <c r="G483" s="173"/>
      <c r="H483" s="174"/>
      <c r="I483" s="173" t="e">
        <f>Tabela22[[#This Row],[PESO TOTAL]]/Tabela22[[#This Row],[QUANTIDADE]]</f>
        <v>#DIV/0!</v>
      </c>
      <c r="J483" s="2"/>
      <c r="K483" s="193"/>
      <c r="L483" s="8"/>
      <c r="M483" s="8"/>
      <c r="N483" s="8"/>
      <c r="O483" s="194"/>
      <c r="P483" s="195"/>
    </row>
    <row r="484" spans="1:16">
      <c r="A484" s="3"/>
      <c r="B484" s="3" t="str">
        <f>TEXT(Tabela223[[#This Row],[DATA]],"mmmm")</f>
        <v>janeiro</v>
      </c>
      <c r="C484" s="2"/>
      <c r="D484" s="2"/>
      <c r="E484" s="2"/>
      <c r="F484" s="2"/>
      <c r="G484" s="173"/>
      <c r="H484" s="174"/>
      <c r="I484" s="173" t="e">
        <f>Tabela22[[#This Row],[PESO TOTAL]]/Tabela22[[#This Row],[QUANTIDADE]]</f>
        <v>#DIV/0!</v>
      </c>
      <c r="J484" s="2"/>
      <c r="K484" s="193"/>
      <c r="L484" s="8"/>
      <c r="M484" s="8"/>
      <c r="N484" s="8"/>
      <c r="O484" s="194"/>
      <c r="P484" s="195"/>
    </row>
    <row r="485" spans="1:16">
      <c r="A485" s="3"/>
      <c r="B485" s="3" t="str">
        <f>TEXT(Tabela223[[#This Row],[DATA]],"mmmm")</f>
        <v>janeiro</v>
      </c>
      <c r="C485" s="2"/>
      <c r="D485" s="2"/>
      <c r="E485" s="2"/>
      <c r="F485" s="2"/>
      <c r="G485" s="173"/>
      <c r="H485" s="174"/>
      <c r="I485" s="173" t="e">
        <f>Tabela22[[#This Row],[PESO TOTAL]]/Tabela22[[#This Row],[QUANTIDADE]]</f>
        <v>#DIV/0!</v>
      </c>
      <c r="J485" s="2"/>
      <c r="K485" s="193"/>
      <c r="L485" s="8"/>
      <c r="M485" s="8"/>
      <c r="N485" s="8"/>
      <c r="O485" s="194"/>
      <c r="P485" s="195"/>
    </row>
    <row r="486" spans="1:16">
      <c r="A486" s="3"/>
      <c r="B486" s="3" t="str">
        <f>TEXT(Tabela223[[#This Row],[DATA]],"mmmm")</f>
        <v>janeiro</v>
      </c>
      <c r="C486" s="2"/>
      <c r="D486" s="2"/>
      <c r="E486" s="2"/>
      <c r="F486" s="2"/>
      <c r="G486" s="173"/>
      <c r="H486" s="174"/>
      <c r="I486" s="173" t="e">
        <f>Tabela22[[#This Row],[PESO TOTAL]]/Tabela22[[#This Row],[QUANTIDADE]]</f>
        <v>#DIV/0!</v>
      </c>
      <c r="J486" s="2"/>
      <c r="K486" s="193"/>
      <c r="L486" s="8"/>
      <c r="M486" s="8"/>
      <c r="N486" s="8"/>
      <c r="O486" s="194"/>
      <c r="P486" s="195"/>
    </row>
    <row r="487" spans="1:16">
      <c r="A487" s="3"/>
      <c r="B487" s="3" t="str">
        <f>TEXT(Tabela223[[#This Row],[DATA]],"mmmm")</f>
        <v>janeiro</v>
      </c>
      <c r="C487" s="2"/>
      <c r="D487" s="2"/>
      <c r="E487" s="2"/>
      <c r="F487" s="2"/>
      <c r="G487" s="173"/>
      <c r="H487" s="174"/>
      <c r="I487" s="173" t="e">
        <f>Tabela22[[#This Row],[PESO TOTAL]]/Tabela22[[#This Row],[QUANTIDADE]]</f>
        <v>#DIV/0!</v>
      </c>
      <c r="J487" s="2"/>
      <c r="K487" s="193"/>
      <c r="L487" s="8"/>
      <c r="M487" s="8"/>
      <c r="N487" s="8"/>
      <c r="O487" s="194"/>
      <c r="P487" s="195"/>
    </row>
    <row r="488" spans="1:16">
      <c r="A488" s="3"/>
      <c r="B488" s="3" t="str">
        <f>TEXT(Tabela223[[#This Row],[DATA]],"mmmm")</f>
        <v>janeiro</v>
      </c>
      <c r="C488" s="2"/>
      <c r="D488" s="2"/>
      <c r="E488" s="2"/>
      <c r="F488" s="2"/>
      <c r="G488" s="173"/>
      <c r="H488" s="174"/>
      <c r="I488" s="173" t="e">
        <f>Tabela22[[#This Row],[PESO TOTAL]]/Tabela22[[#This Row],[QUANTIDADE]]</f>
        <v>#DIV/0!</v>
      </c>
      <c r="J488" s="2"/>
      <c r="K488" s="193"/>
      <c r="L488" s="8"/>
      <c r="M488" s="8"/>
      <c r="N488" s="8"/>
      <c r="O488" s="194"/>
      <c r="P488" s="195"/>
    </row>
    <row r="489" spans="1:16">
      <c r="A489" s="3"/>
      <c r="B489" s="3" t="str">
        <f>TEXT(Tabela223[[#This Row],[DATA]],"mmmm")</f>
        <v>janeiro</v>
      </c>
      <c r="C489" s="2"/>
      <c r="D489" s="2"/>
      <c r="E489" s="2"/>
      <c r="F489" s="2"/>
      <c r="G489" s="173"/>
      <c r="H489" s="174"/>
      <c r="I489" s="173" t="e">
        <f>Tabela22[[#This Row],[PESO TOTAL]]/Tabela22[[#This Row],[QUANTIDADE]]</f>
        <v>#DIV/0!</v>
      </c>
      <c r="J489" s="2"/>
      <c r="K489" s="193"/>
      <c r="L489" s="8"/>
      <c r="M489" s="8"/>
      <c r="N489" s="8"/>
      <c r="O489" s="194"/>
      <c r="P489" s="195"/>
    </row>
    <row r="490" spans="1:16">
      <c r="A490" s="3"/>
      <c r="B490" s="3" t="str">
        <f>TEXT(Tabela223[[#This Row],[DATA]],"mmmm")</f>
        <v>janeiro</v>
      </c>
      <c r="C490" s="2"/>
      <c r="D490" s="2"/>
      <c r="E490" s="2"/>
      <c r="F490" s="2"/>
      <c r="G490" s="173"/>
      <c r="H490" s="174"/>
      <c r="I490" s="173" t="e">
        <f>Tabela22[[#This Row],[PESO TOTAL]]/Tabela22[[#This Row],[QUANTIDADE]]</f>
        <v>#DIV/0!</v>
      </c>
      <c r="J490" s="2"/>
      <c r="K490" s="193"/>
      <c r="L490" s="8"/>
      <c r="M490" s="8"/>
      <c r="N490" s="8"/>
      <c r="O490" s="194"/>
      <c r="P490" s="195"/>
    </row>
    <row r="491" spans="1:16">
      <c r="A491" s="3"/>
      <c r="B491" s="3" t="str">
        <f>TEXT(Tabela223[[#This Row],[DATA]],"mmmm")</f>
        <v>janeiro</v>
      </c>
      <c r="C491" s="2"/>
      <c r="D491" s="2"/>
      <c r="E491" s="2"/>
      <c r="F491" s="2"/>
      <c r="G491" s="173"/>
      <c r="H491" s="174"/>
      <c r="I491" s="173" t="e">
        <f>Tabela22[[#This Row],[PESO TOTAL]]/Tabela22[[#This Row],[QUANTIDADE]]</f>
        <v>#DIV/0!</v>
      </c>
      <c r="J491" s="2"/>
      <c r="K491" s="193"/>
      <c r="L491" s="8"/>
      <c r="M491" s="8"/>
      <c r="N491" s="8"/>
      <c r="O491" s="194"/>
      <c r="P491" s="195"/>
    </row>
    <row r="492" spans="1:16">
      <c r="A492" s="3"/>
      <c r="B492" s="3" t="str">
        <f>TEXT(Tabela223[[#This Row],[DATA]],"mmmm")</f>
        <v>janeiro</v>
      </c>
      <c r="C492" s="2"/>
      <c r="D492" s="2"/>
      <c r="E492" s="2"/>
      <c r="F492" s="2"/>
      <c r="G492" s="173"/>
      <c r="H492" s="174"/>
      <c r="I492" s="173" t="e">
        <f>Tabela22[[#This Row],[PESO TOTAL]]/Tabela22[[#This Row],[QUANTIDADE]]</f>
        <v>#DIV/0!</v>
      </c>
      <c r="J492" s="2"/>
      <c r="K492" s="193"/>
      <c r="L492" s="8"/>
      <c r="M492" s="8"/>
      <c r="N492" s="8"/>
      <c r="O492" s="194"/>
      <c r="P492" s="195"/>
    </row>
    <row r="493" spans="1:16">
      <c r="A493" s="3"/>
      <c r="B493" s="3" t="str">
        <f>TEXT(Tabela223[[#This Row],[DATA]],"mmmm")</f>
        <v>janeiro</v>
      </c>
      <c r="C493" s="2"/>
      <c r="D493" s="2"/>
      <c r="E493" s="2"/>
      <c r="F493" s="2"/>
      <c r="G493" s="173"/>
      <c r="H493" s="174"/>
      <c r="I493" s="173" t="e">
        <f>Tabela22[[#This Row],[PESO TOTAL]]/Tabela22[[#This Row],[QUANTIDADE]]</f>
        <v>#DIV/0!</v>
      </c>
      <c r="J493" s="2"/>
      <c r="K493" s="193"/>
      <c r="L493" s="8"/>
      <c r="M493" s="8"/>
      <c r="N493" s="8"/>
      <c r="O493" s="194"/>
      <c r="P493" s="195"/>
    </row>
    <row r="494" spans="1:16">
      <c r="A494" s="3"/>
      <c r="B494" s="3" t="str">
        <f>TEXT(Tabela223[[#This Row],[DATA]],"mmmm")</f>
        <v>janeiro</v>
      </c>
      <c r="C494" s="2"/>
      <c r="D494" s="2"/>
      <c r="E494" s="2"/>
      <c r="F494" s="2"/>
      <c r="G494" s="173"/>
      <c r="H494" s="174"/>
      <c r="I494" s="173" t="e">
        <f>Tabela22[[#This Row],[PESO TOTAL]]/Tabela22[[#This Row],[QUANTIDADE]]</f>
        <v>#DIV/0!</v>
      </c>
      <c r="J494" s="2"/>
      <c r="K494" s="193"/>
      <c r="L494" s="8"/>
      <c r="M494" s="8"/>
      <c r="N494" s="8"/>
      <c r="O494" s="194"/>
      <c r="P494" s="195"/>
    </row>
    <row r="495" spans="1:16">
      <c r="A495" s="3"/>
      <c r="B495" s="3" t="str">
        <f>TEXT(Tabela223[[#This Row],[DATA]],"mmmm")</f>
        <v>janeiro</v>
      </c>
      <c r="C495" s="2"/>
      <c r="D495" s="2"/>
      <c r="E495" s="2"/>
      <c r="F495" s="2"/>
      <c r="G495" s="173"/>
      <c r="H495" s="174"/>
      <c r="I495" s="173" t="e">
        <f>Tabela22[[#This Row],[PESO TOTAL]]/Tabela22[[#This Row],[QUANTIDADE]]</f>
        <v>#DIV/0!</v>
      </c>
      <c r="J495" s="2"/>
      <c r="K495" s="193"/>
      <c r="L495" s="8"/>
      <c r="M495" s="8"/>
      <c r="N495" s="8"/>
      <c r="O495" s="194"/>
      <c r="P495" s="195"/>
    </row>
    <row r="496" spans="1:16">
      <c r="A496" s="3"/>
      <c r="B496" s="3" t="str">
        <f>TEXT(Tabela223[[#This Row],[DATA]],"mmmm")</f>
        <v>janeiro</v>
      </c>
      <c r="C496" s="2"/>
      <c r="D496" s="2"/>
      <c r="E496" s="2"/>
      <c r="F496" s="2"/>
      <c r="G496" s="173"/>
      <c r="H496" s="174"/>
      <c r="I496" s="173" t="e">
        <f>Tabela22[[#This Row],[PESO TOTAL]]/Tabela22[[#This Row],[QUANTIDADE]]</f>
        <v>#DIV/0!</v>
      </c>
      <c r="J496" s="2"/>
      <c r="K496" s="193"/>
      <c r="L496" s="8"/>
      <c r="M496" s="8"/>
      <c r="N496" s="8"/>
      <c r="O496" s="194"/>
      <c r="P496" s="195"/>
    </row>
    <row r="497" spans="1:16">
      <c r="A497" s="3"/>
      <c r="B497" s="3" t="str">
        <f>TEXT(Tabela223[[#This Row],[DATA]],"mmmm")</f>
        <v>janeiro</v>
      </c>
      <c r="C497" s="2"/>
      <c r="D497" s="2"/>
      <c r="E497" s="2"/>
      <c r="F497" s="2"/>
      <c r="G497" s="173"/>
      <c r="H497" s="174"/>
      <c r="I497" s="173" t="e">
        <f>Tabela22[[#This Row],[PESO TOTAL]]/Tabela22[[#This Row],[QUANTIDADE]]</f>
        <v>#DIV/0!</v>
      </c>
      <c r="J497" s="2"/>
      <c r="K497" s="193"/>
      <c r="L497" s="8"/>
      <c r="M497" s="8"/>
      <c r="N497" s="8"/>
      <c r="O497" s="194"/>
      <c r="P497" s="195"/>
    </row>
    <row r="498" spans="1:16">
      <c r="A498" s="3"/>
      <c r="B498" s="3" t="str">
        <f>TEXT(Tabela223[[#This Row],[DATA]],"mmmm")</f>
        <v>janeiro</v>
      </c>
      <c r="C498" s="2"/>
      <c r="D498" s="2"/>
      <c r="E498" s="2"/>
      <c r="F498" s="2"/>
      <c r="G498" s="173"/>
      <c r="H498" s="174"/>
      <c r="I498" s="173" t="e">
        <f>Tabela22[[#This Row],[PESO TOTAL]]/Tabela22[[#This Row],[QUANTIDADE]]</f>
        <v>#DIV/0!</v>
      </c>
      <c r="J498" s="2"/>
      <c r="K498" s="193"/>
      <c r="L498" s="8"/>
      <c r="M498" s="8"/>
      <c r="N498" s="8"/>
      <c r="O498" s="194"/>
      <c r="P498" s="195"/>
    </row>
    <row r="499" spans="1:16">
      <c r="A499" s="3"/>
      <c r="B499" s="3" t="str">
        <f>TEXT(Tabela223[[#This Row],[DATA]],"mmmm")</f>
        <v>janeiro</v>
      </c>
      <c r="C499" s="2"/>
      <c r="D499" s="2"/>
      <c r="E499" s="2"/>
      <c r="F499" s="2"/>
      <c r="G499" s="173"/>
      <c r="H499" s="174"/>
      <c r="I499" s="173" t="e">
        <f>Tabela22[[#This Row],[PESO TOTAL]]/Tabela22[[#This Row],[QUANTIDADE]]</f>
        <v>#DIV/0!</v>
      </c>
      <c r="J499" s="2"/>
      <c r="K499" s="193"/>
      <c r="L499" s="8"/>
      <c r="M499" s="8"/>
      <c r="N499" s="8"/>
      <c r="O499" s="194"/>
      <c r="P499" s="195"/>
    </row>
    <row r="500" spans="1:16">
      <c r="A500" s="3"/>
      <c r="B500" s="3" t="str">
        <f>TEXT(Tabela223[[#This Row],[DATA]],"mmmm")</f>
        <v>janeiro</v>
      </c>
      <c r="C500" s="2"/>
      <c r="D500" s="2"/>
      <c r="E500" s="2"/>
      <c r="F500" s="2"/>
      <c r="G500" s="173"/>
      <c r="H500" s="174"/>
      <c r="I500" s="173" t="e">
        <f>Tabela22[[#This Row],[PESO TOTAL]]/Tabela22[[#This Row],[QUANTIDADE]]</f>
        <v>#DIV/0!</v>
      </c>
      <c r="J500" s="2"/>
      <c r="K500" s="193"/>
      <c r="L500" s="8"/>
      <c r="M500" s="8"/>
      <c r="N500" s="8"/>
      <c r="O500" s="194"/>
      <c r="P500" s="195"/>
    </row>
    <row r="501" spans="1:16">
      <c r="A501" s="3"/>
      <c r="B501" s="3" t="str">
        <f>TEXT(Tabela223[[#This Row],[DATA]],"mmmm")</f>
        <v>janeiro</v>
      </c>
      <c r="C501" s="2"/>
      <c r="D501" s="2"/>
      <c r="E501" s="2"/>
      <c r="F501" s="2"/>
      <c r="G501" s="173"/>
      <c r="H501" s="174"/>
      <c r="I501" s="173" t="e">
        <f>Tabela22[[#This Row],[PESO TOTAL]]/Tabela22[[#This Row],[QUANTIDADE]]</f>
        <v>#DIV/0!</v>
      </c>
      <c r="J501" s="2"/>
      <c r="K501" s="193"/>
      <c r="L501" s="8"/>
      <c r="M501" s="8"/>
      <c r="N501" s="8"/>
      <c r="O501" s="194"/>
      <c r="P501" s="195"/>
    </row>
    <row r="502" spans="1:16">
      <c r="A502" s="3"/>
      <c r="B502" s="3" t="str">
        <f>TEXT(Tabela223[[#This Row],[DATA]],"mmmm")</f>
        <v>janeiro</v>
      </c>
      <c r="C502" s="2"/>
      <c r="D502" s="2"/>
      <c r="E502" s="2"/>
      <c r="F502" s="2"/>
      <c r="G502" s="173"/>
      <c r="H502" s="174"/>
      <c r="I502" s="173" t="e">
        <f>Tabela22[[#This Row],[PESO TOTAL]]/Tabela22[[#This Row],[QUANTIDADE]]</f>
        <v>#DIV/0!</v>
      </c>
      <c r="J502" s="2"/>
      <c r="K502" s="193"/>
      <c r="L502" s="8"/>
      <c r="M502" s="8"/>
      <c r="N502" s="8"/>
      <c r="O502" s="194"/>
      <c r="P502" s="195"/>
    </row>
    <row r="503" spans="1:16">
      <c r="A503" s="3"/>
      <c r="B503" s="3" t="str">
        <f>TEXT(Tabela223[[#This Row],[DATA]],"mmmm")</f>
        <v>janeiro</v>
      </c>
      <c r="C503" s="2"/>
      <c r="D503" s="2"/>
      <c r="E503" s="2"/>
      <c r="F503" s="2"/>
      <c r="G503" s="173"/>
      <c r="H503" s="174"/>
      <c r="I503" s="173" t="e">
        <f>Tabela22[[#This Row],[PESO TOTAL]]/Tabela22[[#This Row],[QUANTIDADE]]</f>
        <v>#DIV/0!</v>
      </c>
      <c r="J503" s="2"/>
      <c r="K503" s="193"/>
      <c r="L503" s="8"/>
      <c r="M503" s="8"/>
      <c r="N503" s="8"/>
      <c r="O503" s="194"/>
      <c r="P503" s="195"/>
    </row>
    <row r="504" spans="1:16">
      <c r="A504" s="3"/>
      <c r="B504" s="3" t="str">
        <f>TEXT(Tabela223[[#This Row],[DATA]],"mmmm")</f>
        <v>janeiro</v>
      </c>
      <c r="C504" s="2"/>
      <c r="D504" s="2"/>
      <c r="E504" s="2"/>
      <c r="F504" s="2"/>
      <c r="G504" s="173"/>
      <c r="H504" s="174"/>
      <c r="I504" s="173" t="e">
        <f>Tabela22[[#This Row],[PESO TOTAL]]/Tabela22[[#This Row],[QUANTIDADE]]</f>
        <v>#DIV/0!</v>
      </c>
      <c r="J504" s="2"/>
      <c r="K504" s="193"/>
      <c r="L504" s="8"/>
      <c r="M504" s="8"/>
      <c r="N504" s="8"/>
      <c r="O504" s="194"/>
      <c r="P504" s="195"/>
    </row>
    <row r="505" spans="1:16">
      <c r="A505" s="3"/>
      <c r="B505" s="3" t="str">
        <f>TEXT(Tabela223[[#This Row],[DATA]],"mmmm")</f>
        <v>janeiro</v>
      </c>
      <c r="C505" s="2"/>
      <c r="D505" s="2"/>
      <c r="E505" s="2"/>
      <c r="F505" s="2"/>
      <c r="G505" s="173"/>
      <c r="H505" s="174"/>
      <c r="I505" s="173" t="e">
        <f>Tabela22[[#This Row],[PESO TOTAL]]/Tabela22[[#This Row],[QUANTIDADE]]</f>
        <v>#DIV/0!</v>
      </c>
      <c r="J505" s="2"/>
      <c r="K505" s="193"/>
      <c r="L505" s="8"/>
      <c r="M505" s="8"/>
      <c r="N505" s="8"/>
      <c r="O505" s="194"/>
      <c r="P505" s="195"/>
    </row>
    <row r="506" spans="1:16">
      <c r="A506" s="3"/>
      <c r="B506" s="3" t="str">
        <f>TEXT(Tabela223[[#This Row],[DATA]],"mmmm")</f>
        <v>janeiro</v>
      </c>
      <c r="C506" s="2"/>
      <c r="D506" s="2"/>
      <c r="E506" s="2"/>
      <c r="F506" s="2"/>
      <c r="G506" s="173"/>
      <c r="H506" s="174"/>
      <c r="I506" s="173" t="e">
        <f>Tabela22[[#This Row],[PESO TOTAL]]/Tabela22[[#This Row],[QUANTIDADE]]</f>
        <v>#DIV/0!</v>
      </c>
      <c r="J506" s="2"/>
      <c r="K506" s="193"/>
      <c r="L506" s="8"/>
      <c r="M506" s="8"/>
      <c r="N506" s="8"/>
      <c r="O506" s="194"/>
      <c r="P506" s="195"/>
    </row>
    <row r="507" spans="1:16">
      <c r="A507" s="3"/>
      <c r="B507" s="3" t="str">
        <f>TEXT(Tabela223[[#This Row],[DATA]],"mmmm")</f>
        <v>janeiro</v>
      </c>
      <c r="C507" s="2"/>
      <c r="D507" s="2"/>
      <c r="E507" s="2"/>
      <c r="F507" s="2"/>
      <c r="G507" s="173"/>
      <c r="H507" s="174"/>
      <c r="I507" s="173" t="e">
        <f>Tabela22[[#This Row],[PESO TOTAL]]/Tabela22[[#This Row],[QUANTIDADE]]</f>
        <v>#DIV/0!</v>
      </c>
      <c r="J507" s="2"/>
      <c r="K507" s="193"/>
      <c r="L507" s="8"/>
      <c r="M507" s="8"/>
      <c r="N507" s="8"/>
      <c r="O507" s="194"/>
      <c r="P507" s="195"/>
    </row>
    <row r="508" spans="1:16">
      <c r="A508" s="3"/>
      <c r="B508" s="3" t="str">
        <f>TEXT(Tabela223[[#This Row],[DATA]],"mmmm")</f>
        <v>janeiro</v>
      </c>
      <c r="C508" s="2"/>
      <c r="D508" s="2"/>
      <c r="E508" s="2"/>
      <c r="F508" s="2"/>
      <c r="G508" s="173"/>
      <c r="H508" s="174"/>
      <c r="I508" s="173" t="e">
        <f>Tabela22[[#This Row],[PESO TOTAL]]/Tabela22[[#This Row],[QUANTIDADE]]</f>
        <v>#DIV/0!</v>
      </c>
      <c r="J508" s="2"/>
      <c r="K508" s="193"/>
      <c r="L508" s="8"/>
      <c r="M508" s="8"/>
      <c r="N508" s="8"/>
      <c r="O508" s="194"/>
      <c r="P508" s="195"/>
    </row>
    <row r="509" spans="1:16">
      <c r="A509" s="3"/>
      <c r="B509" s="3" t="str">
        <f>TEXT(Tabela223[[#This Row],[DATA]],"mmmm")</f>
        <v>janeiro</v>
      </c>
      <c r="C509" s="2"/>
      <c r="D509" s="2"/>
      <c r="E509" s="2"/>
      <c r="F509" s="2"/>
      <c r="G509" s="173"/>
      <c r="H509" s="174"/>
      <c r="I509" s="173" t="e">
        <f>Tabela22[[#This Row],[PESO TOTAL]]/Tabela22[[#This Row],[QUANTIDADE]]</f>
        <v>#DIV/0!</v>
      </c>
      <c r="J509" s="2"/>
      <c r="K509" s="193"/>
      <c r="L509" s="8"/>
      <c r="M509" s="8"/>
      <c r="N509" s="8"/>
      <c r="O509" s="194"/>
      <c r="P509" s="195"/>
    </row>
    <row r="510" spans="1:16">
      <c r="A510" s="3"/>
      <c r="B510" s="3" t="str">
        <f>TEXT(Tabela223[[#This Row],[DATA]],"mmmm")</f>
        <v>janeiro</v>
      </c>
      <c r="C510" s="2"/>
      <c r="D510" s="2"/>
      <c r="E510" s="2"/>
      <c r="F510" s="2"/>
      <c r="G510" s="173"/>
      <c r="H510" s="174"/>
      <c r="I510" s="173" t="e">
        <f>Tabela22[[#This Row],[PESO TOTAL]]/Tabela22[[#This Row],[QUANTIDADE]]</f>
        <v>#DIV/0!</v>
      </c>
      <c r="J510" s="2"/>
      <c r="K510" s="193"/>
      <c r="L510" s="8"/>
      <c r="M510" s="8"/>
      <c r="N510" s="8"/>
      <c r="O510" s="194"/>
      <c r="P510" s="195"/>
    </row>
    <row r="511" spans="1:16">
      <c r="A511" s="3"/>
      <c r="B511" s="3" t="str">
        <f>TEXT(Tabela223[[#This Row],[DATA]],"mmmm")</f>
        <v>janeiro</v>
      </c>
      <c r="C511" s="2"/>
      <c r="D511" s="2"/>
      <c r="E511" s="2"/>
      <c r="F511" s="2"/>
      <c r="G511" s="173"/>
      <c r="H511" s="174"/>
      <c r="I511" s="173" t="e">
        <f>Tabela22[[#This Row],[PESO TOTAL]]/Tabela22[[#This Row],[QUANTIDADE]]</f>
        <v>#DIV/0!</v>
      </c>
      <c r="J511" s="2"/>
      <c r="K511" s="193"/>
      <c r="L511" s="8"/>
      <c r="M511" s="8"/>
      <c r="N511" s="8"/>
      <c r="O511" s="194"/>
      <c r="P511" s="195"/>
    </row>
    <row r="512" spans="1:16">
      <c r="A512" s="3"/>
      <c r="B512" s="3" t="str">
        <f>TEXT(Tabela223[[#This Row],[DATA]],"mmmm")</f>
        <v>janeiro</v>
      </c>
      <c r="C512" s="2"/>
      <c r="D512" s="2"/>
      <c r="E512" s="2"/>
      <c r="F512" s="2"/>
      <c r="G512" s="173"/>
      <c r="H512" s="174"/>
      <c r="I512" s="173" t="e">
        <f>Tabela22[[#This Row],[PESO TOTAL]]/Tabela22[[#This Row],[QUANTIDADE]]</f>
        <v>#DIV/0!</v>
      </c>
      <c r="J512" s="2"/>
      <c r="K512" s="193"/>
      <c r="L512" s="8"/>
      <c r="M512" s="8"/>
      <c r="N512" s="8"/>
      <c r="O512" s="194"/>
      <c r="P512" s="195"/>
    </row>
    <row r="513" spans="1:16">
      <c r="A513" s="3"/>
      <c r="B513" s="3" t="str">
        <f>TEXT(Tabela223[[#This Row],[DATA]],"mmmm")</f>
        <v>janeiro</v>
      </c>
      <c r="C513" s="2"/>
      <c r="D513" s="2"/>
      <c r="E513" s="2"/>
      <c r="F513" s="2"/>
      <c r="G513" s="173"/>
      <c r="H513" s="174"/>
      <c r="I513" s="173" t="e">
        <f>Tabela22[[#This Row],[PESO TOTAL]]/Tabela22[[#This Row],[QUANTIDADE]]</f>
        <v>#DIV/0!</v>
      </c>
      <c r="J513" s="2"/>
      <c r="K513" s="193"/>
      <c r="L513" s="8"/>
      <c r="M513" s="8"/>
      <c r="N513" s="8"/>
      <c r="O513" s="194"/>
      <c r="P513" s="195"/>
    </row>
    <row r="514" spans="1:16">
      <c r="A514" s="3"/>
      <c r="B514" s="3" t="str">
        <f>TEXT(Tabela223[[#This Row],[DATA]],"mmmm")</f>
        <v>janeiro</v>
      </c>
      <c r="C514" s="2"/>
      <c r="D514" s="2"/>
      <c r="E514" s="2"/>
      <c r="F514" s="2"/>
      <c r="G514" s="173"/>
      <c r="H514" s="174"/>
      <c r="I514" s="173" t="e">
        <f>Tabela22[[#This Row],[PESO TOTAL]]/Tabela22[[#This Row],[QUANTIDADE]]</f>
        <v>#DIV/0!</v>
      </c>
      <c r="J514" s="2"/>
      <c r="K514" s="193"/>
      <c r="L514" s="8"/>
      <c r="M514" s="8"/>
      <c r="N514" s="8"/>
      <c r="O514" s="194"/>
      <c r="P514" s="195"/>
    </row>
    <row r="515" spans="1:16">
      <c r="A515" s="3"/>
      <c r="B515" s="3" t="str">
        <f>TEXT(Tabela223[[#This Row],[DATA]],"mmmm")</f>
        <v>janeiro</v>
      </c>
      <c r="C515" s="2"/>
      <c r="D515" s="2"/>
      <c r="E515" s="2"/>
      <c r="F515" s="2"/>
      <c r="G515" s="173"/>
      <c r="H515" s="174"/>
      <c r="I515" s="173" t="e">
        <f>Tabela22[[#This Row],[PESO TOTAL]]/Tabela22[[#This Row],[QUANTIDADE]]</f>
        <v>#DIV/0!</v>
      </c>
      <c r="J515" s="2"/>
      <c r="K515" s="193"/>
      <c r="L515" s="8"/>
      <c r="M515" s="8"/>
      <c r="N515" s="8"/>
      <c r="O515" s="194"/>
      <c r="P515" s="195"/>
    </row>
    <row r="516" spans="1:16">
      <c r="A516" s="3"/>
      <c r="B516" s="3" t="str">
        <f>TEXT(Tabela223[[#This Row],[DATA]],"mmmm")</f>
        <v>janeiro</v>
      </c>
      <c r="C516" s="2"/>
      <c r="D516" s="2"/>
      <c r="E516" s="2"/>
      <c r="F516" s="2"/>
      <c r="G516" s="173"/>
      <c r="H516" s="174"/>
      <c r="I516" s="173" t="e">
        <f>Tabela22[[#This Row],[PESO TOTAL]]/Tabela22[[#This Row],[QUANTIDADE]]</f>
        <v>#DIV/0!</v>
      </c>
      <c r="J516" s="2"/>
      <c r="K516" s="193"/>
      <c r="L516" s="8"/>
      <c r="M516" s="8"/>
      <c r="N516" s="8"/>
      <c r="O516" s="194"/>
      <c r="P516" s="195"/>
    </row>
    <row r="517" spans="1:16">
      <c r="A517" s="3"/>
      <c r="B517" s="3" t="str">
        <f>TEXT(Tabela223[[#This Row],[DATA]],"mmmm")</f>
        <v>janeiro</v>
      </c>
      <c r="C517" s="2"/>
      <c r="D517" s="2"/>
      <c r="E517" s="2"/>
      <c r="F517" s="2"/>
      <c r="G517" s="173"/>
      <c r="H517" s="174"/>
      <c r="I517" s="173" t="e">
        <f>Tabela22[[#This Row],[PESO TOTAL]]/Tabela22[[#This Row],[QUANTIDADE]]</f>
        <v>#DIV/0!</v>
      </c>
      <c r="J517" s="2"/>
      <c r="K517" s="193"/>
      <c r="L517" s="8"/>
      <c r="M517" s="8"/>
      <c r="N517" s="8"/>
      <c r="O517" s="194"/>
      <c r="P517" s="195"/>
    </row>
    <row r="518" spans="1:16">
      <c r="A518" s="3"/>
      <c r="B518" s="3" t="str">
        <f>TEXT(Tabela223[[#This Row],[DATA]],"mmmm")</f>
        <v>janeiro</v>
      </c>
      <c r="C518" s="2"/>
      <c r="D518" s="2"/>
      <c r="E518" s="2"/>
      <c r="F518" s="2"/>
      <c r="G518" s="173"/>
      <c r="H518" s="174"/>
      <c r="I518" s="173" t="e">
        <f>Tabela22[[#This Row],[PESO TOTAL]]/Tabela22[[#This Row],[QUANTIDADE]]</f>
        <v>#DIV/0!</v>
      </c>
      <c r="J518" s="2"/>
      <c r="K518" s="193"/>
      <c r="L518" s="8"/>
      <c r="M518" s="8"/>
      <c r="N518" s="8"/>
      <c r="O518" s="194"/>
      <c r="P518" s="195"/>
    </row>
    <row r="519" spans="1:16">
      <c r="A519" s="3"/>
      <c r="B519" s="3" t="str">
        <f>TEXT(Tabela223[[#This Row],[DATA]],"mmmm")</f>
        <v>janeiro</v>
      </c>
      <c r="C519" s="2"/>
      <c r="D519" s="2"/>
      <c r="E519" s="2"/>
      <c r="F519" s="2"/>
      <c r="G519" s="173"/>
      <c r="H519" s="174"/>
      <c r="I519" s="173" t="e">
        <f>Tabela22[[#This Row],[PESO TOTAL]]/Tabela22[[#This Row],[QUANTIDADE]]</f>
        <v>#DIV/0!</v>
      </c>
      <c r="J519" s="2"/>
      <c r="K519" s="193"/>
      <c r="L519" s="8"/>
      <c r="M519" s="8"/>
      <c r="N519" s="8"/>
      <c r="O519" s="194"/>
      <c r="P519" s="195"/>
    </row>
    <row r="520" spans="1:16">
      <c r="A520" s="3"/>
      <c r="B520" s="3" t="str">
        <f>TEXT(Tabela223[[#This Row],[DATA]],"mmmm")</f>
        <v>janeiro</v>
      </c>
      <c r="C520" s="2"/>
      <c r="D520" s="2"/>
      <c r="E520" s="2"/>
      <c r="F520" s="2"/>
      <c r="G520" s="173"/>
      <c r="H520" s="174"/>
      <c r="I520" s="173" t="e">
        <f>Tabela22[[#This Row],[PESO TOTAL]]/Tabela22[[#This Row],[QUANTIDADE]]</f>
        <v>#DIV/0!</v>
      </c>
      <c r="J520" s="2"/>
      <c r="K520" s="193"/>
      <c r="L520" s="8"/>
      <c r="M520" s="8"/>
      <c r="N520" s="8"/>
      <c r="O520" s="194"/>
      <c r="P520" s="195"/>
    </row>
    <row r="521" spans="1:16">
      <c r="A521" s="3"/>
      <c r="B521" s="3" t="str">
        <f>TEXT(Tabela223[[#This Row],[DATA]],"mmmm")</f>
        <v>janeiro</v>
      </c>
      <c r="C521" s="2"/>
      <c r="D521" s="2"/>
      <c r="E521" s="2"/>
      <c r="F521" s="2"/>
      <c r="G521" s="173"/>
      <c r="H521" s="174"/>
      <c r="I521" s="173" t="e">
        <f>Tabela22[[#This Row],[PESO TOTAL]]/Tabela22[[#This Row],[QUANTIDADE]]</f>
        <v>#DIV/0!</v>
      </c>
      <c r="J521" s="2"/>
      <c r="K521" s="193"/>
      <c r="L521" s="8"/>
      <c r="M521" s="8"/>
      <c r="N521" s="8"/>
      <c r="O521" s="194"/>
      <c r="P521" s="195"/>
    </row>
    <row r="522" spans="1:16">
      <c r="A522" s="3"/>
      <c r="B522" s="3" t="str">
        <f>TEXT(Tabela223[[#This Row],[DATA]],"mmmm")</f>
        <v>janeiro</v>
      </c>
      <c r="C522" s="2"/>
      <c r="D522" s="2"/>
      <c r="E522" s="2"/>
      <c r="F522" s="2"/>
      <c r="G522" s="173"/>
      <c r="H522" s="174"/>
      <c r="I522" s="173" t="e">
        <f>Tabela22[[#This Row],[PESO TOTAL]]/Tabela22[[#This Row],[QUANTIDADE]]</f>
        <v>#DIV/0!</v>
      </c>
      <c r="J522" s="2"/>
      <c r="K522" s="193"/>
      <c r="L522" s="8"/>
      <c r="M522" s="8"/>
      <c r="N522" s="8"/>
      <c r="O522" s="194"/>
      <c r="P522" s="195"/>
    </row>
    <row r="523" spans="1:16">
      <c r="A523" s="3"/>
      <c r="B523" s="3" t="str">
        <f>TEXT(Tabela223[[#This Row],[DATA]],"mmmm")</f>
        <v>janeiro</v>
      </c>
      <c r="C523" s="2"/>
      <c r="D523" s="2"/>
      <c r="E523" s="2"/>
      <c r="F523" s="2"/>
      <c r="G523" s="173"/>
      <c r="H523" s="174"/>
      <c r="I523" s="173" t="e">
        <f>Tabela22[[#This Row],[PESO TOTAL]]/Tabela22[[#This Row],[QUANTIDADE]]</f>
        <v>#DIV/0!</v>
      </c>
      <c r="J523" s="2"/>
      <c r="K523" s="193"/>
      <c r="L523" s="8"/>
      <c r="M523" s="8"/>
      <c r="N523" s="8"/>
      <c r="O523" s="194"/>
      <c r="P523" s="195"/>
    </row>
    <row r="524" spans="1:16">
      <c r="A524" s="3"/>
      <c r="B524" s="3" t="str">
        <f>TEXT(Tabela223[[#This Row],[DATA]],"mmmm")</f>
        <v>janeiro</v>
      </c>
      <c r="C524" s="2"/>
      <c r="D524" s="2"/>
      <c r="E524" s="2"/>
      <c r="F524" s="2"/>
      <c r="G524" s="173"/>
      <c r="H524" s="174"/>
      <c r="I524" s="173" t="e">
        <f>Tabela22[[#This Row],[PESO TOTAL]]/Tabela22[[#This Row],[QUANTIDADE]]</f>
        <v>#DIV/0!</v>
      </c>
      <c r="J524" s="2"/>
      <c r="K524" s="193"/>
      <c r="L524" s="8"/>
      <c r="M524" s="8"/>
      <c r="N524" s="8"/>
      <c r="O524" s="194"/>
      <c r="P524" s="195"/>
    </row>
    <row r="525" spans="1:16">
      <c r="A525" s="3"/>
      <c r="B525" s="3" t="str">
        <f>TEXT(Tabela223[[#This Row],[DATA]],"mmmm")</f>
        <v>janeiro</v>
      </c>
      <c r="C525" s="2"/>
      <c r="D525" s="2"/>
      <c r="E525" s="2"/>
      <c r="F525" s="2"/>
      <c r="G525" s="173"/>
      <c r="H525" s="174"/>
      <c r="I525" s="173" t="e">
        <f>Tabela22[[#This Row],[PESO TOTAL]]/Tabela22[[#This Row],[QUANTIDADE]]</f>
        <v>#DIV/0!</v>
      </c>
      <c r="J525" s="2"/>
      <c r="K525" s="193"/>
      <c r="L525" s="8"/>
      <c r="M525" s="8"/>
      <c r="N525" s="8"/>
      <c r="O525" s="194"/>
      <c r="P525" s="195"/>
    </row>
    <row r="526" spans="1:16">
      <c r="A526" s="3"/>
      <c r="B526" s="3" t="str">
        <f>TEXT(Tabela223[[#This Row],[DATA]],"mmmm")</f>
        <v>janeiro</v>
      </c>
      <c r="C526" s="2"/>
      <c r="D526" s="2"/>
      <c r="E526" s="2"/>
      <c r="F526" s="2"/>
      <c r="G526" s="173"/>
      <c r="H526" s="174"/>
      <c r="I526" s="173" t="e">
        <f>Tabela22[[#This Row],[PESO TOTAL]]/Tabela22[[#This Row],[QUANTIDADE]]</f>
        <v>#DIV/0!</v>
      </c>
      <c r="J526" s="2"/>
      <c r="K526" s="193"/>
      <c r="L526" s="8"/>
      <c r="M526" s="8"/>
      <c r="N526" s="8"/>
      <c r="O526" s="194"/>
      <c r="P526" s="195"/>
    </row>
    <row r="527" spans="1:16">
      <c r="A527" s="3"/>
      <c r="B527" s="3" t="str">
        <f>TEXT(Tabela223[[#This Row],[DATA]],"mmmm")</f>
        <v>janeiro</v>
      </c>
      <c r="C527" s="2"/>
      <c r="D527" s="2"/>
      <c r="E527" s="2"/>
      <c r="F527" s="2"/>
      <c r="G527" s="173"/>
      <c r="H527" s="174"/>
      <c r="I527" s="173" t="e">
        <f>Tabela22[[#This Row],[PESO TOTAL]]/Tabela22[[#This Row],[QUANTIDADE]]</f>
        <v>#DIV/0!</v>
      </c>
      <c r="J527" s="2"/>
      <c r="K527" s="193"/>
      <c r="L527" s="8"/>
      <c r="M527" s="8"/>
      <c r="N527" s="8"/>
      <c r="O527" s="194"/>
      <c r="P527" s="195"/>
    </row>
    <row r="528" spans="1:16">
      <c r="A528" s="3"/>
      <c r="B528" s="3" t="str">
        <f>TEXT(Tabela223[[#This Row],[DATA]],"mmmm")</f>
        <v>janeiro</v>
      </c>
      <c r="C528" s="2"/>
      <c r="D528" s="2"/>
      <c r="E528" s="2"/>
      <c r="F528" s="2"/>
      <c r="G528" s="173"/>
      <c r="H528" s="174"/>
      <c r="I528" s="173" t="e">
        <f>Tabela22[[#This Row],[PESO TOTAL]]/Tabela22[[#This Row],[QUANTIDADE]]</f>
        <v>#DIV/0!</v>
      </c>
      <c r="J528" s="2"/>
      <c r="K528" s="193"/>
      <c r="L528" s="8"/>
      <c r="M528" s="8"/>
      <c r="N528" s="8"/>
      <c r="O528" s="194"/>
      <c r="P528" s="195"/>
    </row>
    <row r="529" spans="1:16">
      <c r="A529" s="3"/>
      <c r="B529" s="3" t="str">
        <f>TEXT(Tabela223[[#This Row],[DATA]],"mmmm")</f>
        <v>janeiro</v>
      </c>
      <c r="C529" s="2"/>
      <c r="D529" s="2"/>
      <c r="E529" s="2"/>
      <c r="F529" s="2"/>
      <c r="G529" s="173"/>
      <c r="H529" s="174"/>
      <c r="I529" s="173" t="e">
        <f>Tabela22[[#This Row],[PESO TOTAL]]/Tabela22[[#This Row],[QUANTIDADE]]</f>
        <v>#DIV/0!</v>
      </c>
      <c r="J529" s="2"/>
      <c r="K529" s="193"/>
      <c r="L529" s="8"/>
      <c r="M529" s="8"/>
      <c r="N529" s="8"/>
      <c r="O529" s="194"/>
      <c r="P529" s="195"/>
    </row>
    <row r="530" spans="1:16">
      <c r="A530" s="3"/>
      <c r="B530" s="3" t="str">
        <f>TEXT(Tabela223[[#This Row],[DATA]],"mmmm")</f>
        <v>janeiro</v>
      </c>
      <c r="C530" s="2"/>
      <c r="D530" s="2"/>
      <c r="E530" s="2"/>
      <c r="F530" s="2"/>
      <c r="G530" s="173"/>
      <c r="H530" s="174"/>
      <c r="I530" s="173" t="e">
        <f>Tabela22[[#This Row],[PESO TOTAL]]/Tabela22[[#This Row],[QUANTIDADE]]</f>
        <v>#DIV/0!</v>
      </c>
      <c r="J530" s="2"/>
      <c r="K530" s="193"/>
      <c r="L530" s="8"/>
      <c r="M530" s="8"/>
      <c r="N530" s="8"/>
      <c r="O530" s="194"/>
      <c r="P530" s="195"/>
    </row>
    <row r="531" spans="1:16">
      <c r="A531" s="3"/>
      <c r="B531" s="3" t="str">
        <f>TEXT(Tabela223[[#This Row],[DATA]],"mmmm")</f>
        <v>janeiro</v>
      </c>
      <c r="C531" s="2"/>
      <c r="D531" s="2"/>
      <c r="E531" s="2"/>
      <c r="F531" s="2"/>
      <c r="G531" s="173"/>
      <c r="H531" s="174"/>
      <c r="I531" s="173" t="e">
        <f>Tabela22[[#This Row],[PESO TOTAL]]/Tabela22[[#This Row],[QUANTIDADE]]</f>
        <v>#DIV/0!</v>
      </c>
      <c r="J531" s="2"/>
      <c r="K531" s="193"/>
      <c r="L531" s="8"/>
      <c r="M531" s="8"/>
      <c r="N531" s="8"/>
      <c r="O531" s="194"/>
      <c r="P531" s="195"/>
    </row>
    <row r="532" spans="1:16">
      <c r="A532" s="3"/>
      <c r="B532" s="3" t="str">
        <f>TEXT(Tabela223[[#This Row],[DATA]],"mmmm")</f>
        <v>janeiro</v>
      </c>
      <c r="C532" s="2"/>
      <c r="D532" s="2"/>
      <c r="E532" s="2"/>
      <c r="F532" s="2"/>
      <c r="G532" s="173"/>
      <c r="H532" s="174"/>
      <c r="I532" s="173" t="e">
        <f>Tabela22[[#This Row],[PESO TOTAL]]/Tabela22[[#This Row],[QUANTIDADE]]</f>
        <v>#DIV/0!</v>
      </c>
      <c r="J532" s="2"/>
      <c r="K532" s="193"/>
      <c r="L532" s="8"/>
      <c r="M532" s="8"/>
      <c r="N532" s="8"/>
      <c r="O532" s="194"/>
      <c r="P532" s="195"/>
    </row>
    <row r="533" spans="1:16">
      <c r="A533" s="3"/>
      <c r="B533" s="3" t="str">
        <f>TEXT(Tabela223[[#This Row],[DATA]],"mmmm")</f>
        <v>janeiro</v>
      </c>
      <c r="C533" s="2"/>
      <c r="D533" s="2"/>
      <c r="E533" s="2"/>
      <c r="F533" s="2"/>
      <c r="G533" s="173"/>
      <c r="H533" s="174"/>
      <c r="I533" s="173" t="e">
        <f>Tabela22[[#This Row],[PESO TOTAL]]/Tabela22[[#This Row],[QUANTIDADE]]</f>
        <v>#DIV/0!</v>
      </c>
      <c r="J533" s="2"/>
      <c r="K533" s="193"/>
      <c r="L533" s="8"/>
      <c r="M533" s="8"/>
      <c r="N533" s="8"/>
      <c r="O533" s="194"/>
      <c r="P533" s="195"/>
    </row>
    <row r="534" spans="1:16">
      <c r="A534" s="3"/>
      <c r="B534" s="3" t="str">
        <f>TEXT(Tabela223[[#This Row],[DATA]],"mmmm")</f>
        <v>janeiro</v>
      </c>
      <c r="C534" s="2"/>
      <c r="D534" s="2"/>
      <c r="E534" s="2"/>
      <c r="F534" s="2"/>
      <c r="G534" s="173"/>
      <c r="H534" s="174"/>
      <c r="I534" s="173" t="e">
        <f>Tabela22[[#This Row],[PESO TOTAL]]/Tabela22[[#This Row],[QUANTIDADE]]</f>
        <v>#DIV/0!</v>
      </c>
      <c r="J534" s="2"/>
      <c r="K534" s="193"/>
      <c r="L534" s="8"/>
      <c r="M534" s="8"/>
      <c r="N534" s="8"/>
      <c r="O534" s="194"/>
      <c r="P534" s="195"/>
    </row>
    <row r="535" spans="1:16">
      <c r="A535" s="3"/>
      <c r="B535" s="3" t="str">
        <f>TEXT(Tabela223[[#This Row],[DATA]],"mmmm")</f>
        <v>janeiro</v>
      </c>
      <c r="C535" s="2"/>
      <c r="D535" s="2"/>
      <c r="E535" s="2"/>
      <c r="F535" s="2"/>
      <c r="G535" s="173"/>
      <c r="H535" s="174"/>
      <c r="I535" s="173" t="e">
        <f>Tabela22[[#This Row],[PESO TOTAL]]/Tabela22[[#This Row],[QUANTIDADE]]</f>
        <v>#DIV/0!</v>
      </c>
      <c r="J535" s="2"/>
      <c r="K535" s="193"/>
      <c r="L535" s="8"/>
      <c r="M535" s="8"/>
      <c r="N535" s="8"/>
      <c r="O535" s="194"/>
      <c r="P535" s="195"/>
    </row>
    <row r="536" spans="1:16">
      <c r="A536" s="3"/>
      <c r="B536" s="3" t="str">
        <f>TEXT(Tabela223[[#This Row],[DATA]],"mmmm")</f>
        <v>janeiro</v>
      </c>
      <c r="C536" s="2"/>
      <c r="D536" s="2"/>
      <c r="E536" s="2"/>
      <c r="F536" s="2"/>
      <c r="G536" s="173"/>
      <c r="H536" s="174"/>
      <c r="I536" s="173" t="e">
        <f>Tabela22[[#This Row],[PESO TOTAL]]/Tabela22[[#This Row],[QUANTIDADE]]</f>
        <v>#DIV/0!</v>
      </c>
      <c r="J536" s="2"/>
      <c r="K536" s="193"/>
      <c r="L536" s="8"/>
      <c r="M536" s="8"/>
      <c r="N536" s="8"/>
      <c r="O536" s="194"/>
      <c r="P536" s="195"/>
    </row>
    <row r="537" spans="1:16">
      <c r="A537" s="3"/>
      <c r="B537" s="3" t="str">
        <f>TEXT(Tabela223[[#This Row],[DATA]],"mmmm")</f>
        <v>janeiro</v>
      </c>
      <c r="C537" s="2"/>
      <c r="D537" s="2"/>
      <c r="E537" s="2"/>
      <c r="F537" s="2"/>
      <c r="G537" s="173"/>
      <c r="H537" s="174"/>
      <c r="I537" s="173" t="e">
        <f>Tabela22[[#This Row],[PESO TOTAL]]/Tabela22[[#This Row],[QUANTIDADE]]</f>
        <v>#DIV/0!</v>
      </c>
      <c r="J537" s="2"/>
      <c r="K537" s="193"/>
      <c r="L537" s="8"/>
      <c r="M537" s="8"/>
      <c r="N537" s="8"/>
      <c r="O537" s="194"/>
      <c r="P537" s="195"/>
    </row>
    <row r="538" spans="1:16">
      <c r="A538" s="3"/>
      <c r="B538" s="3" t="str">
        <f>TEXT(Tabela223[[#This Row],[DATA]],"mmmm")</f>
        <v>janeiro</v>
      </c>
      <c r="C538" s="2"/>
      <c r="D538" s="2"/>
      <c r="E538" s="2"/>
      <c r="F538" s="2"/>
      <c r="G538" s="173"/>
      <c r="H538" s="174"/>
      <c r="I538" s="173" t="e">
        <f>Tabela22[[#This Row],[PESO TOTAL]]/Tabela22[[#This Row],[QUANTIDADE]]</f>
        <v>#DIV/0!</v>
      </c>
      <c r="J538" s="2"/>
      <c r="K538" s="193"/>
      <c r="L538" s="8"/>
      <c r="M538" s="8"/>
      <c r="N538" s="8"/>
      <c r="O538" s="194"/>
      <c r="P538" s="195"/>
    </row>
    <row r="539" spans="1:16">
      <c r="A539" s="3"/>
      <c r="B539" s="3" t="str">
        <f>TEXT(Tabela223[[#This Row],[DATA]],"mmmm")</f>
        <v>janeiro</v>
      </c>
      <c r="C539" s="2"/>
      <c r="D539" s="2"/>
      <c r="E539" s="2"/>
      <c r="F539" s="2"/>
      <c r="G539" s="173"/>
      <c r="H539" s="174"/>
      <c r="I539" s="173" t="e">
        <f>Tabela22[[#This Row],[PESO TOTAL]]/Tabela22[[#This Row],[QUANTIDADE]]</f>
        <v>#DIV/0!</v>
      </c>
      <c r="J539" s="2"/>
      <c r="K539" s="193"/>
      <c r="L539" s="8"/>
      <c r="M539" s="8"/>
      <c r="N539" s="8"/>
      <c r="O539" s="194"/>
      <c r="P539" s="195"/>
    </row>
    <row r="540" spans="1:16">
      <c r="A540" s="3"/>
      <c r="B540" s="3" t="str">
        <f>TEXT(Tabela223[[#This Row],[DATA]],"mmmm")</f>
        <v>janeiro</v>
      </c>
      <c r="C540" s="2"/>
      <c r="D540" s="2"/>
      <c r="E540" s="2"/>
      <c r="F540" s="2"/>
      <c r="G540" s="173"/>
      <c r="H540" s="174"/>
      <c r="I540" s="173" t="e">
        <f>Tabela22[[#This Row],[PESO TOTAL]]/Tabela22[[#This Row],[QUANTIDADE]]</f>
        <v>#DIV/0!</v>
      </c>
      <c r="J540" s="2"/>
      <c r="K540" s="193"/>
      <c r="L540" s="8"/>
      <c r="M540" s="8"/>
      <c r="N540" s="8"/>
      <c r="O540" s="194"/>
      <c r="P540" s="195"/>
    </row>
    <row r="541" spans="1:16">
      <c r="A541" s="3"/>
      <c r="B541" s="3" t="str">
        <f>TEXT(Tabela223[[#This Row],[DATA]],"mmmm")</f>
        <v>janeiro</v>
      </c>
      <c r="C541" s="2"/>
      <c r="D541" s="2"/>
      <c r="E541" s="2"/>
      <c r="F541" s="2"/>
      <c r="G541" s="173"/>
      <c r="H541" s="174"/>
      <c r="I541" s="173" t="e">
        <f>Tabela22[[#This Row],[PESO TOTAL]]/Tabela22[[#This Row],[QUANTIDADE]]</f>
        <v>#DIV/0!</v>
      </c>
      <c r="J541" s="2"/>
      <c r="K541" s="193"/>
      <c r="L541" s="8"/>
      <c r="M541" s="8"/>
      <c r="N541" s="8"/>
      <c r="O541" s="194"/>
      <c r="P541" s="195"/>
    </row>
    <row r="542" spans="1:16">
      <c r="A542" s="3"/>
      <c r="B542" s="3" t="str">
        <f>TEXT(Tabela223[[#This Row],[DATA]],"mmmm")</f>
        <v>janeiro</v>
      </c>
      <c r="C542" s="2"/>
      <c r="D542" s="2"/>
      <c r="E542" s="2"/>
      <c r="F542" s="2"/>
      <c r="G542" s="173"/>
      <c r="H542" s="174"/>
      <c r="I542" s="173" t="e">
        <f>Tabela22[[#This Row],[PESO TOTAL]]/Tabela22[[#This Row],[QUANTIDADE]]</f>
        <v>#DIV/0!</v>
      </c>
      <c r="J542" s="2"/>
      <c r="K542" s="193"/>
      <c r="L542" s="8"/>
      <c r="M542" s="8"/>
      <c r="N542" s="8"/>
      <c r="O542" s="194"/>
      <c r="P542" s="195"/>
    </row>
    <row r="543" spans="1:16">
      <c r="A543" s="3"/>
      <c r="B543" s="3" t="str">
        <f>TEXT(Tabela223[[#This Row],[DATA]],"mmmm")</f>
        <v>janeiro</v>
      </c>
      <c r="C543" s="2"/>
      <c r="D543" s="2"/>
      <c r="E543" s="2"/>
      <c r="F543" s="2"/>
      <c r="G543" s="173"/>
      <c r="H543" s="174"/>
      <c r="I543" s="173" t="e">
        <f>Tabela22[[#This Row],[PESO TOTAL]]/Tabela22[[#This Row],[QUANTIDADE]]</f>
        <v>#DIV/0!</v>
      </c>
      <c r="J543" s="2"/>
      <c r="K543" s="193"/>
      <c r="L543" s="8"/>
      <c r="M543" s="8"/>
      <c r="N543" s="8"/>
      <c r="O543" s="194"/>
      <c r="P543" s="195"/>
    </row>
    <row r="544" spans="1:16">
      <c r="A544" s="3"/>
      <c r="B544" s="3" t="str">
        <f>TEXT(Tabela223[[#This Row],[DATA]],"mmmm")</f>
        <v>janeiro</v>
      </c>
      <c r="C544" s="2"/>
      <c r="D544" s="2"/>
      <c r="E544" s="2"/>
      <c r="F544" s="2"/>
      <c r="G544" s="173"/>
      <c r="H544" s="174"/>
      <c r="I544" s="173" t="e">
        <f>Tabela22[[#This Row],[PESO TOTAL]]/Tabela22[[#This Row],[QUANTIDADE]]</f>
        <v>#DIV/0!</v>
      </c>
      <c r="J544" s="2"/>
      <c r="K544" s="193"/>
      <c r="L544" s="8"/>
      <c r="M544" s="8"/>
      <c r="N544" s="8"/>
      <c r="O544" s="194"/>
      <c r="P544" s="195"/>
    </row>
    <row r="545" spans="1:16">
      <c r="A545" s="3"/>
      <c r="B545" s="3" t="str">
        <f>TEXT(Tabela223[[#This Row],[DATA]],"mmmm")</f>
        <v>janeiro</v>
      </c>
      <c r="C545" s="2"/>
      <c r="D545" s="2"/>
      <c r="E545" s="2"/>
      <c r="F545" s="2"/>
      <c r="G545" s="173"/>
      <c r="H545" s="174"/>
      <c r="I545" s="173" t="e">
        <f>Tabela22[[#This Row],[PESO TOTAL]]/Tabela22[[#This Row],[QUANTIDADE]]</f>
        <v>#DIV/0!</v>
      </c>
      <c r="J545" s="2"/>
      <c r="K545" s="193"/>
      <c r="L545" s="8"/>
      <c r="M545" s="8"/>
      <c r="N545" s="8"/>
      <c r="O545" s="194"/>
      <c r="P545" s="195"/>
    </row>
    <row r="546" spans="1:16">
      <c r="A546" s="3"/>
      <c r="B546" s="3" t="str">
        <f>TEXT(Tabela223[[#This Row],[DATA]],"mmmm")</f>
        <v>janeiro</v>
      </c>
      <c r="C546" s="2"/>
      <c r="D546" s="2"/>
      <c r="E546" s="2"/>
      <c r="F546" s="2"/>
      <c r="G546" s="173"/>
      <c r="H546" s="174"/>
      <c r="I546" s="173" t="e">
        <f>Tabela22[[#This Row],[PESO TOTAL]]/Tabela22[[#This Row],[QUANTIDADE]]</f>
        <v>#DIV/0!</v>
      </c>
      <c r="J546" s="2"/>
      <c r="K546" s="193"/>
      <c r="L546" s="8"/>
      <c r="M546" s="8"/>
      <c r="N546" s="8"/>
      <c r="O546" s="194"/>
      <c r="P546" s="195"/>
    </row>
    <row r="547" spans="1:16">
      <c r="A547" s="3"/>
      <c r="B547" s="3" t="str">
        <f>TEXT(Tabela223[[#This Row],[DATA]],"mmmm")</f>
        <v>janeiro</v>
      </c>
      <c r="C547" s="2"/>
      <c r="D547" s="2"/>
      <c r="E547" s="2"/>
      <c r="F547" s="2"/>
      <c r="G547" s="173"/>
      <c r="H547" s="174"/>
      <c r="I547" s="173" t="e">
        <f>Tabela22[[#This Row],[PESO TOTAL]]/Tabela22[[#This Row],[QUANTIDADE]]</f>
        <v>#DIV/0!</v>
      </c>
      <c r="J547" s="2"/>
      <c r="K547" s="193"/>
      <c r="L547" s="8"/>
      <c r="M547" s="8"/>
      <c r="N547" s="8"/>
      <c r="O547" s="194"/>
      <c r="P547" s="195"/>
    </row>
    <row r="548" spans="1:16">
      <c r="A548" s="3"/>
      <c r="B548" s="3" t="str">
        <f>TEXT(Tabela223[[#This Row],[DATA]],"mmmm")</f>
        <v>janeiro</v>
      </c>
      <c r="C548" s="2"/>
      <c r="D548" s="2"/>
      <c r="E548" s="2"/>
      <c r="F548" s="2"/>
      <c r="G548" s="173"/>
      <c r="H548" s="174"/>
      <c r="I548" s="173" t="e">
        <f>Tabela22[[#This Row],[PESO TOTAL]]/Tabela22[[#This Row],[QUANTIDADE]]</f>
        <v>#DIV/0!</v>
      </c>
      <c r="J548" s="2"/>
      <c r="K548" s="193"/>
      <c r="L548" s="8"/>
      <c r="M548" s="8"/>
      <c r="N548" s="8"/>
      <c r="O548" s="194"/>
      <c r="P548" s="195"/>
    </row>
    <row r="549" spans="1:16">
      <c r="A549" s="3"/>
      <c r="B549" s="3" t="str">
        <f>TEXT(Tabela223[[#This Row],[DATA]],"mmmm")</f>
        <v>janeiro</v>
      </c>
      <c r="C549" s="2"/>
      <c r="D549" s="2"/>
      <c r="E549" s="2"/>
      <c r="F549" s="2"/>
      <c r="G549" s="173"/>
      <c r="H549" s="174"/>
      <c r="I549" s="173" t="e">
        <f>Tabela22[[#This Row],[PESO TOTAL]]/Tabela22[[#This Row],[QUANTIDADE]]</f>
        <v>#DIV/0!</v>
      </c>
      <c r="J549" s="2"/>
      <c r="K549" s="193"/>
      <c r="L549" s="8"/>
      <c r="M549" s="8"/>
      <c r="N549" s="8"/>
      <c r="O549" s="194"/>
      <c r="P549" s="195"/>
    </row>
    <row r="550" spans="1:16">
      <c r="B550" s="1" t="str">
        <f>TEXT(Tabela223[[#This Row],[DATA]],"mmmm")</f>
        <v>janeiro</v>
      </c>
      <c r="G550" s="197"/>
      <c r="H550" s="174"/>
      <c r="I550" s="173" t="e">
        <f>Tabela22[[#This Row],[PESO TOTAL]]/Tabela22[[#This Row],[QUANTIDADE]]</f>
        <v>#DIV/0!</v>
      </c>
      <c r="K550" s="198"/>
      <c r="O550" s="199"/>
      <c r="P550" s="195"/>
    </row>
    <row r="551" spans="1:16">
      <c r="B551" s="1" t="str">
        <f>TEXT(Tabela223[[#This Row],[DATA]],"mmmm")</f>
        <v>janeiro</v>
      </c>
      <c r="G551" s="197"/>
      <c r="H551" s="174"/>
      <c r="I551" s="173" t="e">
        <f>Tabela22[[#This Row],[PESO TOTAL]]/Tabela22[[#This Row],[QUANTIDADE]]</f>
        <v>#DIV/0!</v>
      </c>
      <c r="K551" s="198"/>
      <c r="O551" s="199"/>
      <c r="P551" s="195"/>
    </row>
    <row r="552" spans="1:16">
      <c r="B552" s="1" t="str">
        <f>TEXT(Tabela223[[#This Row],[DATA]],"mmmm")</f>
        <v>janeiro</v>
      </c>
      <c r="G552" s="197"/>
      <c r="H552" s="174"/>
      <c r="I552" s="173" t="e">
        <f>Tabela22[[#This Row],[PESO TOTAL]]/Tabela22[[#This Row],[QUANTIDADE]]</f>
        <v>#DIV/0!</v>
      </c>
      <c r="K552" s="198"/>
      <c r="O552" s="199"/>
      <c r="P552" s="195"/>
    </row>
    <row r="553" spans="1:16">
      <c r="B553" s="1" t="str">
        <f>TEXT(Tabela223[[#This Row],[DATA]],"mmmm")</f>
        <v>janeiro</v>
      </c>
      <c r="G553" s="197"/>
      <c r="H553" s="174"/>
      <c r="I553" s="173" t="e">
        <f>Tabela22[[#This Row],[PESO TOTAL]]/Tabela22[[#This Row],[QUANTIDADE]]</f>
        <v>#DIV/0!</v>
      </c>
      <c r="K553" s="198"/>
      <c r="O553" s="199"/>
      <c r="P553" s="90"/>
    </row>
    <row r="554" spans="1:16">
      <c r="B554" s="1" t="str">
        <f>TEXT(Tabela223[[#This Row],[DATA]],"mmmm")</f>
        <v>janeiro</v>
      </c>
      <c r="G554" s="197"/>
      <c r="H554" s="174"/>
      <c r="I554" s="173" t="e">
        <f>Tabela22[[#This Row],[PESO TOTAL]]/Tabela22[[#This Row],[QUANTIDADE]]</f>
        <v>#DIV/0!</v>
      </c>
      <c r="K554" s="198"/>
      <c r="O554" s="199"/>
      <c r="P554" s="90"/>
    </row>
    <row r="555" spans="1:16">
      <c r="B555" s="1" t="str">
        <f>TEXT(Tabela223[[#This Row],[DATA]],"mmmm")</f>
        <v>janeiro</v>
      </c>
      <c r="G555" s="197"/>
      <c r="H555" s="174"/>
      <c r="I555" s="173" t="e">
        <f>Tabela22[[#This Row],[PESO TOTAL]]/Tabela22[[#This Row],[QUANTIDADE]]</f>
        <v>#DIV/0!</v>
      </c>
      <c r="K555" s="198"/>
      <c r="O555" s="199"/>
      <c r="P555" s="90"/>
    </row>
    <row r="556" spans="1:16">
      <c r="B556" s="1" t="str">
        <f>TEXT(Tabela223[[#This Row],[DATA]],"mmmm")</f>
        <v>janeiro</v>
      </c>
      <c r="G556" s="197"/>
      <c r="H556" s="174"/>
      <c r="I556" s="173" t="e">
        <f>Tabela22[[#This Row],[PESO TOTAL]]/Tabela22[[#This Row],[QUANTIDADE]]</f>
        <v>#DIV/0!</v>
      </c>
      <c r="K556" s="198"/>
      <c r="O556" s="199"/>
      <c r="P556" s="90"/>
    </row>
    <row r="557" spans="1:16">
      <c r="B557" s="1" t="str">
        <f>TEXT(Tabela223[[#This Row],[DATA]],"mmmm")</f>
        <v>janeiro</v>
      </c>
      <c r="G557" s="197"/>
      <c r="H557" s="174"/>
      <c r="I557" s="173" t="e">
        <f>Tabela22[[#This Row],[PESO TOTAL]]/Tabela22[[#This Row],[QUANTIDADE]]</f>
        <v>#DIV/0!</v>
      </c>
      <c r="K557" s="198"/>
      <c r="O557" s="199"/>
      <c r="P557" s="90"/>
    </row>
    <row r="558" spans="1:16">
      <c r="B558" s="1" t="str">
        <f>TEXT(Tabela223[[#This Row],[DATA]],"mmmm")</f>
        <v>janeiro</v>
      </c>
      <c r="G558" s="197"/>
      <c r="H558" s="174"/>
      <c r="I558" s="173" t="e">
        <f>Tabela22[[#This Row],[PESO TOTAL]]/Tabela22[[#This Row],[QUANTIDADE]]</f>
        <v>#DIV/0!</v>
      </c>
      <c r="K558" s="198"/>
      <c r="O558" s="199"/>
      <c r="P558" s="90"/>
    </row>
    <row r="559" spans="1:16">
      <c r="B559" s="1" t="str">
        <f>TEXT(Tabela223[[#This Row],[DATA]],"mmmm")</f>
        <v>janeiro</v>
      </c>
      <c r="G559" s="197"/>
      <c r="H559" s="174"/>
      <c r="I559" s="173" t="e">
        <f>Tabela22[[#This Row],[PESO TOTAL]]/Tabela22[[#This Row],[QUANTIDADE]]</f>
        <v>#DIV/0!</v>
      </c>
      <c r="K559" s="198"/>
      <c r="O559" s="199"/>
      <c r="P559" s="90"/>
    </row>
    <row r="560" spans="1:16">
      <c r="B560" s="1" t="str">
        <f>TEXT(Tabela223[[#This Row],[DATA]],"mmmm")</f>
        <v>janeiro</v>
      </c>
      <c r="G560" s="197"/>
      <c r="H560" s="174"/>
      <c r="I560" s="173" t="e">
        <f>Tabela22[[#This Row],[PESO TOTAL]]/Tabela22[[#This Row],[QUANTIDADE]]</f>
        <v>#DIV/0!</v>
      </c>
      <c r="K560" s="198"/>
      <c r="O560" s="199"/>
      <c r="P560" s="90"/>
    </row>
    <row r="561" spans="2:16">
      <c r="B561" s="1" t="str">
        <f>TEXT(Tabela223[[#This Row],[DATA]],"mmmm")</f>
        <v>janeiro</v>
      </c>
      <c r="G561" s="197"/>
      <c r="H561" s="174"/>
      <c r="I561" s="173" t="e">
        <f>Tabela22[[#This Row],[PESO TOTAL]]/Tabela22[[#This Row],[QUANTIDADE]]</f>
        <v>#DIV/0!</v>
      </c>
      <c r="K561" s="198"/>
      <c r="O561" s="199"/>
      <c r="P561" s="90"/>
    </row>
    <row r="562" spans="2:16">
      <c r="B562" s="1" t="str">
        <f>TEXT(Tabela223[[#This Row],[DATA]],"mmmm")</f>
        <v>janeiro</v>
      </c>
      <c r="G562" s="197"/>
      <c r="H562" s="174"/>
      <c r="I562" s="173" t="e">
        <f>Tabela22[[#This Row],[PESO TOTAL]]/Tabela22[[#This Row],[QUANTIDADE]]</f>
        <v>#DIV/0!</v>
      </c>
      <c r="K562" s="198"/>
      <c r="O562" s="199"/>
      <c r="P562" s="90"/>
    </row>
    <row r="563" spans="2:16">
      <c r="B563" s="1" t="str">
        <f>TEXT(Tabela223[[#This Row],[DATA]],"mmmm")</f>
        <v>janeiro</v>
      </c>
      <c r="G563" s="197"/>
      <c r="H563" s="174"/>
      <c r="I563" s="173" t="e">
        <f>Tabela22[[#This Row],[PESO TOTAL]]/Tabela22[[#This Row],[QUANTIDADE]]</f>
        <v>#DIV/0!</v>
      </c>
      <c r="K563" s="198"/>
      <c r="O563" s="199"/>
      <c r="P563" s="90"/>
    </row>
    <row r="564" spans="2:16">
      <c r="B564" s="1" t="str">
        <f>TEXT(Tabela223[[#This Row],[DATA]],"mmmm")</f>
        <v>janeiro</v>
      </c>
      <c r="G564" s="197"/>
      <c r="H564" s="174"/>
      <c r="I564" s="173" t="e">
        <f>Tabela22[[#This Row],[PESO TOTAL]]/Tabela22[[#This Row],[QUANTIDADE]]</f>
        <v>#DIV/0!</v>
      </c>
      <c r="K564" s="198"/>
      <c r="O564" s="199"/>
      <c r="P564" s="90"/>
    </row>
    <row r="565" spans="2:16">
      <c r="B565" s="1" t="str">
        <f>TEXT(Tabela223[[#This Row],[DATA]],"mmmm")</f>
        <v>janeiro</v>
      </c>
      <c r="G565" s="197"/>
      <c r="H565" s="174"/>
      <c r="I565" s="173" t="e">
        <f>Tabela22[[#This Row],[PESO TOTAL]]/Tabela22[[#This Row],[QUANTIDADE]]</f>
        <v>#DIV/0!</v>
      </c>
      <c r="K565" s="198"/>
      <c r="O565" s="199"/>
      <c r="P565" s="90"/>
    </row>
    <row r="566" spans="2:16">
      <c r="B566" s="1" t="str">
        <f>TEXT(Tabela223[[#This Row],[DATA]],"mmmm")</f>
        <v>janeiro</v>
      </c>
      <c r="G566" s="197"/>
      <c r="H566" s="174"/>
      <c r="I566" s="173" t="e">
        <f>Tabela22[[#This Row],[PESO TOTAL]]/Tabela22[[#This Row],[QUANTIDADE]]</f>
        <v>#DIV/0!</v>
      </c>
      <c r="K566" s="198"/>
      <c r="O566" s="199"/>
      <c r="P566" s="90"/>
    </row>
    <row r="567" spans="2:16">
      <c r="B567" s="1" t="str">
        <f>TEXT(Tabela223[[#This Row],[DATA]],"mmmm")</f>
        <v>janeiro</v>
      </c>
      <c r="G567" s="197"/>
      <c r="H567" s="174"/>
      <c r="I567" s="173" t="e">
        <f>Tabela22[[#This Row],[PESO TOTAL]]/Tabela22[[#This Row],[QUANTIDADE]]</f>
        <v>#DIV/0!</v>
      </c>
      <c r="K567" s="198"/>
      <c r="O567" s="199"/>
      <c r="P567" s="90"/>
    </row>
    <row r="568" spans="2:16">
      <c r="B568" s="1" t="str">
        <f>TEXT(Tabela223[[#This Row],[DATA]],"mmmm")</f>
        <v>janeiro</v>
      </c>
      <c r="G568" s="197"/>
      <c r="H568" s="174"/>
      <c r="I568" s="173" t="e">
        <f>Tabela22[[#This Row],[PESO TOTAL]]/Tabela22[[#This Row],[QUANTIDADE]]</f>
        <v>#DIV/0!</v>
      </c>
      <c r="K568" s="198"/>
      <c r="O568" s="199"/>
      <c r="P568" s="90"/>
    </row>
    <row r="569" spans="2:16">
      <c r="B569" s="1" t="str">
        <f>TEXT(Tabela223[[#This Row],[DATA]],"mmmm")</f>
        <v>janeiro</v>
      </c>
      <c r="G569" s="197"/>
      <c r="H569" s="174"/>
      <c r="I569" s="173" t="e">
        <f>Tabela22[[#This Row],[PESO TOTAL]]/Tabela22[[#This Row],[QUANTIDADE]]</f>
        <v>#DIV/0!</v>
      </c>
      <c r="K569" s="198"/>
      <c r="O569" s="199"/>
      <c r="P569" s="90"/>
    </row>
    <row r="570" spans="2:16">
      <c r="B570" s="1" t="str">
        <f>TEXT(Tabela223[[#This Row],[DATA]],"mmmm")</f>
        <v>janeiro</v>
      </c>
      <c r="G570" s="197"/>
      <c r="H570" s="174"/>
      <c r="I570" s="173" t="e">
        <f>Tabela22[[#This Row],[PESO TOTAL]]/Tabela22[[#This Row],[QUANTIDADE]]</f>
        <v>#DIV/0!</v>
      </c>
      <c r="K570" s="198"/>
      <c r="O570" s="199"/>
      <c r="P570" s="90"/>
    </row>
    <row r="571" spans="2:16">
      <c r="B571" s="1" t="str">
        <f>TEXT(Tabela223[[#This Row],[DATA]],"mmmm")</f>
        <v>janeiro</v>
      </c>
      <c r="G571" s="197"/>
      <c r="H571" s="174"/>
      <c r="I571" s="173" t="e">
        <f>Tabela22[[#This Row],[PESO TOTAL]]/Tabela22[[#This Row],[QUANTIDADE]]</f>
        <v>#DIV/0!</v>
      </c>
      <c r="K571" s="198"/>
      <c r="O571" s="199"/>
      <c r="P571" s="90"/>
    </row>
    <row r="572" spans="2:16">
      <c r="B572" s="1" t="str">
        <f>TEXT(Tabela223[[#This Row],[DATA]],"mmmm")</f>
        <v>janeiro</v>
      </c>
      <c r="G572" s="197"/>
      <c r="H572" s="174"/>
      <c r="I572" s="173" t="e">
        <f>Tabela22[[#This Row],[PESO TOTAL]]/Tabela22[[#This Row],[QUANTIDADE]]</f>
        <v>#DIV/0!</v>
      </c>
      <c r="K572" s="198"/>
      <c r="O572" s="199"/>
      <c r="P572" s="90"/>
    </row>
  </sheetData>
  <mergeCells count="5">
    <mergeCell ref="A1:O1"/>
    <mergeCell ref="A4:C4"/>
    <mergeCell ref="A18:G18"/>
    <mergeCell ref="D2:I3"/>
    <mergeCell ref="J2:N3"/>
  </mergeCells>
  <dataValidations count="3">
    <dataValidation type="list" allowBlank="1" showInputMessage="1" showErrorMessage="1" sqref="C20:C1048576" xr:uid="{00000000-0002-0000-0300-000000000000}">
      <formula1>$A$5:$A$14</formula1>
    </dataValidation>
    <dataValidation type="list" allowBlank="1" showInputMessage="1" showErrorMessage="1" sqref="D20:D572" xr:uid="{00000000-0002-0000-0300-000001000000}">
      <formula1>$S$1:$S$9</formula1>
    </dataValidation>
    <dataValidation type="list" allowBlank="1" showInputMessage="1" showErrorMessage="1" sqref="D573:D1048576" xr:uid="{00000000-0002-0000-0300-000002000000}">
      <formula1>$S$1:$S$7</formula1>
    </dataValidation>
  </dataValidations>
  <printOptions horizontalCentered="1" verticalCentered="1"/>
  <pageMargins left="0.511811023622047" right="0.511811023622047" top="0.78740157480314998" bottom="0.78740157480314998" header="0.31496062992126" footer="0.31496062992126"/>
  <pageSetup paperSize="9" scale="49" orientation="landscape"/>
  <rowBreaks count="1" manualBreakCount="1">
    <brk id="9" max="14" man="1"/>
  </rowBreaks>
  <colBreaks count="1" manualBreakCount="1">
    <brk id="11" max="14" man="1"/>
  </colBreak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S571"/>
  <sheetViews>
    <sheetView topLeftCell="A19" zoomScale="85" zoomScaleNormal="85" zoomScaleSheetLayoutView="50" workbookViewId="0">
      <selection activeCell="D31" sqref="D31"/>
    </sheetView>
  </sheetViews>
  <sheetFormatPr defaultColWidth="9" defaultRowHeight="14.4"/>
  <cols>
    <col min="1" max="1" width="15" customWidth="1"/>
    <col min="2" max="2" width="16.6640625" customWidth="1"/>
    <col min="3" max="3" width="23" customWidth="1"/>
    <col min="4" max="4" width="31.6640625" customWidth="1"/>
    <col min="5" max="5" width="18.109375" customWidth="1"/>
    <col min="6" max="6" width="15.6640625" customWidth="1"/>
    <col min="7" max="7" width="14.33203125" customWidth="1"/>
    <col min="8" max="8" width="19" style="114" customWidth="1"/>
    <col min="9" max="9" width="17.88671875" customWidth="1"/>
    <col min="10" max="10" width="13.5546875" customWidth="1"/>
    <col min="11" max="11" width="18.5546875" style="115" customWidth="1"/>
    <col min="12" max="12" width="16.88671875" style="115" customWidth="1"/>
    <col min="13" max="13" width="19" style="115" customWidth="1"/>
    <col min="14" max="14" width="16.6640625" style="115" customWidth="1"/>
    <col min="15" max="15" width="15" style="115" customWidth="1"/>
    <col min="16" max="16" width="38.5546875" customWidth="1"/>
    <col min="17" max="17" width="17.44140625" customWidth="1"/>
    <col min="18" max="18" width="11" customWidth="1"/>
    <col min="19" max="19" width="19.88671875" customWidth="1"/>
  </cols>
  <sheetData>
    <row r="1" spans="1:19" ht="25.8">
      <c r="A1" s="236" t="s">
        <v>48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7"/>
      <c r="Q1" s="7"/>
      <c r="S1" s="141" t="s">
        <v>1</v>
      </c>
    </row>
    <row r="2" spans="1:19" ht="25.8">
      <c r="A2" s="142"/>
      <c r="B2" s="142"/>
      <c r="C2" s="142"/>
      <c r="D2" s="243" t="s">
        <v>2</v>
      </c>
      <c r="E2" s="244"/>
      <c r="F2" s="244"/>
      <c r="G2" s="244"/>
      <c r="H2" s="244"/>
      <c r="I2" s="245"/>
      <c r="J2" s="243" t="s">
        <v>3</v>
      </c>
      <c r="K2" s="244"/>
      <c r="L2" s="244"/>
      <c r="M2" s="244"/>
      <c r="N2" s="245"/>
      <c r="O2" s="176" t="s">
        <v>4</v>
      </c>
      <c r="S2" s="141" t="s">
        <v>5</v>
      </c>
    </row>
    <row r="3" spans="1:19" ht="25.8">
      <c r="A3" s="143"/>
      <c r="B3" s="143"/>
      <c r="C3" s="144"/>
      <c r="D3" s="246"/>
      <c r="E3" s="247"/>
      <c r="F3" s="247"/>
      <c r="G3" s="247"/>
      <c r="H3" s="247"/>
      <c r="I3" s="248"/>
      <c r="J3" s="249"/>
      <c r="K3" s="250"/>
      <c r="L3" s="250"/>
      <c r="M3" s="250"/>
      <c r="N3" s="251"/>
      <c r="O3" s="177"/>
      <c r="S3" s="141" t="s">
        <v>6</v>
      </c>
    </row>
    <row r="4" spans="1:19" ht="25.8">
      <c r="A4" s="237" t="s">
        <v>7</v>
      </c>
      <c r="B4" s="238"/>
      <c r="C4" s="239"/>
      <c r="D4" s="145" t="s">
        <v>8</v>
      </c>
      <c r="E4" s="145" t="s">
        <v>1</v>
      </c>
      <c r="F4" s="145" t="s">
        <v>9</v>
      </c>
      <c r="G4" s="145" t="s">
        <v>5</v>
      </c>
      <c r="H4" s="145" t="s">
        <v>6</v>
      </c>
      <c r="I4" s="145" t="s">
        <v>10</v>
      </c>
      <c r="J4" s="145" t="s">
        <v>11</v>
      </c>
      <c r="K4" s="145" t="s">
        <v>12</v>
      </c>
      <c r="L4" s="145" t="s">
        <v>13</v>
      </c>
      <c r="M4" s="145" t="s">
        <v>14</v>
      </c>
      <c r="N4" s="145" t="s">
        <v>10</v>
      </c>
      <c r="O4" s="178" t="s">
        <v>15</v>
      </c>
      <c r="S4" s="141" t="s">
        <v>11</v>
      </c>
    </row>
    <row r="5" spans="1:19" ht="25.8">
      <c r="A5" s="146" t="s">
        <v>16</v>
      </c>
      <c r="B5" s="147"/>
      <c r="C5" s="148"/>
      <c r="D5" s="200"/>
      <c r="E5" s="149">
        <f t="shared" ref="E5:E15" si="0">SUMIFS($E$20:$E$1048576,$D$20:$D$1048576,$E$4,$C$20:$C$1048576,A5)</f>
        <v>0</v>
      </c>
      <c r="F5" s="149">
        <f t="shared" ref="F5:F14" si="1">SUMIFS($E$20:$E$1048576,$D$20:$D$1048576,$F$4,$C$20:$C$1048576,B5)</f>
        <v>0</v>
      </c>
      <c r="G5" s="150">
        <f t="shared" ref="G5:G15" si="2">SUMIFS($E$20:$E$1048576,$D$20:$D$1048576,$G$4,$C$20:$C$1048576,A5)</f>
        <v>0</v>
      </c>
      <c r="H5" s="150">
        <f t="shared" ref="H5:H15" si="3">SUMIFS($E$20:$E$1048576,$D$20:$D$1048576,$H$4,$C$20:$C$1048576,A5)</f>
        <v>0</v>
      </c>
      <c r="I5" s="156">
        <f>SUM(D5:H5)</f>
        <v>0</v>
      </c>
      <c r="J5" s="179">
        <f t="shared" ref="J5:J15" si="4">SUMIFS($E$20:$E$1048576,$D$20:$D$1048576,$J$4,$C$20:$C$1048576,A5)</f>
        <v>0</v>
      </c>
      <c r="K5" s="179">
        <f t="shared" ref="K5:K15" si="5">SUMIFS($E$20:$E$1048576,$D$20:$D$1048576,$K$4,$C$20:$C$1048576,A5)</f>
        <v>0</v>
      </c>
      <c r="L5" s="179">
        <f t="shared" ref="L5:L15" si="6">SUMIFS($E$20:$E$1048576,$D$20:$D$1048576,$L$4,$C$20:$C$1048576,A5)</f>
        <v>0</v>
      </c>
      <c r="M5" s="180">
        <f t="shared" ref="M5:M15" si="7">SUMIFS($E$20:$E$1048576,$D$20:$D$1048576,$M$4,$C$20:$C$1048576,A5)</f>
        <v>0</v>
      </c>
      <c r="N5" s="156">
        <f>SUM(J5:M5)</f>
        <v>0</v>
      </c>
      <c r="O5" s="181">
        <f>SUM(I5-N5)</f>
        <v>0</v>
      </c>
      <c r="S5" s="141" t="s">
        <v>12</v>
      </c>
    </row>
    <row r="6" spans="1:19" ht="25.8">
      <c r="A6" s="151" t="s">
        <v>17</v>
      </c>
      <c r="B6" s="152"/>
      <c r="C6" s="153"/>
      <c r="D6" s="200"/>
      <c r="E6" s="149">
        <f t="shared" si="0"/>
        <v>0</v>
      </c>
      <c r="F6" s="149">
        <f t="shared" si="1"/>
        <v>0</v>
      </c>
      <c r="G6" s="150">
        <f t="shared" si="2"/>
        <v>0</v>
      </c>
      <c r="H6" s="150">
        <f t="shared" si="3"/>
        <v>0</v>
      </c>
      <c r="I6" s="156">
        <f t="shared" ref="I6:I15" si="8">SUM(D6:H6)</f>
        <v>0</v>
      </c>
      <c r="J6" s="179">
        <f t="shared" si="4"/>
        <v>0</v>
      </c>
      <c r="K6" s="179">
        <f t="shared" si="5"/>
        <v>0</v>
      </c>
      <c r="L6" s="179">
        <f t="shared" si="6"/>
        <v>0</v>
      </c>
      <c r="M6" s="180">
        <f t="shared" si="7"/>
        <v>0</v>
      </c>
      <c r="N6" s="156">
        <f t="shared" ref="N6:N15" si="9">SUM(J6:M6)</f>
        <v>0</v>
      </c>
      <c r="O6" s="181">
        <f t="shared" ref="O6:O15" si="10">SUM(I6-N6)</f>
        <v>0</v>
      </c>
      <c r="S6" s="141" t="s">
        <v>14</v>
      </c>
    </row>
    <row r="7" spans="1:19" ht="25.8">
      <c r="A7" s="152" t="s">
        <v>18</v>
      </c>
      <c r="B7" s="154"/>
      <c r="C7" s="153"/>
      <c r="D7" s="200"/>
      <c r="E7" s="149">
        <f t="shared" si="0"/>
        <v>0</v>
      </c>
      <c r="F7" s="149">
        <f t="shared" si="1"/>
        <v>0</v>
      </c>
      <c r="G7" s="150">
        <f t="shared" si="2"/>
        <v>0</v>
      </c>
      <c r="H7" s="150">
        <f t="shared" si="3"/>
        <v>0</v>
      </c>
      <c r="I7" s="156">
        <f t="shared" si="8"/>
        <v>0</v>
      </c>
      <c r="J7" s="179">
        <f t="shared" si="4"/>
        <v>0</v>
      </c>
      <c r="K7" s="179">
        <f t="shared" si="5"/>
        <v>0</v>
      </c>
      <c r="L7" s="179">
        <f t="shared" si="6"/>
        <v>0</v>
      </c>
      <c r="M7" s="180">
        <f t="shared" si="7"/>
        <v>0</v>
      </c>
      <c r="N7" s="156">
        <f t="shared" si="9"/>
        <v>0</v>
      </c>
      <c r="O7" s="181">
        <f t="shared" si="10"/>
        <v>0</v>
      </c>
      <c r="S7" s="141" t="s">
        <v>8</v>
      </c>
    </row>
    <row r="8" spans="1:19" ht="25.8">
      <c r="A8" s="155" t="s">
        <v>19</v>
      </c>
      <c r="B8" s="154"/>
      <c r="C8" s="153"/>
      <c r="D8" s="201"/>
      <c r="E8" s="149">
        <f t="shared" si="0"/>
        <v>0</v>
      </c>
      <c r="F8" s="149">
        <f t="shared" si="1"/>
        <v>0</v>
      </c>
      <c r="G8" s="150">
        <f t="shared" si="2"/>
        <v>0</v>
      </c>
      <c r="H8" s="150">
        <f t="shared" si="3"/>
        <v>0</v>
      </c>
      <c r="I8" s="156">
        <f t="shared" si="8"/>
        <v>0</v>
      </c>
      <c r="J8" s="179">
        <f t="shared" si="4"/>
        <v>0</v>
      </c>
      <c r="K8" s="179">
        <f t="shared" si="5"/>
        <v>0</v>
      </c>
      <c r="L8" s="179">
        <f t="shared" si="6"/>
        <v>0</v>
      </c>
      <c r="M8" s="180">
        <f t="shared" si="7"/>
        <v>0</v>
      </c>
      <c r="N8" s="156">
        <f t="shared" si="9"/>
        <v>0</v>
      </c>
      <c r="O8" s="181">
        <f t="shared" si="10"/>
        <v>0</v>
      </c>
      <c r="S8" s="141" t="s">
        <v>9</v>
      </c>
    </row>
    <row r="9" spans="1:19" ht="25.8">
      <c r="A9" s="155" t="s">
        <v>20</v>
      </c>
      <c r="B9" s="154"/>
      <c r="C9" s="153"/>
      <c r="D9" s="200"/>
      <c r="E9" s="149">
        <f t="shared" si="0"/>
        <v>0</v>
      </c>
      <c r="F9" s="149">
        <f t="shared" si="1"/>
        <v>0</v>
      </c>
      <c r="G9" s="150">
        <f t="shared" si="2"/>
        <v>0</v>
      </c>
      <c r="H9" s="150">
        <f t="shared" si="3"/>
        <v>0</v>
      </c>
      <c r="I9" s="156">
        <f t="shared" si="8"/>
        <v>0</v>
      </c>
      <c r="J9" s="179">
        <f t="shared" si="4"/>
        <v>0</v>
      </c>
      <c r="K9" s="179">
        <f t="shared" si="5"/>
        <v>0</v>
      </c>
      <c r="L9" s="179">
        <f t="shared" si="6"/>
        <v>0</v>
      </c>
      <c r="M9" s="180">
        <f t="shared" si="7"/>
        <v>0</v>
      </c>
      <c r="N9" s="156">
        <f t="shared" si="9"/>
        <v>0</v>
      </c>
      <c r="O9" s="181">
        <f t="shared" si="10"/>
        <v>0</v>
      </c>
      <c r="S9" s="141" t="s">
        <v>13</v>
      </c>
    </row>
    <row r="10" spans="1:19" ht="25.8">
      <c r="A10" s="151" t="s">
        <v>21</v>
      </c>
      <c r="B10" s="155"/>
      <c r="C10" s="157"/>
      <c r="D10" s="200"/>
      <c r="E10" s="149">
        <f t="shared" si="0"/>
        <v>0</v>
      </c>
      <c r="F10" s="149">
        <f t="shared" si="1"/>
        <v>0</v>
      </c>
      <c r="G10" s="150">
        <f t="shared" si="2"/>
        <v>0</v>
      </c>
      <c r="H10" s="150">
        <f t="shared" si="3"/>
        <v>0</v>
      </c>
      <c r="I10" s="156">
        <f t="shared" si="8"/>
        <v>0</v>
      </c>
      <c r="J10" s="179">
        <f t="shared" si="4"/>
        <v>0</v>
      </c>
      <c r="K10" s="179">
        <f t="shared" si="5"/>
        <v>0</v>
      </c>
      <c r="L10" s="179">
        <f t="shared" si="6"/>
        <v>0</v>
      </c>
      <c r="M10" s="180">
        <f t="shared" si="7"/>
        <v>0</v>
      </c>
      <c r="N10" s="156">
        <f t="shared" si="9"/>
        <v>0</v>
      </c>
      <c r="O10" s="181">
        <f t="shared" si="10"/>
        <v>0</v>
      </c>
    </row>
    <row r="11" spans="1:19" ht="25.8">
      <c r="A11" s="151" t="s">
        <v>22</v>
      </c>
      <c r="B11" s="155"/>
      <c r="C11" s="157"/>
      <c r="D11" s="200"/>
      <c r="E11" s="149">
        <f t="shared" si="0"/>
        <v>0</v>
      </c>
      <c r="F11" s="149">
        <f t="shared" si="1"/>
        <v>0</v>
      </c>
      <c r="G11" s="150">
        <f t="shared" si="2"/>
        <v>0</v>
      </c>
      <c r="H11" s="150">
        <f t="shared" si="3"/>
        <v>0</v>
      </c>
      <c r="I11" s="156">
        <f t="shared" si="8"/>
        <v>0</v>
      </c>
      <c r="J11" s="179">
        <f t="shared" si="4"/>
        <v>0</v>
      </c>
      <c r="K11" s="179">
        <f t="shared" si="5"/>
        <v>0</v>
      </c>
      <c r="L11" s="179">
        <f t="shared" si="6"/>
        <v>0</v>
      </c>
      <c r="M11" s="180">
        <f t="shared" si="7"/>
        <v>0</v>
      </c>
      <c r="N11" s="156">
        <f t="shared" si="9"/>
        <v>0</v>
      </c>
      <c r="O11" s="181">
        <f t="shared" si="10"/>
        <v>0</v>
      </c>
    </row>
    <row r="12" spans="1:19" ht="25.8">
      <c r="A12" s="151" t="s">
        <v>24</v>
      </c>
      <c r="B12" s="155"/>
      <c r="C12" s="157"/>
      <c r="D12" s="200"/>
      <c r="E12" s="149">
        <f t="shared" si="0"/>
        <v>0</v>
      </c>
      <c r="F12" s="149">
        <f t="shared" si="1"/>
        <v>0</v>
      </c>
      <c r="G12" s="150">
        <f t="shared" si="2"/>
        <v>0</v>
      </c>
      <c r="H12" s="150">
        <f t="shared" si="3"/>
        <v>0</v>
      </c>
      <c r="I12" s="156">
        <f t="shared" si="8"/>
        <v>0</v>
      </c>
      <c r="J12" s="179">
        <f t="shared" si="4"/>
        <v>0</v>
      </c>
      <c r="K12" s="179">
        <f t="shared" si="5"/>
        <v>0</v>
      </c>
      <c r="L12" s="179">
        <f t="shared" si="6"/>
        <v>0</v>
      </c>
      <c r="M12" s="180">
        <f t="shared" si="7"/>
        <v>0</v>
      </c>
      <c r="N12" s="156">
        <f t="shared" si="9"/>
        <v>0</v>
      </c>
      <c r="O12" s="181">
        <f t="shared" si="10"/>
        <v>0</v>
      </c>
    </row>
    <row r="13" spans="1:19" ht="25.8">
      <c r="A13" s="152" t="s">
        <v>26</v>
      </c>
      <c r="B13" s="154"/>
      <c r="C13" s="153"/>
      <c r="D13" s="200"/>
      <c r="E13" s="149">
        <f t="shared" si="0"/>
        <v>0</v>
      </c>
      <c r="F13" s="149">
        <f t="shared" si="1"/>
        <v>0</v>
      </c>
      <c r="G13" s="150">
        <f t="shared" si="2"/>
        <v>0</v>
      </c>
      <c r="H13" s="150">
        <f t="shared" si="3"/>
        <v>0</v>
      </c>
      <c r="I13" s="156">
        <f t="shared" si="8"/>
        <v>0</v>
      </c>
      <c r="J13" s="179">
        <f t="shared" si="4"/>
        <v>0</v>
      </c>
      <c r="K13" s="179">
        <f t="shared" si="5"/>
        <v>0</v>
      </c>
      <c r="L13" s="179">
        <f t="shared" si="6"/>
        <v>0</v>
      </c>
      <c r="M13" s="180">
        <f t="shared" si="7"/>
        <v>0</v>
      </c>
      <c r="N13" s="156">
        <f t="shared" si="9"/>
        <v>0</v>
      </c>
      <c r="O13" s="181">
        <f t="shared" si="10"/>
        <v>0</v>
      </c>
    </row>
    <row r="14" spans="1:19" ht="25.8">
      <c r="A14" s="158" t="s">
        <v>28</v>
      </c>
      <c r="B14" s="159"/>
      <c r="C14" s="160"/>
      <c r="D14" s="202"/>
      <c r="E14" s="161">
        <f t="shared" si="0"/>
        <v>0</v>
      </c>
      <c r="F14" s="161">
        <f t="shared" si="1"/>
        <v>0</v>
      </c>
      <c r="G14" s="162">
        <f t="shared" si="2"/>
        <v>0</v>
      </c>
      <c r="H14" s="162">
        <f t="shared" si="3"/>
        <v>0</v>
      </c>
      <c r="I14" s="156">
        <f t="shared" si="8"/>
        <v>0</v>
      </c>
      <c r="J14" s="183">
        <f t="shared" si="4"/>
        <v>0</v>
      </c>
      <c r="K14" s="183">
        <f t="shared" si="5"/>
        <v>0</v>
      </c>
      <c r="L14" s="183">
        <f t="shared" si="6"/>
        <v>0</v>
      </c>
      <c r="M14" s="184">
        <f t="shared" si="7"/>
        <v>0</v>
      </c>
      <c r="N14" s="156">
        <f t="shared" si="9"/>
        <v>0</v>
      </c>
      <c r="O14" s="204">
        <f t="shared" si="10"/>
        <v>0</v>
      </c>
    </row>
    <row r="15" spans="1:19" ht="25.8">
      <c r="A15" s="163" t="s">
        <v>29</v>
      </c>
      <c r="B15" s="163"/>
      <c r="C15" s="142"/>
      <c r="D15" s="201"/>
      <c r="E15" s="156">
        <f t="shared" si="0"/>
        <v>0</v>
      </c>
      <c r="F15" s="156">
        <v>0</v>
      </c>
      <c r="G15" s="156">
        <f t="shared" si="2"/>
        <v>0</v>
      </c>
      <c r="H15" s="156">
        <f t="shared" si="3"/>
        <v>0</v>
      </c>
      <c r="I15" s="156">
        <f t="shared" si="8"/>
        <v>0</v>
      </c>
      <c r="J15" s="156">
        <f t="shared" si="4"/>
        <v>0</v>
      </c>
      <c r="K15" s="156">
        <f t="shared" si="5"/>
        <v>0</v>
      </c>
      <c r="L15" s="156">
        <f t="shared" si="6"/>
        <v>0</v>
      </c>
      <c r="M15" s="156">
        <f t="shared" si="7"/>
        <v>0</v>
      </c>
      <c r="N15" s="156">
        <f t="shared" si="9"/>
        <v>0</v>
      </c>
      <c r="O15" s="185">
        <f t="shared" si="10"/>
        <v>0</v>
      </c>
    </row>
    <row r="16" spans="1:19" ht="25.8">
      <c r="A16" s="164" t="s">
        <v>10</v>
      </c>
      <c r="B16" s="165"/>
      <c r="C16" s="166"/>
      <c r="D16" s="203">
        <f t="shared" ref="D16:O16" si="11">SUM(D5:D15)</f>
        <v>0</v>
      </c>
      <c r="E16" s="203">
        <f t="shared" si="11"/>
        <v>0</v>
      </c>
      <c r="F16" s="203">
        <f t="shared" si="11"/>
        <v>0</v>
      </c>
      <c r="G16" s="203">
        <f t="shared" si="11"/>
        <v>0</v>
      </c>
      <c r="H16" s="203">
        <f t="shared" si="11"/>
        <v>0</v>
      </c>
      <c r="I16" s="203">
        <f t="shared" si="11"/>
        <v>0</v>
      </c>
      <c r="J16" s="203">
        <f t="shared" si="11"/>
        <v>0</v>
      </c>
      <c r="K16" s="203">
        <f t="shared" si="11"/>
        <v>0</v>
      </c>
      <c r="L16" s="203">
        <f t="shared" si="11"/>
        <v>0</v>
      </c>
      <c r="M16" s="203">
        <f t="shared" si="11"/>
        <v>0</v>
      </c>
      <c r="N16" s="203">
        <f t="shared" si="11"/>
        <v>0</v>
      </c>
      <c r="O16" s="186">
        <f t="shared" si="11"/>
        <v>0</v>
      </c>
    </row>
    <row r="17" spans="1:17">
      <c r="H17"/>
      <c r="K17"/>
      <c r="L17"/>
      <c r="M17"/>
      <c r="N17"/>
      <c r="O17"/>
    </row>
    <row r="18" spans="1:17" ht="30" customHeight="1">
      <c r="A18" s="240" t="s">
        <v>30</v>
      </c>
      <c r="B18" s="241"/>
      <c r="C18" s="241"/>
      <c r="D18" s="241"/>
      <c r="E18" s="241"/>
      <c r="F18" s="241"/>
      <c r="G18" s="242"/>
      <c r="H18" s="168"/>
      <c r="I18" s="168" t="s">
        <v>49</v>
      </c>
      <c r="J18" s="168"/>
      <c r="K18" s="168"/>
      <c r="L18" s="168"/>
      <c r="M18" s="168"/>
      <c r="N18" s="168"/>
      <c r="O18" s="168"/>
      <c r="P18" s="168"/>
      <c r="Q18" s="196"/>
    </row>
    <row r="19" spans="1:17" ht="22.5" customHeight="1">
      <c r="A19" s="169" t="s">
        <v>31</v>
      </c>
      <c r="B19" s="169" t="s">
        <v>32</v>
      </c>
      <c r="C19" s="169" t="s">
        <v>33</v>
      </c>
      <c r="D19" s="170" t="s">
        <v>34</v>
      </c>
      <c r="E19" s="169" t="s">
        <v>35</v>
      </c>
      <c r="F19" s="169" t="s">
        <v>36</v>
      </c>
      <c r="G19" s="171" t="s">
        <v>37</v>
      </c>
      <c r="H19" s="172" t="s">
        <v>38</v>
      </c>
      <c r="I19" s="172" t="s">
        <v>39</v>
      </c>
      <c r="J19" s="187"/>
      <c r="K19" s="187"/>
      <c r="L19" s="187"/>
      <c r="M19" s="187"/>
      <c r="N19" s="187"/>
      <c r="O19" s="187"/>
      <c r="P19" s="187"/>
    </row>
    <row r="20" spans="1:17">
      <c r="A20" s="3"/>
      <c r="B20" s="3" t="str">
        <f>TEXT(Tabela22345[[#This Row],[DATA]],"mmm")</f>
        <v>jan</v>
      </c>
      <c r="C20" s="2"/>
      <c r="D20" s="2"/>
      <c r="E20" s="2"/>
      <c r="F20" s="2"/>
      <c r="G20" s="173"/>
      <c r="H20" s="174"/>
      <c r="I20" s="173" t="e">
        <f>Tabela22[[#This Row],[PESO TOTAL]]/Tabela22[[#This Row],[QUANTIDADE]]</f>
        <v>#VALUE!</v>
      </c>
      <c r="J20" s="188"/>
      <c r="K20" s="189"/>
      <c r="L20" s="190"/>
      <c r="M20" s="190"/>
      <c r="N20" s="190"/>
      <c r="O20" s="191"/>
      <c r="P20" s="192"/>
    </row>
    <row r="21" spans="1:17">
      <c r="A21" s="3"/>
      <c r="B21" s="3" t="str">
        <f>TEXT(Tabela22345[[#This Row],[DATA]],"mmm")</f>
        <v>jan</v>
      </c>
      <c r="C21" s="2"/>
      <c r="D21" s="2"/>
      <c r="E21" s="2"/>
      <c r="F21" s="2"/>
      <c r="G21" s="173"/>
      <c r="H21" s="174"/>
      <c r="I21" s="173">
        <f>Tabela22[[#This Row],[PESO TOTAL]]/Tabela22[[#This Row],[QUANTIDADE]]</f>
        <v>0</v>
      </c>
      <c r="J21" s="188"/>
      <c r="K21" s="193"/>
      <c r="L21" s="8"/>
      <c r="M21" s="8"/>
      <c r="N21" s="8"/>
      <c r="O21" s="194"/>
      <c r="P21" s="195"/>
    </row>
    <row r="22" spans="1:17">
      <c r="A22" s="3"/>
      <c r="B22" s="3" t="str">
        <f>TEXT(Tabela22345[[#This Row],[DATA]],"mmm")</f>
        <v>jan</v>
      </c>
      <c r="C22" s="2"/>
      <c r="D22" s="2"/>
      <c r="E22" s="2"/>
      <c r="F22" s="2"/>
      <c r="G22" s="173"/>
      <c r="H22" s="174"/>
      <c r="I22" s="173" t="e">
        <f>Tabela22[[#This Row],[PESO TOTAL]]/Tabela22[[#This Row],[QUANTIDADE]]</f>
        <v>#DIV/0!</v>
      </c>
      <c r="J22" s="188"/>
      <c r="K22" s="193"/>
      <c r="L22" s="8"/>
      <c r="M22" s="8"/>
      <c r="N22" s="8"/>
      <c r="O22" s="194"/>
      <c r="P22" s="195"/>
    </row>
    <row r="23" spans="1:17">
      <c r="A23" s="3"/>
      <c r="B23" s="3" t="str">
        <f>TEXT(Tabela22345[[#This Row],[DATA]],"mmm")</f>
        <v>jan</v>
      </c>
      <c r="C23" s="2"/>
      <c r="D23" s="2"/>
      <c r="E23" s="2"/>
      <c r="F23" s="2"/>
      <c r="G23" s="173"/>
      <c r="H23" s="174"/>
      <c r="I23" s="173" t="e">
        <f>Tabela22[[#This Row],[PESO TOTAL]]/Tabela22[[#This Row],[QUANTIDADE]]</f>
        <v>#DIV/0!</v>
      </c>
      <c r="J23" s="188"/>
      <c r="K23" s="193"/>
      <c r="L23" s="8"/>
      <c r="M23" s="8"/>
      <c r="N23" s="8"/>
      <c r="O23" s="194"/>
      <c r="P23" s="195"/>
    </row>
    <row r="24" spans="1:17">
      <c r="A24" s="3"/>
      <c r="B24" s="3" t="str">
        <f>TEXT(Tabela22345[[#This Row],[DATA]],"mmm")</f>
        <v>jan</v>
      </c>
      <c r="C24" s="2"/>
      <c r="D24" s="2"/>
      <c r="E24" s="2"/>
      <c r="F24" s="2"/>
      <c r="G24" s="173"/>
      <c r="H24" s="174"/>
      <c r="I24" s="173" t="e">
        <f>Tabela22[[#This Row],[PESO TOTAL]]/Tabela22[[#This Row],[QUANTIDADE]]</f>
        <v>#DIV/0!</v>
      </c>
      <c r="J24" s="188"/>
      <c r="K24" s="193"/>
      <c r="L24" s="8"/>
      <c r="M24" s="8"/>
      <c r="N24" s="8"/>
      <c r="O24" s="194"/>
      <c r="P24" s="195"/>
    </row>
    <row r="25" spans="1:17">
      <c r="A25" s="3"/>
      <c r="B25" s="3" t="str">
        <f>TEXT(Tabela22345[[#This Row],[DATA]],"mmm")</f>
        <v>jan</v>
      </c>
      <c r="C25" s="2"/>
      <c r="D25" s="2"/>
      <c r="E25" s="2"/>
      <c r="F25" s="2"/>
      <c r="G25" s="173"/>
      <c r="H25" s="174"/>
      <c r="I25" s="173" t="e">
        <f>Tabela22[[#This Row],[PESO TOTAL]]/Tabela22[[#This Row],[QUANTIDADE]]</f>
        <v>#DIV/0!</v>
      </c>
      <c r="J25" s="188"/>
      <c r="K25" s="193"/>
      <c r="L25" s="8"/>
      <c r="M25" s="8"/>
      <c r="N25" s="8"/>
      <c r="O25" s="194"/>
      <c r="P25" s="195"/>
    </row>
    <row r="26" spans="1:17">
      <c r="A26" s="3"/>
      <c r="B26" s="3" t="str">
        <f>TEXT(Tabela22345[[#This Row],[DATA]],"mmm")</f>
        <v>jan</v>
      </c>
      <c r="C26" s="2"/>
      <c r="D26" s="2"/>
      <c r="E26" s="2"/>
      <c r="F26" s="2"/>
      <c r="G26" s="173"/>
      <c r="H26" s="174"/>
      <c r="I26" s="173" t="e">
        <f>Tabela22[[#This Row],[PESO TOTAL]]/Tabela22[[#This Row],[QUANTIDADE]]</f>
        <v>#DIV/0!</v>
      </c>
      <c r="J26" s="188"/>
      <c r="K26" s="193"/>
      <c r="L26" s="8"/>
      <c r="M26" s="8"/>
      <c r="N26" s="8"/>
      <c r="O26" s="194"/>
      <c r="P26" s="195"/>
    </row>
    <row r="27" spans="1:17">
      <c r="A27" s="3"/>
      <c r="B27" s="3" t="str">
        <f>TEXT(Tabela22345[[#This Row],[DATA]],"mmmm")</f>
        <v>janeiro</v>
      </c>
      <c r="C27" s="2"/>
      <c r="D27" s="2"/>
      <c r="E27" s="2"/>
      <c r="F27" s="2"/>
      <c r="G27" s="173"/>
      <c r="H27" s="174"/>
      <c r="I27" s="173" t="e">
        <f>Tabela22[[#This Row],[PESO TOTAL]]/Tabela22[[#This Row],[QUANTIDADE]]</f>
        <v>#DIV/0!</v>
      </c>
      <c r="J27" s="2"/>
      <c r="K27" s="193"/>
      <c r="L27" s="8"/>
      <c r="M27" s="8"/>
      <c r="N27" s="8"/>
      <c r="O27" s="194"/>
      <c r="P27" s="195"/>
    </row>
    <row r="28" spans="1:17">
      <c r="A28" s="3"/>
      <c r="B28" s="3" t="str">
        <f>TEXT(Tabela22345[[#This Row],[DATA]],"mmmm")</f>
        <v>janeiro</v>
      </c>
      <c r="C28" s="2"/>
      <c r="D28" s="2"/>
      <c r="E28" s="2"/>
      <c r="F28" s="2"/>
      <c r="G28" s="173"/>
      <c r="H28" s="174"/>
      <c r="I28" s="173" t="e">
        <f>Tabela22[[#This Row],[PESO TOTAL]]/Tabela22[[#This Row],[QUANTIDADE]]</f>
        <v>#DIV/0!</v>
      </c>
      <c r="J28" s="2"/>
      <c r="K28" s="193"/>
      <c r="L28" s="8"/>
      <c r="M28" s="8"/>
      <c r="N28" s="8"/>
      <c r="O28" s="194"/>
      <c r="P28" s="195"/>
    </row>
    <row r="29" spans="1:17">
      <c r="A29" s="3"/>
      <c r="B29" s="3" t="str">
        <f>TEXT(Tabela22345[[#This Row],[DATA]],"mmmm")</f>
        <v>janeiro</v>
      </c>
      <c r="C29" s="2"/>
      <c r="D29" s="2"/>
      <c r="E29" s="2"/>
      <c r="F29" s="2"/>
      <c r="G29" s="173"/>
      <c r="H29" s="174"/>
      <c r="I29" s="173" t="e">
        <f>Tabela22[[#This Row],[PESO TOTAL]]/Tabela22[[#This Row],[QUANTIDADE]]</f>
        <v>#DIV/0!</v>
      </c>
      <c r="J29" s="2"/>
      <c r="K29" s="193"/>
      <c r="L29" s="8"/>
      <c r="M29" s="8"/>
      <c r="N29" s="8"/>
      <c r="O29" s="194"/>
      <c r="P29" s="195"/>
    </row>
    <row r="30" spans="1:17">
      <c r="A30" s="3"/>
      <c r="B30" s="3" t="str">
        <f>TEXT(Tabela22345[[#This Row],[DATA]],"mmmm")</f>
        <v>janeiro</v>
      </c>
      <c r="C30" s="2"/>
      <c r="D30" s="2"/>
      <c r="E30" s="2"/>
      <c r="F30" s="2"/>
      <c r="G30" s="173"/>
      <c r="H30" s="174"/>
      <c r="I30" s="173" t="e">
        <f>Tabela22[[#This Row],[PESO TOTAL]]/Tabela22[[#This Row],[QUANTIDADE]]</f>
        <v>#DIV/0!</v>
      </c>
      <c r="J30" s="2"/>
      <c r="K30" s="193"/>
      <c r="L30" s="8"/>
      <c r="M30" s="8"/>
      <c r="N30" s="8"/>
      <c r="O30" s="194"/>
      <c r="P30" s="195"/>
    </row>
    <row r="31" spans="1:17">
      <c r="A31" s="3"/>
      <c r="B31" s="3" t="str">
        <f>TEXT(Tabela22345[[#This Row],[DATA]],"mmmm")</f>
        <v>janeiro</v>
      </c>
      <c r="C31" s="2"/>
      <c r="D31" s="2"/>
      <c r="E31" s="2"/>
      <c r="F31" s="2"/>
      <c r="G31" s="173"/>
      <c r="H31" s="174"/>
      <c r="I31" s="173" t="e">
        <f>Tabela22[[#This Row],[PESO TOTAL]]/Tabela22[[#This Row],[QUANTIDADE]]</f>
        <v>#DIV/0!</v>
      </c>
      <c r="J31" s="2"/>
      <c r="K31" s="193"/>
      <c r="L31" s="8"/>
      <c r="M31" s="8"/>
      <c r="N31" s="8"/>
      <c r="O31" s="194"/>
      <c r="P31" s="195"/>
    </row>
    <row r="32" spans="1:17">
      <c r="A32" s="3"/>
      <c r="B32" s="3" t="str">
        <f>TEXT(Tabela22345[[#This Row],[DATA]],"mmmm")</f>
        <v>janeiro</v>
      </c>
      <c r="C32" s="2"/>
      <c r="D32" s="2"/>
      <c r="E32" s="2"/>
      <c r="F32" s="2"/>
      <c r="G32" s="173"/>
      <c r="H32" s="174"/>
      <c r="I32" s="173" t="e">
        <f>Tabela22[[#This Row],[PESO TOTAL]]/Tabela22[[#This Row],[QUANTIDADE]]</f>
        <v>#DIV/0!</v>
      </c>
      <c r="J32" s="2"/>
      <c r="K32" s="193"/>
      <c r="L32" s="8"/>
      <c r="M32" s="8"/>
      <c r="N32" s="8"/>
      <c r="O32" s="194"/>
      <c r="P32" s="195"/>
    </row>
    <row r="33" spans="1:16">
      <c r="A33" s="3"/>
      <c r="B33" s="3" t="str">
        <f>TEXT(Tabela22345[[#This Row],[DATA]],"mmmm")</f>
        <v>janeiro</v>
      </c>
      <c r="C33" s="2"/>
      <c r="D33" s="2"/>
      <c r="E33" s="2"/>
      <c r="F33" s="2"/>
      <c r="G33" s="173"/>
      <c r="H33" s="174"/>
      <c r="I33" s="173" t="e">
        <f>Tabela22[[#This Row],[PESO TOTAL]]/Tabela22[[#This Row],[QUANTIDADE]]</f>
        <v>#DIV/0!</v>
      </c>
      <c r="J33" s="2"/>
      <c r="K33" s="193"/>
      <c r="L33" s="8"/>
      <c r="M33" s="8"/>
      <c r="N33" s="8"/>
      <c r="O33" s="194"/>
      <c r="P33" s="195"/>
    </row>
    <row r="34" spans="1:16">
      <c r="A34" s="3"/>
      <c r="B34" s="3" t="str">
        <f>TEXT(Tabela22345[[#This Row],[DATA]],"mmmm")</f>
        <v>janeiro</v>
      </c>
      <c r="C34" s="2"/>
      <c r="D34" s="2"/>
      <c r="E34" s="2"/>
      <c r="F34" s="2"/>
      <c r="G34" s="173"/>
      <c r="H34" s="174"/>
      <c r="I34" s="173" t="e">
        <f>Tabela22[[#This Row],[PESO TOTAL]]/Tabela22[[#This Row],[QUANTIDADE]]</f>
        <v>#DIV/0!</v>
      </c>
      <c r="J34" s="2"/>
      <c r="K34" s="193"/>
      <c r="L34" s="8"/>
      <c r="M34" s="8"/>
      <c r="N34" s="8"/>
      <c r="O34" s="194"/>
      <c r="P34" s="195"/>
    </row>
    <row r="35" spans="1:16">
      <c r="A35" s="3"/>
      <c r="B35" s="3" t="str">
        <f>TEXT(Tabela22345[[#This Row],[DATA]],"mmmm")</f>
        <v>janeiro</v>
      </c>
      <c r="C35" s="2"/>
      <c r="D35" s="2"/>
      <c r="E35" s="2"/>
      <c r="F35" s="2"/>
      <c r="G35" s="173"/>
      <c r="H35" s="174"/>
      <c r="I35" s="173" t="e">
        <f>Tabela22[[#This Row],[PESO TOTAL]]/Tabela22[[#This Row],[QUANTIDADE]]</f>
        <v>#DIV/0!</v>
      </c>
      <c r="J35" s="2"/>
      <c r="K35" s="193"/>
      <c r="L35" s="8"/>
      <c r="M35" s="8"/>
      <c r="N35" s="8"/>
      <c r="O35" s="194"/>
      <c r="P35" s="195"/>
    </row>
    <row r="36" spans="1:16">
      <c r="A36" s="3"/>
      <c r="B36" s="3" t="str">
        <f>TEXT(Tabela22345[[#This Row],[DATA]],"mmmm")</f>
        <v>janeiro</v>
      </c>
      <c r="C36" s="2"/>
      <c r="D36" s="2"/>
      <c r="E36" s="2"/>
      <c r="F36" s="2"/>
      <c r="G36" s="173"/>
      <c r="H36" s="174"/>
      <c r="I36" s="173" t="e">
        <f>Tabela22[[#This Row],[PESO TOTAL]]/Tabela22[[#This Row],[QUANTIDADE]]</f>
        <v>#DIV/0!</v>
      </c>
      <c r="J36" s="2"/>
      <c r="K36" s="193"/>
      <c r="L36" s="8"/>
      <c r="M36" s="8"/>
      <c r="N36" s="8"/>
      <c r="O36" s="194"/>
      <c r="P36" s="195"/>
    </row>
    <row r="37" spans="1:16">
      <c r="A37" s="3"/>
      <c r="B37" s="3" t="str">
        <f>TEXT(Tabela22345[[#This Row],[DATA]],"mmmm")</f>
        <v>janeiro</v>
      </c>
      <c r="C37" s="2"/>
      <c r="D37" s="2"/>
      <c r="E37" s="2"/>
      <c r="F37" s="2"/>
      <c r="G37" s="173"/>
      <c r="H37" s="174"/>
      <c r="I37" s="173" t="e">
        <f>Tabela22[[#This Row],[PESO TOTAL]]/Tabela22[[#This Row],[QUANTIDADE]]</f>
        <v>#DIV/0!</v>
      </c>
      <c r="J37" s="2"/>
      <c r="K37" s="193"/>
      <c r="L37" s="8"/>
      <c r="M37" s="8"/>
      <c r="N37" s="8"/>
      <c r="O37" s="194"/>
      <c r="P37" s="195"/>
    </row>
    <row r="38" spans="1:16">
      <c r="A38" s="3"/>
      <c r="B38" s="3" t="str">
        <f>TEXT(Tabela22345[[#This Row],[DATA]],"mmmm")</f>
        <v>janeiro</v>
      </c>
      <c r="C38" s="2"/>
      <c r="D38" s="2"/>
      <c r="E38" s="2"/>
      <c r="F38" s="2"/>
      <c r="G38" s="173"/>
      <c r="H38" s="174"/>
      <c r="I38" s="173" t="e">
        <f>Tabela22[[#This Row],[PESO TOTAL]]/Tabela22[[#This Row],[QUANTIDADE]]</f>
        <v>#DIV/0!</v>
      </c>
      <c r="J38" s="2"/>
      <c r="K38" s="193"/>
      <c r="L38" s="8"/>
      <c r="M38" s="8"/>
      <c r="N38" s="8"/>
      <c r="O38" s="194"/>
      <c r="P38" s="195"/>
    </row>
    <row r="39" spans="1:16">
      <c r="A39" s="3"/>
      <c r="B39" s="3" t="str">
        <f>TEXT(Tabela22345[[#This Row],[DATA]],"mmmm")</f>
        <v>janeiro</v>
      </c>
      <c r="C39" s="2"/>
      <c r="D39" s="2"/>
      <c r="E39" s="2"/>
      <c r="F39" s="2"/>
      <c r="G39" s="173"/>
      <c r="H39" s="174"/>
      <c r="I39" s="173" t="e">
        <f>Tabela22[[#This Row],[PESO TOTAL]]/Tabela22[[#This Row],[QUANTIDADE]]</f>
        <v>#DIV/0!</v>
      </c>
      <c r="J39" s="2"/>
      <c r="K39" s="193"/>
      <c r="L39" s="8"/>
      <c r="M39" s="8"/>
      <c r="N39" s="8"/>
      <c r="O39" s="194"/>
      <c r="P39" s="195"/>
    </row>
    <row r="40" spans="1:16">
      <c r="A40" s="3"/>
      <c r="B40" s="3" t="str">
        <f>TEXT(Tabela22345[[#This Row],[DATA]],"mmmm")</f>
        <v>janeiro</v>
      </c>
      <c r="C40" s="2"/>
      <c r="D40" s="2"/>
      <c r="E40" s="2"/>
      <c r="F40" s="2"/>
      <c r="G40" s="173"/>
      <c r="H40" s="174"/>
      <c r="I40" s="173" t="e">
        <f>Tabela22[[#This Row],[PESO TOTAL]]/Tabela22[[#This Row],[QUANTIDADE]]</f>
        <v>#DIV/0!</v>
      </c>
      <c r="J40" s="2"/>
      <c r="K40" s="193"/>
      <c r="L40" s="8"/>
      <c r="M40" s="8"/>
      <c r="N40" s="8"/>
      <c r="O40" s="194"/>
      <c r="P40" s="195"/>
    </row>
    <row r="41" spans="1:16">
      <c r="A41" s="3"/>
      <c r="B41" s="3" t="str">
        <f>TEXT(Tabela22345[[#This Row],[DATA]],"mmmm")</f>
        <v>janeiro</v>
      </c>
      <c r="C41" s="2"/>
      <c r="D41" s="2"/>
      <c r="E41" s="2"/>
      <c r="F41" s="2"/>
      <c r="G41" s="173"/>
      <c r="H41" s="174"/>
      <c r="I41" s="173" t="e">
        <f>Tabela22[[#This Row],[PESO TOTAL]]/Tabela22[[#This Row],[QUANTIDADE]]</f>
        <v>#DIV/0!</v>
      </c>
      <c r="J41" s="2"/>
      <c r="K41" s="193"/>
      <c r="L41" s="8"/>
      <c r="M41" s="8"/>
      <c r="N41" s="8"/>
      <c r="O41" s="194"/>
      <c r="P41" s="195"/>
    </row>
    <row r="42" spans="1:16">
      <c r="A42" s="3"/>
      <c r="B42" s="3" t="str">
        <f>TEXT(Tabela22345[[#This Row],[DATA]],"mmmm")</f>
        <v>janeiro</v>
      </c>
      <c r="C42" s="2"/>
      <c r="D42" s="2"/>
      <c r="E42" s="2"/>
      <c r="F42" s="2"/>
      <c r="G42" s="173"/>
      <c r="H42" s="174"/>
      <c r="I42" s="173" t="e">
        <f>Tabela22[[#This Row],[PESO TOTAL]]/Tabela22[[#This Row],[QUANTIDADE]]</f>
        <v>#DIV/0!</v>
      </c>
      <c r="J42" s="2"/>
      <c r="K42" s="193"/>
      <c r="L42" s="8"/>
      <c r="M42" s="8"/>
      <c r="N42" s="8"/>
      <c r="O42" s="194"/>
      <c r="P42" s="195"/>
    </row>
    <row r="43" spans="1:16">
      <c r="A43" s="3"/>
      <c r="B43" s="3" t="str">
        <f>TEXT(Tabela22345[[#This Row],[DATA]],"mmmm")</f>
        <v>janeiro</v>
      </c>
      <c r="C43" s="2"/>
      <c r="D43" s="2"/>
      <c r="E43" s="2"/>
      <c r="F43" s="2"/>
      <c r="G43" s="173"/>
      <c r="H43" s="174"/>
      <c r="I43" s="173" t="e">
        <f>Tabela22[[#This Row],[PESO TOTAL]]/Tabela22[[#This Row],[QUANTIDADE]]</f>
        <v>#DIV/0!</v>
      </c>
      <c r="J43" s="2"/>
      <c r="K43" s="193"/>
      <c r="L43" s="8"/>
      <c r="M43" s="8"/>
      <c r="N43" s="8"/>
      <c r="O43" s="194"/>
      <c r="P43" s="195"/>
    </row>
    <row r="44" spans="1:16">
      <c r="A44" s="3"/>
      <c r="B44" s="3" t="str">
        <f>TEXT(Tabela22345[[#This Row],[DATA]],"mmmm")</f>
        <v>janeiro</v>
      </c>
      <c r="C44" s="2"/>
      <c r="D44" s="2"/>
      <c r="E44" s="2"/>
      <c r="F44" s="2"/>
      <c r="G44" s="173"/>
      <c r="H44" s="174"/>
      <c r="I44" s="173" t="e">
        <f>Tabela22[[#This Row],[PESO TOTAL]]/Tabela22[[#This Row],[QUANTIDADE]]</f>
        <v>#DIV/0!</v>
      </c>
      <c r="J44" s="2"/>
      <c r="K44" s="193"/>
      <c r="L44" s="8"/>
      <c r="M44" s="8"/>
      <c r="N44" s="8"/>
      <c r="O44" s="194"/>
      <c r="P44" s="195"/>
    </row>
    <row r="45" spans="1:16">
      <c r="A45" s="3"/>
      <c r="B45" s="3" t="str">
        <f>TEXT(Tabela22345[[#This Row],[DATA]],"mmmm")</f>
        <v>janeiro</v>
      </c>
      <c r="C45" s="2"/>
      <c r="D45" s="2"/>
      <c r="E45" s="2"/>
      <c r="F45" s="2"/>
      <c r="G45" s="173"/>
      <c r="H45" s="174"/>
      <c r="I45" s="173" t="e">
        <f>Tabela22[[#This Row],[PESO TOTAL]]/Tabela22[[#This Row],[QUANTIDADE]]</f>
        <v>#DIV/0!</v>
      </c>
      <c r="J45" s="2"/>
      <c r="K45" s="193"/>
      <c r="L45" s="8"/>
      <c r="M45" s="8"/>
      <c r="N45" s="8"/>
      <c r="O45" s="194"/>
      <c r="P45" s="195"/>
    </row>
    <row r="46" spans="1:16">
      <c r="A46" s="3"/>
      <c r="B46" s="3" t="str">
        <f>TEXT(Tabela22345[[#This Row],[DATA]],"mmmm")</f>
        <v>janeiro</v>
      </c>
      <c r="C46" s="2"/>
      <c r="D46" s="2"/>
      <c r="E46" s="2"/>
      <c r="F46" s="2"/>
      <c r="G46" s="173"/>
      <c r="H46" s="174"/>
      <c r="I46" s="173" t="e">
        <f>Tabela22[[#This Row],[PESO TOTAL]]/Tabela22[[#This Row],[QUANTIDADE]]</f>
        <v>#DIV/0!</v>
      </c>
      <c r="J46" s="2"/>
      <c r="K46" s="193"/>
      <c r="L46" s="8"/>
      <c r="M46" s="8"/>
      <c r="N46" s="8"/>
      <c r="O46" s="194"/>
      <c r="P46" s="195"/>
    </row>
    <row r="47" spans="1:16">
      <c r="A47" s="3"/>
      <c r="B47" s="3" t="str">
        <f>TEXT(Tabela22345[[#This Row],[DATA]],"mmmm")</f>
        <v>janeiro</v>
      </c>
      <c r="C47" s="2"/>
      <c r="D47" s="2"/>
      <c r="E47" s="2"/>
      <c r="F47" s="2"/>
      <c r="G47" s="173"/>
      <c r="H47" s="174"/>
      <c r="I47" s="173" t="e">
        <f>Tabela22[[#This Row],[PESO TOTAL]]/Tabela22[[#This Row],[QUANTIDADE]]</f>
        <v>#DIV/0!</v>
      </c>
      <c r="J47" s="2"/>
      <c r="K47" s="193"/>
      <c r="L47" s="8"/>
      <c r="M47" s="8"/>
      <c r="N47" s="8"/>
      <c r="O47" s="194"/>
      <c r="P47" s="195"/>
    </row>
    <row r="48" spans="1:16">
      <c r="A48" s="3"/>
      <c r="B48" s="3" t="str">
        <f>TEXT(Tabela22345[[#This Row],[DATA]],"mmmm")</f>
        <v>janeiro</v>
      </c>
      <c r="C48" s="2"/>
      <c r="D48" s="2"/>
      <c r="E48" s="2"/>
      <c r="F48" s="2"/>
      <c r="G48" s="173"/>
      <c r="H48" s="174"/>
      <c r="I48" s="173" t="e">
        <f>Tabela22[[#This Row],[PESO TOTAL]]/Tabela22[[#This Row],[QUANTIDADE]]</f>
        <v>#DIV/0!</v>
      </c>
      <c r="J48" s="2"/>
      <c r="K48" s="193"/>
      <c r="L48" s="8"/>
      <c r="M48" s="8"/>
      <c r="N48" s="8"/>
      <c r="O48" s="194"/>
      <c r="P48" s="195"/>
    </row>
    <row r="49" spans="1:16">
      <c r="A49" s="3"/>
      <c r="B49" s="3" t="str">
        <f>TEXT(Tabela22345[[#This Row],[DATA]],"mmmm")</f>
        <v>janeiro</v>
      </c>
      <c r="C49" s="2"/>
      <c r="D49" s="2"/>
      <c r="E49" s="2"/>
      <c r="F49" s="2"/>
      <c r="G49" s="173"/>
      <c r="H49" s="174"/>
      <c r="I49" s="173" t="e">
        <f>Tabela22[[#This Row],[PESO TOTAL]]/Tabela22[[#This Row],[QUANTIDADE]]</f>
        <v>#DIV/0!</v>
      </c>
      <c r="J49" s="2"/>
      <c r="K49" s="193"/>
      <c r="L49" s="8"/>
      <c r="M49" s="8"/>
      <c r="N49" s="8"/>
      <c r="O49" s="194"/>
      <c r="P49" s="195"/>
    </row>
    <row r="50" spans="1:16">
      <c r="A50" s="3"/>
      <c r="B50" s="3" t="str">
        <f>TEXT(Tabela22345[[#This Row],[DATA]],"mmmm")</f>
        <v>janeiro</v>
      </c>
      <c r="C50" s="2"/>
      <c r="D50" s="2"/>
      <c r="E50" s="2"/>
      <c r="F50" s="2"/>
      <c r="G50" s="173"/>
      <c r="H50" s="174"/>
      <c r="I50" s="173" t="e">
        <f>Tabela22[[#This Row],[PESO TOTAL]]/Tabela22[[#This Row],[QUANTIDADE]]</f>
        <v>#DIV/0!</v>
      </c>
      <c r="J50" s="2"/>
      <c r="K50" s="193"/>
      <c r="L50" s="8"/>
      <c r="M50" s="8"/>
      <c r="N50" s="8"/>
      <c r="O50" s="194"/>
      <c r="P50" s="195"/>
    </row>
    <row r="51" spans="1:16">
      <c r="A51" s="3"/>
      <c r="B51" s="3" t="str">
        <f>TEXT(Tabela22345[[#This Row],[DATA]],"mmmm")</f>
        <v>janeiro</v>
      </c>
      <c r="C51" s="2"/>
      <c r="D51" s="2"/>
      <c r="E51" s="2"/>
      <c r="F51" s="2"/>
      <c r="G51" s="173"/>
      <c r="H51" s="174"/>
      <c r="I51" s="173" t="e">
        <f>Tabela22[[#This Row],[PESO TOTAL]]/Tabela22[[#This Row],[QUANTIDADE]]</f>
        <v>#DIV/0!</v>
      </c>
      <c r="J51" s="2"/>
      <c r="K51" s="193"/>
      <c r="L51" s="8"/>
      <c r="M51" s="8"/>
      <c r="N51" s="8"/>
      <c r="O51" s="194"/>
      <c r="P51" s="195"/>
    </row>
    <row r="52" spans="1:16">
      <c r="A52" s="3"/>
      <c r="B52" s="3" t="str">
        <f>TEXT(Tabela22345[[#This Row],[DATA]],"mmmm")</f>
        <v>janeiro</v>
      </c>
      <c r="C52" s="2"/>
      <c r="D52" s="2"/>
      <c r="E52" s="2"/>
      <c r="F52" s="2"/>
      <c r="G52" s="173"/>
      <c r="H52" s="174"/>
      <c r="I52" s="173" t="e">
        <f>Tabela22[[#This Row],[PESO TOTAL]]/Tabela22[[#This Row],[QUANTIDADE]]</f>
        <v>#DIV/0!</v>
      </c>
      <c r="J52" s="2"/>
      <c r="K52" s="193"/>
      <c r="L52" s="8"/>
      <c r="M52" s="8"/>
      <c r="N52" s="8"/>
      <c r="O52" s="194"/>
      <c r="P52" s="195"/>
    </row>
    <row r="53" spans="1:16">
      <c r="A53" s="3"/>
      <c r="B53" s="3" t="str">
        <f>TEXT(Tabela22345[[#This Row],[DATA]],"mmmm")</f>
        <v>janeiro</v>
      </c>
      <c r="C53" s="2"/>
      <c r="D53" s="2"/>
      <c r="E53" s="2"/>
      <c r="F53" s="2"/>
      <c r="G53" s="173"/>
      <c r="H53" s="174"/>
      <c r="I53" s="173" t="e">
        <f>Tabela22[[#This Row],[PESO TOTAL]]/Tabela22[[#This Row],[QUANTIDADE]]</f>
        <v>#DIV/0!</v>
      </c>
      <c r="J53" s="2"/>
      <c r="K53" s="193"/>
      <c r="L53" s="8"/>
      <c r="M53" s="8"/>
      <c r="N53" s="8"/>
      <c r="O53" s="194"/>
      <c r="P53" s="195"/>
    </row>
    <row r="54" spans="1:16">
      <c r="A54" s="3"/>
      <c r="B54" s="3" t="str">
        <f>TEXT(Tabela22345[[#This Row],[DATA]],"mmmm")</f>
        <v>janeiro</v>
      </c>
      <c r="C54" s="2"/>
      <c r="D54" s="2"/>
      <c r="E54" s="2"/>
      <c r="F54" s="2"/>
      <c r="G54" s="173"/>
      <c r="H54" s="174"/>
      <c r="I54" s="173" t="e">
        <f>Tabela22[[#This Row],[PESO TOTAL]]/Tabela22[[#This Row],[QUANTIDADE]]</f>
        <v>#DIV/0!</v>
      </c>
      <c r="J54" s="2"/>
      <c r="K54" s="193"/>
      <c r="L54" s="8"/>
      <c r="M54" s="8"/>
      <c r="N54" s="8"/>
      <c r="O54" s="194"/>
      <c r="P54" s="195"/>
    </row>
    <row r="55" spans="1:16">
      <c r="A55" s="3"/>
      <c r="B55" s="3" t="str">
        <f>TEXT(Tabela22345[[#This Row],[DATA]],"mmmm")</f>
        <v>janeiro</v>
      </c>
      <c r="C55" s="2"/>
      <c r="D55" s="2"/>
      <c r="E55" s="2"/>
      <c r="F55" s="2"/>
      <c r="G55" s="173"/>
      <c r="H55" s="174"/>
      <c r="I55" s="173" t="e">
        <f>Tabela22[[#This Row],[PESO TOTAL]]/Tabela22[[#This Row],[QUANTIDADE]]</f>
        <v>#DIV/0!</v>
      </c>
      <c r="J55" s="2"/>
      <c r="K55" s="193"/>
      <c r="L55" s="8"/>
      <c r="M55" s="8"/>
      <c r="N55" s="8"/>
      <c r="O55" s="194"/>
      <c r="P55" s="195"/>
    </row>
    <row r="56" spans="1:16">
      <c r="A56" s="3"/>
      <c r="B56" s="3" t="str">
        <f>TEXT(Tabela22345[[#This Row],[DATA]],"mmmm")</f>
        <v>janeiro</v>
      </c>
      <c r="C56" s="2"/>
      <c r="D56" s="2"/>
      <c r="E56" s="2"/>
      <c r="F56" s="2"/>
      <c r="G56" s="173"/>
      <c r="H56" s="174"/>
      <c r="I56" s="173" t="e">
        <f>Tabela22[[#This Row],[PESO TOTAL]]/Tabela22[[#This Row],[QUANTIDADE]]</f>
        <v>#DIV/0!</v>
      </c>
      <c r="J56" s="2"/>
      <c r="K56" s="193"/>
      <c r="L56" s="8"/>
      <c r="M56" s="8"/>
      <c r="N56" s="8"/>
      <c r="O56" s="194"/>
      <c r="P56" s="195"/>
    </row>
    <row r="57" spans="1:16">
      <c r="A57" s="3"/>
      <c r="B57" s="3" t="str">
        <f>TEXT(Tabela22345[[#This Row],[DATA]],"mmmm")</f>
        <v>janeiro</v>
      </c>
      <c r="C57" s="2"/>
      <c r="D57" s="2"/>
      <c r="E57" s="2"/>
      <c r="F57" s="2"/>
      <c r="G57" s="173"/>
      <c r="H57" s="174"/>
      <c r="I57" s="173" t="e">
        <f>Tabela22[[#This Row],[PESO TOTAL]]/Tabela22[[#This Row],[QUANTIDADE]]</f>
        <v>#DIV/0!</v>
      </c>
      <c r="J57" s="2"/>
      <c r="K57" s="193"/>
      <c r="L57" s="8"/>
      <c r="M57" s="8"/>
      <c r="N57" s="8"/>
      <c r="O57" s="194"/>
      <c r="P57" s="195"/>
    </row>
    <row r="58" spans="1:16">
      <c r="A58" s="3"/>
      <c r="B58" s="3" t="str">
        <f>TEXT(Tabela22345[[#This Row],[DATA]],"mmmm")</f>
        <v>janeiro</v>
      </c>
      <c r="C58" s="2"/>
      <c r="D58" s="2"/>
      <c r="E58" s="2"/>
      <c r="F58" s="2"/>
      <c r="G58" s="173"/>
      <c r="H58" s="174"/>
      <c r="I58" s="173" t="e">
        <f>Tabela22[[#This Row],[PESO TOTAL]]/Tabela22[[#This Row],[QUANTIDADE]]</f>
        <v>#DIV/0!</v>
      </c>
      <c r="J58" s="2"/>
      <c r="K58" s="193"/>
      <c r="L58" s="8"/>
      <c r="M58" s="8"/>
      <c r="N58" s="8"/>
      <c r="O58" s="194"/>
      <c r="P58" s="195"/>
    </row>
    <row r="59" spans="1:16">
      <c r="A59" s="3"/>
      <c r="B59" s="3" t="str">
        <f>TEXT(Tabela22345[[#This Row],[DATA]],"mmmm")</f>
        <v>janeiro</v>
      </c>
      <c r="C59" s="2"/>
      <c r="D59" s="2"/>
      <c r="E59" s="2"/>
      <c r="F59" s="2"/>
      <c r="G59" s="173"/>
      <c r="H59" s="174"/>
      <c r="I59" s="173" t="e">
        <f>Tabela22[[#This Row],[PESO TOTAL]]/Tabela22[[#This Row],[QUANTIDADE]]</f>
        <v>#DIV/0!</v>
      </c>
      <c r="J59" s="2"/>
      <c r="K59" s="193"/>
      <c r="L59" s="8"/>
      <c r="M59" s="8"/>
      <c r="N59" s="8"/>
      <c r="O59" s="194"/>
      <c r="P59" s="195"/>
    </row>
    <row r="60" spans="1:16">
      <c r="A60" s="3"/>
      <c r="B60" s="3" t="str">
        <f>TEXT(Tabela22345[[#This Row],[DATA]],"mmmm")</f>
        <v>janeiro</v>
      </c>
      <c r="C60" s="2"/>
      <c r="D60" s="2"/>
      <c r="E60" s="2"/>
      <c r="F60" s="2"/>
      <c r="G60" s="173"/>
      <c r="H60" s="174"/>
      <c r="I60" s="173" t="e">
        <f>Tabela22[[#This Row],[PESO TOTAL]]/Tabela22[[#This Row],[QUANTIDADE]]</f>
        <v>#DIV/0!</v>
      </c>
      <c r="J60" s="2"/>
      <c r="K60" s="193"/>
      <c r="L60" s="8"/>
      <c r="M60" s="8"/>
      <c r="N60" s="8"/>
      <c r="O60" s="194"/>
      <c r="P60" s="195"/>
    </row>
    <row r="61" spans="1:16">
      <c r="A61" s="3"/>
      <c r="B61" s="3" t="str">
        <f>TEXT(Tabela22345[[#This Row],[DATA]],"mmmm")</f>
        <v>janeiro</v>
      </c>
      <c r="C61" s="2"/>
      <c r="D61" s="2"/>
      <c r="E61" s="2"/>
      <c r="F61" s="2"/>
      <c r="G61" s="173"/>
      <c r="H61" s="174"/>
      <c r="I61" s="173" t="e">
        <f>Tabela22[[#This Row],[PESO TOTAL]]/Tabela22[[#This Row],[QUANTIDADE]]</f>
        <v>#DIV/0!</v>
      </c>
      <c r="J61" s="2"/>
      <c r="K61" s="193"/>
      <c r="L61" s="8"/>
      <c r="M61" s="8"/>
      <c r="N61" s="8"/>
      <c r="O61" s="194"/>
      <c r="P61" s="195"/>
    </row>
    <row r="62" spans="1:16">
      <c r="A62" s="3"/>
      <c r="B62" s="3" t="str">
        <f>TEXT(Tabela22345[[#This Row],[DATA]],"mmmm")</f>
        <v>janeiro</v>
      </c>
      <c r="C62" s="2"/>
      <c r="D62" s="2"/>
      <c r="E62" s="2"/>
      <c r="F62" s="2"/>
      <c r="G62" s="173"/>
      <c r="H62" s="174"/>
      <c r="I62" s="173" t="e">
        <f>Tabela22[[#This Row],[PESO TOTAL]]/Tabela22[[#This Row],[QUANTIDADE]]</f>
        <v>#DIV/0!</v>
      </c>
      <c r="J62" s="2"/>
      <c r="K62" s="193"/>
      <c r="L62" s="8"/>
      <c r="M62" s="8"/>
      <c r="N62" s="8"/>
      <c r="O62" s="194"/>
      <c r="P62" s="195"/>
    </row>
    <row r="63" spans="1:16">
      <c r="A63" s="3"/>
      <c r="B63" s="3" t="str">
        <f>TEXT(Tabela22345[[#This Row],[DATA]],"mmmm")</f>
        <v>janeiro</v>
      </c>
      <c r="C63" s="2"/>
      <c r="D63" s="2"/>
      <c r="E63" s="2"/>
      <c r="F63" s="2"/>
      <c r="G63" s="173"/>
      <c r="H63" s="174"/>
      <c r="I63" s="173" t="e">
        <f>Tabela22[[#This Row],[PESO TOTAL]]/Tabela22[[#This Row],[QUANTIDADE]]</f>
        <v>#DIV/0!</v>
      </c>
      <c r="J63" s="2"/>
      <c r="K63" s="193"/>
      <c r="L63" s="8"/>
      <c r="M63" s="8"/>
      <c r="N63" s="8"/>
      <c r="O63" s="194"/>
      <c r="P63" s="195"/>
    </row>
    <row r="64" spans="1:16">
      <c r="A64" s="3"/>
      <c r="B64" s="3" t="str">
        <f>TEXT(Tabela22345[[#This Row],[DATA]],"mmmm")</f>
        <v>janeiro</v>
      </c>
      <c r="C64" s="2"/>
      <c r="D64" s="2"/>
      <c r="E64" s="2"/>
      <c r="F64" s="2"/>
      <c r="G64" s="173"/>
      <c r="H64" s="174"/>
      <c r="I64" s="173" t="e">
        <f>Tabela22[[#This Row],[PESO TOTAL]]/Tabela22[[#This Row],[QUANTIDADE]]</f>
        <v>#DIV/0!</v>
      </c>
      <c r="J64" s="2"/>
      <c r="K64" s="193"/>
      <c r="L64" s="8"/>
      <c r="M64" s="8"/>
      <c r="N64" s="8"/>
      <c r="O64" s="194"/>
      <c r="P64" s="195"/>
    </row>
    <row r="65" spans="1:16">
      <c r="A65" s="3"/>
      <c r="B65" s="3" t="str">
        <f>TEXT(Tabela22345[[#This Row],[DATA]],"mmmm")</f>
        <v>janeiro</v>
      </c>
      <c r="C65" s="2"/>
      <c r="D65" s="2"/>
      <c r="E65" s="2"/>
      <c r="F65" s="2"/>
      <c r="G65" s="173"/>
      <c r="H65" s="174"/>
      <c r="I65" s="173" t="e">
        <f>Tabela22[[#This Row],[PESO TOTAL]]/Tabela22[[#This Row],[QUANTIDADE]]</f>
        <v>#DIV/0!</v>
      </c>
      <c r="J65" s="2"/>
      <c r="K65" s="193"/>
      <c r="L65" s="8"/>
      <c r="M65" s="8"/>
      <c r="N65" s="8"/>
      <c r="O65" s="194"/>
      <c r="P65" s="195"/>
    </row>
    <row r="66" spans="1:16">
      <c r="A66" s="3"/>
      <c r="B66" s="3" t="str">
        <f>TEXT(Tabela22345[[#This Row],[DATA]],"mmmm")</f>
        <v>janeiro</v>
      </c>
      <c r="C66" s="2"/>
      <c r="D66" s="2"/>
      <c r="E66" s="2"/>
      <c r="F66" s="2"/>
      <c r="G66" s="173"/>
      <c r="H66" s="174"/>
      <c r="I66" s="173" t="e">
        <f>Tabela22[[#This Row],[PESO TOTAL]]/Tabela22[[#This Row],[QUANTIDADE]]</f>
        <v>#DIV/0!</v>
      </c>
      <c r="J66" s="2"/>
      <c r="K66" s="193"/>
      <c r="L66" s="8"/>
      <c r="M66" s="8"/>
      <c r="N66" s="8"/>
      <c r="O66" s="194"/>
      <c r="P66" s="195"/>
    </row>
    <row r="67" spans="1:16">
      <c r="A67" s="3"/>
      <c r="B67" s="3" t="str">
        <f>TEXT(Tabela22345[[#This Row],[DATA]],"mmmm")</f>
        <v>janeiro</v>
      </c>
      <c r="C67" s="2"/>
      <c r="D67" s="2"/>
      <c r="E67" s="2"/>
      <c r="F67" s="2"/>
      <c r="G67" s="173"/>
      <c r="H67" s="174"/>
      <c r="I67" s="173" t="e">
        <f>Tabela22[[#This Row],[PESO TOTAL]]/Tabela22[[#This Row],[QUANTIDADE]]</f>
        <v>#DIV/0!</v>
      </c>
      <c r="J67" s="2"/>
      <c r="K67" s="193"/>
      <c r="L67" s="8"/>
      <c r="M67" s="8"/>
      <c r="N67" s="8"/>
      <c r="O67" s="194"/>
      <c r="P67" s="195"/>
    </row>
    <row r="68" spans="1:16">
      <c r="A68" s="3"/>
      <c r="B68" s="3" t="str">
        <f>TEXT(Tabela22345[[#This Row],[DATA]],"mmmm")</f>
        <v>janeiro</v>
      </c>
      <c r="C68" s="2"/>
      <c r="D68" s="2"/>
      <c r="E68" s="2"/>
      <c r="F68" s="2"/>
      <c r="G68" s="173"/>
      <c r="H68" s="174"/>
      <c r="I68" s="173" t="e">
        <f>Tabela22[[#This Row],[PESO TOTAL]]/Tabela22[[#This Row],[QUANTIDADE]]</f>
        <v>#DIV/0!</v>
      </c>
      <c r="J68" s="2"/>
      <c r="K68" s="193"/>
      <c r="L68" s="8"/>
      <c r="M68" s="8"/>
      <c r="N68" s="8"/>
      <c r="O68" s="194"/>
      <c r="P68" s="195"/>
    </row>
    <row r="69" spans="1:16">
      <c r="A69" s="3"/>
      <c r="B69" s="3" t="str">
        <f>TEXT(Tabela22345[[#This Row],[DATA]],"mmmm")</f>
        <v>janeiro</v>
      </c>
      <c r="C69" s="2"/>
      <c r="D69" s="2"/>
      <c r="E69" s="2"/>
      <c r="F69" s="2"/>
      <c r="G69" s="173"/>
      <c r="H69" s="174"/>
      <c r="I69" s="173" t="e">
        <f>Tabela22[[#This Row],[PESO TOTAL]]/Tabela22[[#This Row],[QUANTIDADE]]</f>
        <v>#DIV/0!</v>
      </c>
      <c r="J69" s="2"/>
      <c r="K69" s="193"/>
      <c r="L69" s="8"/>
      <c r="M69" s="8"/>
      <c r="N69" s="8"/>
      <c r="O69" s="194"/>
      <c r="P69" s="195"/>
    </row>
    <row r="70" spans="1:16">
      <c r="A70" s="3"/>
      <c r="B70" s="3" t="str">
        <f>TEXT(Tabela22345[[#This Row],[DATA]],"mmmm")</f>
        <v>janeiro</v>
      </c>
      <c r="C70" s="2"/>
      <c r="D70" s="2"/>
      <c r="E70" s="2"/>
      <c r="F70" s="2"/>
      <c r="G70" s="173"/>
      <c r="H70" s="174"/>
      <c r="I70" s="173" t="e">
        <f>Tabela22[[#This Row],[PESO TOTAL]]/Tabela22[[#This Row],[QUANTIDADE]]</f>
        <v>#DIV/0!</v>
      </c>
      <c r="J70" s="2"/>
      <c r="K70" s="193"/>
      <c r="L70" s="8"/>
      <c r="M70" s="8"/>
      <c r="N70" s="8"/>
      <c r="O70" s="194"/>
      <c r="P70" s="195"/>
    </row>
    <row r="71" spans="1:16">
      <c r="A71" s="3"/>
      <c r="B71" s="3" t="str">
        <f>TEXT(Tabela22345[[#This Row],[DATA]],"mmmm")</f>
        <v>janeiro</v>
      </c>
      <c r="C71" s="2"/>
      <c r="D71" s="2"/>
      <c r="E71" s="2"/>
      <c r="F71" s="2"/>
      <c r="G71" s="173"/>
      <c r="H71" s="174"/>
      <c r="I71" s="173" t="e">
        <f>Tabela22[[#This Row],[PESO TOTAL]]/Tabela22[[#This Row],[QUANTIDADE]]</f>
        <v>#DIV/0!</v>
      </c>
      <c r="J71" s="2"/>
      <c r="K71" s="193"/>
      <c r="L71" s="8"/>
      <c r="M71" s="8"/>
      <c r="N71" s="8"/>
      <c r="O71" s="194"/>
      <c r="P71" s="195"/>
    </row>
    <row r="72" spans="1:16">
      <c r="A72" s="3"/>
      <c r="B72" s="3" t="str">
        <f>TEXT(Tabela22345[[#This Row],[DATA]],"mmmm")</f>
        <v>janeiro</v>
      </c>
      <c r="C72" s="2"/>
      <c r="D72" s="2"/>
      <c r="E72" s="2"/>
      <c r="F72" s="2"/>
      <c r="G72" s="173"/>
      <c r="H72" s="174"/>
      <c r="I72" s="173" t="e">
        <f>Tabela22[[#This Row],[PESO TOTAL]]/Tabela22[[#This Row],[QUANTIDADE]]</f>
        <v>#DIV/0!</v>
      </c>
      <c r="J72" s="2"/>
      <c r="K72" s="193"/>
      <c r="L72" s="8"/>
      <c r="M72" s="8"/>
      <c r="N72" s="8"/>
      <c r="O72" s="194"/>
      <c r="P72" s="195"/>
    </row>
    <row r="73" spans="1:16">
      <c r="A73" s="3"/>
      <c r="B73" s="3" t="str">
        <f>TEXT(Tabela22345[[#This Row],[DATA]],"mmmm")</f>
        <v>janeiro</v>
      </c>
      <c r="C73" s="2"/>
      <c r="D73" s="2"/>
      <c r="E73" s="2"/>
      <c r="F73" s="2"/>
      <c r="G73" s="173"/>
      <c r="H73" s="174"/>
      <c r="I73" s="173" t="e">
        <f>Tabela22[[#This Row],[PESO TOTAL]]/Tabela22[[#This Row],[QUANTIDADE]]</f>
        <v>#DIV/0!</v>
      </c>
      <c r="J73" s="2"/>
      <c r="K73" s="193"/>
      <c r="L73" s="8"/>
      <c r="M73" s="8"/>
      <c r="N73" s="8"/>
      <c r="O73" s="194"/>
      <c r="P73" s="195"/>
    </row>
    <row r="74" spans="1:16">
      <c r="A74" s="3"/>
      <c r="B74" s="3" t="str">
        <f>TEXT(Tabela22345[[#This Row],[DATA]],"mmmm")</f>
        <v>janeiro</v>
      </c>
      <c r="C74" s="2"/>
      <c r="D74" s="2"/>
      <c r="E74" s="2"/>
      <c r="F74" s="2"/>
      <c r="G74" s="173"/>
      <c r="H74" s="174"/>
      <c r="I74" s="173" t="e">
        <f>Tabela22[[#This Row],[PESO TOTAL]]/Tabela22[[#This Row],[QUANTIDADE]]</f>
        <v>#DIV/0!</v>
      </c>
      <c r="J74" s="2"/>
      <c r="K74" s="193"/>
      <c r="L74" s="8"/>
      <c r="M74" s="8"/>
      <c r="N74" s="8"/>
      <c r="O74" s="194"/>
      <c r="P74" s="195"/>
    </row>
    <row r="75" spans="1:16">
      <c r="A75" s="3"/>
      <c r="B75" s="3" t="str">
        <f>TEXT(Tabela22345[[#This Row],[DATA]],"mmmm")</f>
        <v>janeiro</v>
      </c>
      <c r="C75" s="2"/>
      <c r="D75" s="2"/>
      <c r="E75" s="2"/>
      <c r="F75" s="2"/>
      <c r="G75" s="173"/>
      <c r="H75" s="174"/>
      <c r="I75" s="173" t="e">
        <f>Tabela22[[#This Row],[PESO TOTAL]]/Tabela22[[#This Row],[QUANTIDADE]]</f>
        <v>#DIV/0!</v>
      </c>
      <c r="J75" s="2"/>
      <c r="K75" s="193"/>
      <c r="L75" s="8"/>
      <c r="M75" s="8"/>
      <c r="N75" s="8"/>
      <c r="O75" s="194"/>
      <c r="P75" s="195"/>
    </row>
    <row r="76" spans="1:16">
      <c r="A76" s="3"/>
      <c r="B76" s="3" t="str">
        <f>TEXT(Tabela22345[[#This Row],[DATA]],"mmmm")</f>
        <v>janeiro</v>
      </c>
      <c r="C76" s="2"/>
      <c r="D76" s="2"/>
      <c r="E76" s="2"/>
      <c r="F76" s="2"/>
      <c r="G76" s="173"/>
      <c r="H76" s="174"/>
      <c r="I76" s="173" t="e">
        <f>Tabela22[[#This Row],[PESO TOTAL]]/Tabela22[[#This Row],[QUANTIDADE]]</f>
        <v>#DIV/0!</v>
      </c>
      <c r="J76" s="2"/>
      <c r="K76" s="193"/>
      <c r="L76" s="8"/>
      <c r="M76" s="8"/>
      <c r="N76" s="8"/>
      <c r="O76" s="194"/>
      <c r="P76" s="195"/>
    </row>
    <row r="77" spans="1:16">
      <c r="A77" s="3"/>
      <c r="B77" s="3" t="str">
        <f>TEXT(Tabela22345[[#This Row],[DATA]],"mmmm")</f>
        <v>janeiro</v>
      </c>
      <c r="C77" s="2"/>
      <c r="D77" s="2"/>
      <c r="E77" s="2"/>
      <c r="F77" s="2"/>
      <c r="G77" s="173"/>
      <c r="H77" s="174"/>
      <c r="I77" s="173" t="e">
        <f>Tabela22[[#This Row],[PESO TOTAL]]/Tabela22[[#This Row],[QUANTIDADE]]</f>
        <v>#DIV/0!</v>
      </c>
      <c r="J77" s="2"/>
      <c r="K77" s="193"/>
      <c r="L77" s="8"/>
      <c r="M77" s="8"/>
      <c r="N77" s="8"/>
      <c r="O77" s="194"/>
      <c r="P77" s="195"/>
    </row>
    <row r="78" spans="1:16">
      <c r="A78" s="3"/>
      <c r="B78" s="3" t="str">
        <f>TEXT(Tabela22345[[#This Row],[DATA]],"mmmm")</f>
        <v>janeiro</v>
      </c>
      <c r="C78" s="2"/>
      <c r="D78" s="2"/>
      <c r="E78" s="2"/>
      <c r="F78" s="2"/>
      <c r="G78" s="173"/>
      <c r="H78" s="174"/>
      <c r="I78" s="173" t="e">
        <f>Tabela22[[#This Row],[PESO TOTAL]]/Tabela22[[#This Row],[QUANTIDADE]]</f>
        <v>#DIV/0!</v>
      </c>
      <c r="J78" s="2"/>
      <c r="K78" s="193"/>
      <c r="L78" s="8"/>
      <c r="M78" s="8"/>
      <c r="N78" s="8"/>
      <c r="O78" s="194"/>
      <c r="P78" s="195"/>
    </row>
    <row r="79" spans="1:16">
      <c r="A79" s="3"/>
      <c r="B79" s="3" t="str">
        <f>TEXT(Tabela22345[[#This Row],[DATA]],"mmmm")</f>
        <v>janeiro</v>
      </c>
      <c r="C79" s="2"/>
      <c r="D79" s="2"/>
      <c r="E79" s="2"/>
      <c r="F79" s="2"/>
      <c r="G79" s="173"/>
      <c r="H79" s="174"/>
      <c r="I79" s="173" t="e">
        <f>Tabela22[[#This Row],[PESO TOTAL]]/Tabela22[[#This Row],[QUANTIDADE]]</f>
        <v>#DIV/0!</v>
      </c>
      <c r="J79" s="2"/>
      <c r="K79" s="193"/>
      <c r="L79" s="8"/>
      <c r="M79" s="8"/>
      <c r="N79" s="8"/>
      <c r="O79" s="194"/>
      <c r="P79" s="195"/>
    </row>
    <row r="80" spans="1:16">
      <c r="A80" s="3"/>
      <c r="B80" s="3" t="str">
        <f>TEXT(Tabela22345[[#This Row],[DATA]],"mmmm")</f>
        <v>janeiro</v>
      </c>
      <c r="C80" s="2"/>
      <c r="D80" s="2"/>
      <c r="E80" s="2"/>
      <c r="F80" s="2"/>
      <c r="G80" s="173"/>
      <c r="H80" s="174"/>
      <c r="I80" s="173" t="e">
        <f>Tabela22[[#This Row],[PESO TOTAL]]/Tabela22[[#This Row],[QUANTIDADE]]</f>
        <v>#DIV/0!</v>
      </c>
      <c r="J80" s="2"/>
      <c r="K80" s="193"/>
      <c r="L80" s="8"/>
      <c r="M80" s="8"/>
      <c r="N80" s="8"/>
      <c r="O80" s="194"/>
      <c r="P80" s="195"/>
    </row>
    <row r="81" spans="1:16">
      <c r="A81" s="3"/>
      <c r="B81" s="3" t="str">
        <f>TEXT(Tabela22345[[#This Row],[DATA]],"mmmm")</f>
        <v>janeiro</v>
      </c>
      <c r="C81" s="2"/>
      <c r="D81" s="2"/>
      <c r="E81" s="2"/>
      <c r="F81" s="2"/>
      <c r="G81" s="173"/>
      <c r="H81" s="174"/>
      <c r="I81" s="173" t="e">
        <f>Tabela22[[#This Row],[PESO TOTAL]]/Tabela22[[#This Row],[QUANTIDADE]]</f>
        <v>#DIV/0!</v>
      </c>
      <c r="J81" s="2"/>
      <c r="K81" s="193"/>
      <c r="L81" s="8"/>
      <c r="M81" s="8"/>
      <c r="N81" s="8"/>
      <c r="O81" s="194"/>
      <c r="P81" s="195"/>
    </row>
    <row r="82" spans="1:16">
      <c r="A82" s="3"/>
      <c r="B82" s="3" t="str">
        <f>TEXT(Tabela22345[[#This Row],[DATA]],"mmmm")</f>
        <v>janeiro</v>
      </c>
      <c r="C82" s="2"/>
      <c r="D82" s="2"/>
      <c r="E82" s="2"/>
      <c r="F82" s="2"/>
      <c r="G82" s="173"/>
      <c r="H82" s="174"/>
      <c r="I82" s="173" t="e">
        <f>Tabela22[[#This Row],[PESO TOTAL]]/Tabela22[[#This Row],[QUANTIDADE]]</f>
        <v>#DIV/0!</v>
      </c>
      <c r="J82" s="2"/>
      <c r="K82" s="193"/>
      <c r="L82" s="8"/>
      <c r="M82" s="8"/>
      <c r="N82" s="8"/>
      <c r="O82" s="194"/>
      <c r="P82" s="195"/>
    </row>
    <row r="83" spans="1:16">
      <c r="A83" s="3"/>
      <c r="B83" s="3" t="str">
        <f>TEXT(Tabela22345[[#This Row],[DATA]],"mmmm")</f>
        <v>janeiro</v>
      </c>
      <c r="C83" s="2"/>
      <c r="D83" s="2"/>
      <c r="E83" s="2"/>
      <c r="F83" s="2"/>
      <c r="G83" s="173"/>
      <c r="H83" s="174"/>
      <c r="I83" s="173" t="e">
        <f>Tabela22[[#This Row],[PESO TOTAL]]/Tabela22[[#This Row],[QUANTIDADE]]</f>
        <v>#DIV/0!</v>
      </c>
      <c r="J83" s="2"/>
      <c r="K83" s="193"/>
      <c r="L83" s="8"/>
      <c r="M83" s="8"/>
      <c r="N83" s="8"/>
      <c r="O83" s="194"/>
      <c r="P83" s="195"/>
    </row>
    <row r="84" spans="1:16">
      <c r="A84" s="3"/>
      <c r="B84" s="3" t="str">
        <f>TEXT(Tabela22345[[#This Row],[DATA]],"mmmm")</f>
        <v>janeiro</v>
      </c>
      <c r="C84" s="2"/>
      <c r="D84" s="2"/>
      <c r="E84" s="2"/>
      <c r="F84" s="2"/>
      <c r="G84" s="173"/>
      <c r="H84" s="174"/>
      <c r="I84" s="173" t="e">
        <f>Tabela22[[#This Row],[PESO TOTAL]]/Tabela22[[#This Row],[QUANTIDADE]]</f>
        <v>#DIV/0!</v>
      </c>
      <c r="J84" s="2"/>
      <c r="K84" s="193"/>
      <c r="L84" s="8"/>
      <c r="M84" s="8"/>
      <c r="N84" s="8"/>
      <c r="O84" s="194"/>
      <c r="P84" s="195"/>
    </row>
    <row r="85" spans="1:16">
      <c r="A85" s="3"/>
      <c r="B85" s="3" t="str">
        <f>TEXT(Tabela22345[[#This Row],[DATA]],"mmmm")</f>
        <v>janeiro</v>
      </c>
      <c r="C85" s="2"/>
      <c r="D85" s="2"/>
      <c r="E85" s="2"/>
      <c r="F85" s="2"/>
      <c r="G85" s="173"/>
      <c r="H85" s="174"/>
      <c r="I85" s="173" t="e">
        <f>Tabela22[[#This Row],[PESO TOTAL]]/Tabela22[[#This Row],[QUANTIDADE]]</f>
        <v>#DIV/0!</v>
      </c>
      <c r="J85" s="2"/>
      <c r="K85" s="193"/>
      <c r="L85" s="8"/>
      <c r="M85" s="8"/>
      <c r="N85" s="8"/>
      <c r="O85" s="194"/>
      <c r="P85" s="195"/>
    </row>
    <row r="86" spans="1:16">
      <c r="A86" s="3"/>
      <c r="B86" s="3" t="str">
        <f>TEXT(Tabela22345[[#This Row],[DATA]],"mmmm")</f>
        <v>janeiro</v>
      </c>
      <c r="C86" s="2"/>
      <c r="D86" s="2"/>
      <c r="E86" s="2"/>
      <c r="F86" s="2"/>
      <c r="G86" s="173"/>
      <c r="H86" s="174"/>
      <c r="I86" s="173" t="e">
        <f>Tabela22[[#This Row],[PESO TOTAL]]/Tabela22[[#This Row],[QUANTIDADE]]</f>
        <v>#DIV/0!</v>
      </c>
      <c r="J86" s="2"/>
      <c r="K86" s="193"/>
      <c r="L86" s="8"/>
      <c r="M86" s="8"/>
      <c r="N86" s="8"/>
      <c r="O86" s="194"/>
      <c r="P86" s="195"/>
    </row>
    <row r="87" spans="1:16">
      <c r="A87" s="3"/>
      <c r="B87" s="3" t="str">
        <f>TEXT(Tabela22345[[#This Row],[DATA]],"mmmm")</f>
        <v>janeiro</v>
      </c>
      <c r="C87" s="2"/>
      <c r="D87" s="2"/>
      <c r="E87" s="2"/>
      <c r="F87" s="2"/>
      <c r="G87" s="173"/>
      <c r="H87" s="174"/>
      <c r="I87" s="173" t="e">
        <f>Tabela22[[#This Row],[PESO TOTAL]]/Tabela22[[#This Row],[QUANTIDADE]]</f>
        <v>#DIV/0!</v>
      </c>
      <c r="J87" s="2"/>
      <c r="K87" s="193"/>
      <c r="L87" s="8"/>
      <c r="M87" s="8"/>
      <c r="N87" s="8"/>
      <c r="O87" s="194"/>
      <c r="P87" s="195"/>
    </row>
    <row r="88" spans="1:16">
      <c r="A88" s="3"/>
      <c r="B88" s="3" t="str">
        <f>TEXT(Tabela22345[[#This Row],[DATA]],"mmmm")</f>
        <v>janeiro</v>
      </c>
      <c r="C88" s="2"/>
      <c r="D88" s="2"/>
      <c r="E88" s="2"/>
      <c r="F88" s="2"/>
      <c r="G88" s="173"/>
      <c r="H88" s="174"/>
      <c r="I88" s="173" t="e">
        <f>Tabela22[[#This Row],[PESO TOTAL]]/Tabela22[[#This Row],[QUANTIDADE]]</f>
        <v>#DIV/0!</v>
      </c>
      <c r="J88" s="2"/>
      <c r="K88" s="193"/>
      <c r="L88" s="8"/>
      <c r="M88" s="8"/>
      <c r="N88" s="8"/>
      <c r="O88" s="194"/>
      <c r="P88" s="195"/>
    </row>
    <row r="89" spans="1:16">
      <c r="A89" s="3"/>
      <c r="B89" s="3" t="str">
        <f>TEXT(Tabela22345[[#This Row],[DATA]],"mmmm")</f>
        <v>janeiro</v>
      </c>
      <c r="C89" s="2"/>
      <c r="D89" s="2"/>
      <c r="E89" s="2"/>
      <c r="F89" s="2"/>
      <c r="G89" s="173"/>
      <c r="H89" s="174"/>
      <c r="I89" s="173" t="e">
        <f>Tabela22[[#This Row],[PESO TOTAL]]/Tabela22[[#This Row],[QUANTIDADE]]</f>
        <v>#DIV/0!</v>
      </c>
      <c r="J89" s="2"/>
      <c r="K89" s="193"/>
      <c r="L89" s="8"/>
      <c r="M89" s="8"/>
      <c r="N89" s="8"/>
      <c r="O89" s="194"/>
      <c r="P89" s="195"/>
    </row>
    <row r="90" spans="1:16">
      <c r="A90" s="3"/>
      <c r="B90" s="3" t="str">
        <f>TEXT(Tabela22345[[#This Row],[DATA]],"mmmm")</f>
        <v>janeiro</v>
      </c>
      <c r="C90" s="2"/>
      <c r="D90" s="2"/>
      <c r="E90" s="2"/>
      <c r="F90" s="2"/>
      <c r="G90" s="173"/>
      <c r="H90" s="174"/>
      <c r="I90" s="173" t="e">
        <f>Tabela22[[#This Row],[PESO TOTAL]]/Tabela22[[#This Row],[QUANTIDADE]]</f>
        <v>#DIV/0!</v>
      </c>
      <c r="J90" s="2"/>
      <c r="K90" s="193"/>
      <c r="L90" s="8"/>
      <c r="M90" s="8"/>
      <c r="N90" s="8"/>
      <c r="O90" s="194"/>
      <c r="P90" s="195"/>
    </row>
    <row r="91" spans="1:16">
      <c r="A91" s="3"/>
      <c r="B91" s="3" t="str">
        <f>TEXT(Tabela22345[[#This Row],[DATA]],"mmmm")</f>
        <v>janeiro</v>
      </c>
      <c r="C91" s="2"/>
      <c r="D91" s="2"/>
      <c r="E91" s="2"/>
      <c r="F91" s="2"/>
      <c r="G91" s="173"/>
      <c r="H91" s="174"/>
      <c r="I91" s="173" t="e">
        <f>Tabela22[[#This Row],[PESO TOTAL]]/Tabela22[[#This Row],[QUANTIDADE]]</f>
        <v>#DIV/0!</v>
      </c>
      <c r="J91" s="2"/>
      <c r="K91" s="193"/>
      <c r="L91" s="8"/>
      <c r="M91" s="8"/>
      <c r="N91" s="8"/>
      <c r="O91" s="194"/>
      <c r="P91" s="195"/>
    </row>
    <row r="92" spans="1:16">
      <c r="A92" s="3"/>
      <c r="B92" s="3" t="str">
        <f>TEXT(Tabela22345[[#This Row],[DATA]],"mmmm")</f>
        <v>janeiro</v>
      </c>
      <c r="C92" s="2"/>
      <c r="D92" s="2"/>
      <c r="E92" s="2"/>
      <c r="F92" s="2"/>
      <c r="G92" s="173"/>
      <c r="H92" s="174"/>
      <c r="I92" s="173" t="e">
        <f>Tabela22[[#This Row],[PESO TOTAL]]/Tabela22[[#This Row],[QUANTIDADE]]</f>
        <v>#DIV/0!</v>
      </c>
      <c r="J92" s="2"/>
      <c r="K92" s="193"/>
      <c r="L92" s="8"/>
      <c r="M92" s="8"/>
      <c r="N92" s="8"/>
      <c r="O92" s="194"/>
      <c r="P92" s="195"/>
    </row>
    <row r="93" spans="1:16">
      <c r="A93" s="3"/>
      <c r="B93" s="3" t="str">
        <f>TEXT(Tabela22345[[#This Row],[DATA]],"mmmm")</f>
        <v>janeiro</v>
      </c>
      <c r="C93" s="2"/>
      <c r="D93" s="2"/>
      <c r="E93" s="2"/>
      <c r="F93" s="2"/>
      <c r="G93" s="173"/>
      <c r="H93" s="174"/>
      <c r="I93" s="173" t="e">
        <f>Tabela22[[#This Row],[PESO TOTAL]]/Tabela22[[#This Row],[QUANTIDADE]]</f>
        <v>#DIV/0!</v>
      </c>
      <c r="J93" s="2"/>
      <c r="K93" s="193"/>
      <c r="L93" s="8"/>
      <c r="M93" s="8"/>
      <c r="N93" s="8"/>
      <c r="O93" s="194"/>
      <c r="P93" s="195"/>
    </row>
    <row r="94" spans="1:16">
      <c r="A94" s="3"/>
      <c r="B94" s="3" t="str">
        <f>TEXT(Tabela22345[[#This Row],[DATA]],"mmmm")</f>
        <v>janeiro</v>
      </c>
      <c r="C94" s="2"/>
      <c r="D94" s="2"/>
      <c r="E94" s="2"/>
      <c r="F94" s="2"/>
      <c r="G94" s="173"/>
      <c r="H94" s="174"/>
      <c r="I94" s="173" t="e">
        <f>Tabela22[[#This Row],[PESO TOTAL]]/Tabela22[[#This Row],[QUANTIDADE]]</f>
        <v>#DIV/0!</v>
      </c>
      <c r="J94" s="2"/>
      <c r="K94" s="193"/>
      <c r="L94" s="8"/>
      <c r="M94" s="8"/>
      <c r="N94" s="8"/>
      <c r="O94" s="194"/>
      <c r="P94" s="195"/>
    </row>
    <row r="95" spans="1:16">
      <c r="A95" s="3"/>
      <c r="B95" s="3" t="str">
        <f>TEXT(Tabela22345[[#This Row],[DATA]],"mmmm")</f>
        <v>janeiro</v>
      </c>
      <c r="C95" s="2"/>
      <c r="D95" s="2"/>
      <c r="E95" s="2"/>
      <c r="F95" s="2"/>
      <c r="G95" s="173"/>
      <c r="H95" s="174"/>
      <c r="I95" s="173" t="e">
        <f>Tabela22[[#This Row],[PESO TOTAL]]/Tabela22[[#This Row],[QUANTIDADE]]</f>
        <v>#DIV/0!</v>
      </c>
      <c r="J95" s="2"/>
      <c r="K95" s="193"/>
      <c r="L95" s="8"/>
      <c r="M95" s="8"/>
      <c r="N95" s="8"/>
      <c r="O95" s="194"/>
      <c r="P95" s="195"/>
    </row>
    <row r="96" spans="1:16">
      <c r="A96" s="3"/>
      <c r="B96" s="3" t="str">
        <f>TEXT(Tabela22345[[#This Row],[DATA]],"mmmm")</f>
        <v>janeiro</v>
      </c>
      <c r="C96" s="2"/>
      <c r="D96" s="2"/>
      <c r="E96" s="2"/>
      <c r="F96" s="2"/>
      <c r="G96" s="173"/>
      <c r="H96" s="174"/>
      <c r="I96" s="173" t="e">
        <f>Tabela22[[#This Row],[PESO TOTAL]]/Tabela22[[#This Row],[QUANTIDADE]]</f>
        <v>#DIV/0!</v>
      </c>
      <c r="J96" s="2"/>
      <c r="K96" s="193"/>
      <c r="L96" s="8"/>
      <c r="M96" s="8"/>
      <c r="N96" s="8"/>
      <c r="O96" s="194"/>
      <c r="P96" s="195"/>
    </row>
    <row r="97" spans="1:16">
      <c r="A97" s="3"/>
      <c r="B97" s="3" t="str">
        <f>TEXT(Tabela22345[[#This Row],[DATA]],"mmmm")</f>
        <v>janeiro</v>
      </c>
      <c r="C97" s="2"/>
      <c r="D97" s="2"/>
      <c r="E97" s="2"/>
      <c r="F97" s="2"/>
      <c r="G97" s="173"/>
      <c r="H97" s="174"/>
      <c r="I97" s="173" t="e">
        <f>Tabela22[[#This Row],[PESO TOTAL]]/Tabela22[[#This Row],[QUANTIDADE]]</f>
        <v>#DIV/0!</v>
      </c>
      <c r="J97" s="2"/>
      <c r="K97" s="193"/>
      <c r="L97" s="8"/>
      <c r="M97" s="8"/>
      <c r="N97" s="8"/>
      <c r="O97" s="194"/>
      <c r="P97" s="195"/>
    </row>
    <row r="98" spans="1:16">
      <c r="A98" s="3"/>
      <c r="B98" s="3" t="str">
        <f>TEXT(Tabela22345[[#This Row],[DATA]],"mmmm")</f>
        <v>janeiro</v>
      </c>
      <c r="C98" s="2"/>
      <c r="D98" s="2"/>
      <c r="E98" s="2"/>
      <c r="F98" s="2"/>
      <c r="G98" s="173"/>
      <c r="H98" s="174"/>
      <c r="I98" s="173" t="e">
        <f>Tabela22[[#This Row],[PESO TOTAL]]/Tabela22[[#This Row],[QUANTIDADE]]</f>
        <v>#DIV/0!</v>
      </c>
      <c r="J98" s="2"/>
      <c r="K98" s="193"/>
      <c r="L98" s="8"/>
      <c r="M98" s="8"/>
      <c r="N98" s="8"/>
      <c r="O98" s="194"/>
      <c r="P98" s="195"/>
    </row>
    <row r="99" spans="1:16">
      <c r="A99" s="3"/>
      <c r="B99" s="3" t="str">
        <f>TEXT(Tabela22345[[#This Row],[DATA]],"mmmm")</f>
        <v>janeiro</v>
      </c>
      <c r="C99" s="2"/>
      <c r="D99" s="2"/>
      <c r="E99" s="2"/>
      <c r="F99" s="2"/>
      <c r="G99" s="173"/>
      <c r="H99" s="174"/>
      <c r="I99" s="173" t="e">
        <f>Tabela22[[#This Row],[PESO TOTAL]]/Tabela22[[#This Row],[QUANTIDADE]]</f>
        <v>#DIV/0!</v>
      </c>
      <c r="J99" s="2"/>
      <c r="K99" s="193"/>
      <c r="L99" s="8"/>
      <c r="M99" s="8"/>
      <c r="N99" s="8"/>
      <c r="O99" s="194"/>
      <c r="P99" s="195"/>
    </row>
    <row r="100" spans="1:16">
      <c r="A100" s="3"/>
      <c r="B100" s="3" t="str">
        <f>TEXT(Tabela22345[[#This Row],[DATA]],"mmmm")</f>
        <v>janeiro</v>
      </c>
      <c r="C100" s="2"/>
      <c r="D100" s="2"/>
      <c r="E100" s="2"/>
      <c r="F100" s="2"/>
      <c r="G100" s="173"/>
      <c r="H100" s="174"/>
      <c r="I100" s="173" t="e">
        <f>Tabela22[[#This Row],[PESO TOTAL]]/Tabela22[[#This Row],[QUANTIDADE]]</f>
        <v>#DIV/0!</v>
      </c>
      <c r="J100" s="2"/>
      <c r="K100" s="193"/>
      <c r="L100" s="8"/>
      <c r="M100" s="8"/>
      <c r="N100" s="8"/>
      <c r="O100" s="194"/>
      <c r="P100" s="195"/>
    </row>
    <row r="101" spans="1:16">
      <c r="A101" s="3"/>
      <c r="B101" s="3" t="str">
        <f>TEXT(Tabela22345[[#This Row],[DATA]],"mmmm")</f>
        <v>janeiro</v>
      </c>
      <c r="C101" s="2"/>
      <c r="D101" s="2"/>
      <c r="E101" s="2"/>
      <c r="F101" s="2"/>
      <c r="G101" s="173"/>
      <c r="H101" s="174"/>
      <c r="I101" s="173" t="e">
        <f>Tabela22[[#This Row],[PESO TOTAL]]/Tabela22[[#This Row],[QUANTIDADE]]</f>
        <v>#DIV/0!</v>
      </c>
      <c r="J101" s="2"/>
      <c r="K101" s="193"/>
      <c r="L101" s="8"/>
      <c r="M101" s="8"/>
      <c r="N101" s="8"/>
      <c r="O101" s="194"/>
      <c r="P101" s="195"/>
    </row>
    <row r="102" spans="1:16">
      <c r="A102" s="3"/>
      <c r="B102" s="3" t="str">
        <f>TEXT(Tabela22345[[#This Row],[DATA]],"mmmm")</f>
        <v>janeiro</v>
      </c>
      <c r="C102" s="2"/>
      <c r="D102" s="2"/>
      <c r="E102" s="2"/>
      <c r="F102" s="2"/>
      <c r="G102" s="173"/>
      <c r="H102" s="174"/>
      <c r="I102" s="173" t="e">
        <f>Tabela22[[#This Row],[PESO TOTAL]]/Tabela22[[#This Row],[QUANTIDADE]]</f>
        <v>#DIV/0!</v>
      </c>
      <c r="J102" s="2"/>
      <c r="K102" s="193"/>
      <c r="L102" s="8"/>
      <c r="M102" s="8"/>
      <c r="N102" s="8"/>
      <c r="O102" s="194"/>
      <c r="P102" s="195"/>
    </row>
    <row r="103" spans="1:16">
      <c r="A103" s="3"/>
      <c r="B103" s="3" t="str">
        <f>TEXT(Tabela22345[[#This Row],[DATA]],"mmmm")</f>
        <v>janeiro</v>
      </c>
      <c r="C103" s="2"/>
      <c r="D103" s="2"/>
      <c r="E103" s="2"/>
      <c r="F103" s="2"/>
      <c r="G103" s="173"/>
      <c r="H103" s="174"/>
      <c r="I103" s="173" t="e">
        <f>Tabela22[[#This Row],[PESO TOTAL]]/Tabela22[[#This Row],[QUANTIDADE]]</f>
        <v>#DIV/0!</v>
      </c>
      <c r="J103" s="2"/>
      <c r="K103" s="193"/>
      <c r="L103" s="8"/>
      <c r="M103" s="8"/>
      <c r="N103" s="8"/>
      <c r="O103" s="194"/>
      <c r="P103" s="195"/>
    </row>
    <row r="104" spans="1:16">
      <c r="A104" s="3"/>
      <c r="B104" s="3" t="str">
        <f>TEXT(Tabela22345[[#This Row],[DATA]],"mmmm")</f>
        <v>janeiro</v>
      </c>
      <c r="C104" s="2"/>
      <c r="D104" s="2"/>
      <c r="E104" s="2"/>
      <c r="F104" s="2"/>
      <c r="G104" s="173"/>
      <c r="H104" s="174"/>
      <c r="I104" s="173" t="e">
        <f>Tabela22[[#This Row],[PESO TOTAL]]/Tabela22[[#This Row],[QUANTIDADE]]</f>
        <v>#DIV/0!</v>
      </c>
      <c r="J104" s="2"/>
      <c r="K104" s="193"/>
      <c r="L104" s="8"/>
      <c r="M104" s="8"/>
      <c r="N104" s="8"/>
      <c r="O104" s="194"/>
      <c r="P104" s="195"/>
    </row>
    <row r="105" spans="1:16">
      <c r="A105" s="3"/>
      <c r="B105" s="3" t="str">
        <f>TEXT(Tabela22345[[#This Row],[DATA]],"mmmm")</f>
        <v>janeiro</v>
      </c>
      <c r="C105" s="2"/>
      <c r="D105" s="2"/>
      <c r="E105" s="2"/>
      <c r="F105" s="2"/>
      <c r="G105" s="173"/>
      <c r="H105" s="174"/>
      <c r="I105" s="173" t="e">
        <f>Tabela22[[#This Row],[PESO TOTAL]]/Tabela22[[#This Row],[QUANTIDADE]]</f>
        <v>#DIV/0!</v>
      </c>
      <c r="J105" s="2"/>
      <c r="K105" s="193"/>
      <c r="L105" s="8"/>
      <c r="M105" s="8"/>
      <c r="N105" s="8"/>
      <c r="O105" s="194"/>
      <c r="P105" s="195"/>
    </row>
    <row r="106" spans="1:16">
      <c r="A106" s="3"/>
      <c r="B106" s="3" t="str">
        <f>TEXT(Tabela22345[[#This Row],[DATA]],"mmmm")</f>
        <v>janeiro</v>
      </c>
      <c r="C106" s="2"/>
      <c r="D106" s="2"/>
      <c r="E106" s="2"/>
      <c r="F106" s="2"/>
      <c r="G106" s="173"/>
      <c r="H106" s="174"/>
      <c r="I106" s="173" t="e">
        <f>Tabela22[[#This Row],[PESO TOTAL]]/Tabela22[[#This Row],[QUANTIDADE]]</f>
        <v>#DIV/0!</v>
      </c>
      <c r="J106" s="2"/>
      <c r="K106" s="193"/>
      <c r="L106" s="8"/>
      <c r="M106" s="8"/>
      <c r="N106" s="8"/>
      <c r="O106" s="194"/>
      <c r="P106" s="195"/>
    </row>
    <row r="107" spans="1:16">
      <c r="A107" s="3"/>
      <c r="B107" s="3" t="str">
        <f>TEXT(Tabela22345[[#This Row],[DATA]],"mmmm")</f>
        <v>janeiro</v>
      </c>
      <c r="C107" s="2"/>
      <c r="D107" s="2"/>
      <c r="E107" s="2"/>
      <c r="F107" s="2"/>
      <c r="G107" s="173"/>
      <c r="H107" s="174"/>
      <c r="I107" s="173" t="e">
        <f>Tabela22[[#This Row],[PESO TOTAL]]/Tabela22[[#This Row],[QUANTIDADE]]</f>
        <v>#DIV/0!</v>
      </c>
      <c r="J107" s="2"/>
      <c r="K107" s="193"/>
      <c r="L107" s="8"/>
      <c r="M107" s="8"/>
      <c r="N107" s="8"/>
      <c r="O107" s="194"/>
      <c r="P107" s="195"/>
    </row>
    <row r="108" spans="1:16">
      <c r="A108" s="3"/>
      <c r="B108" s="3" t="str">
        <f>TEXT(Tabela22345[[#This Row],[DATA]],"mmmm")</f>
        <v>janeiro</v>
      </c>
      <c r="C108" s="2"/>
      <c r="D108" s="2"/>
      <c r="E108" s="2"/>
      <c r="F108" s="2"/>
      <c r="G108" s="173"/>
      <c r="H108" s="174"/>
      <c r="I108" s="173" t="e">
        <f>Tabela22[[#This Row],[PESO TOTAL]]/Tabela22[[#This Row],[QUANTIDADE]]</f>
        <v>#DIV/0!</v>
      </c>
      <c r="J108" s="2"/>
      <c r="K108" s="193"/>
      <c r="L108" s="8"/>
      <c r="M108" s="8"/>
      <c r="N108" s="8"/>
      <c r="O108" s="194"/>
      <c r="P108" s="195"/>
    </row>
    <row r="109" spans="1:16">
      <c r="A109" s="3"/>
      <c r="B109" s="3" t="str">
        <f>TEXT(Tabela22345[[#This Row],[DATA]],"mmmm")</f>
        <v>janeiro</v>
      </c>
      <c r="C109" s="2"/>
      <c r="D109" s="2"/>
      <c r="E109" s="2"/>
      <c r="F109" s="2"/>
      <c r="G109" s="173"/>
      <c r="H109" s="174"/>
      <c r="I109" s="173" t="e">
        <f>Tabela22[[#This Row],[PESO TOTAL]]/Tabela22[[#This Row],[QUANTIDADE]]</f>
        <v>#DIV/0!</v>
      </c>
      <c r="J109" s="2"/>
      <c r="K109" s="193"/>
      <c r="L109" s="8"/>
      <c r="M109" s="8"/>
      <c r="N109" s="8"/>
      <c r="O109" s="194"/>
      <c r="P109" s="195"/>
    </row>
    <row r="110" spans="1:16">
      <c r="A110" s="3"/>
      <c r="B110" s="3" t="str">
        <f>TEXT(Tabela22345[[#This Row],[DATA]],"mmmm")</f>
        <v>janeiro</v>
      </c>
      <c r="C110" s="2"/>
      <c r="D110" s="2"/>
      <c r="E110" s="2"/>
      <c r="F110" s="2"/>
      <c r="G110" s="173"/>
      <c r="H110" s="174"/>
      <c r="I110" s="173" t="e">
        <f>Tabela22[[#This Row],[PESO TOTAL]]/Tabela22[[#This Row],[QUANTIDADE]]</f>
        <v>#DIV/0!</v>
      </c>
      <c r="J110" s="2"/>
      <c r="K110" s="193"/>
      <c r="L110" s="8"/>
      <c r="M110" s="8"/>
      <c r="N110" s="8"/>
      <c r="O110" s="194"/>
      <c r="P110" s="195"/>
    </row>
    <row r="111" spans="1:16">
      <c r="A111" s="3"/>
      <c r="B111" s="3" t="str">
        <f>TEXT(Tabela22345[[#This Row],[DATA]],"mmmm")</f>
        <v>janeiro</v>
      </c>
      <c r="C111" s="2"/>
      <c r="D111" s="2"/>
      <c r="E111" s="2"/>
      <c r="F111" s="2"/>
      <c r="G111" s="173"/>
      <c r="H111" s="174"/>
      <c r="I111" s="173" t="e">
        <f>Tabela22[[#This Row],[PESO TOTAL]]/Tabela22[[#This Row],[QUANTIDADE]]</f>
        <v>#DIV/0!</v>
      </c>
      <c r="J111" s="2"/>
      <c r="K111" s="193"/>
      <c r="L111" s="8"/>
      <c r="M111" s="8"/>
      <c r="N111" s="8"/>
      <c r="O111" s="194"/>
      <c r="P111" s="195"/>
    </row>
    <row r="112" spans="1:16">
      <c r="A112" s="3"/>
      <c r="B112" s="3" t="str">
        <f>TEXT(Tabela22345[[#This Row],[DATA]],"mmmm")</f>
        <v>janeiro</v>
      </c>
      <c r="C112" s="2"/>
      <c r="D112" s="2"/>
      <c r="E112" s="2"/>
      <c r="F112" s="2"/>
      <c r="G112" s="173"/>
      <c r="H112" s="174"/>
      <c r="I112" s="173" t="e">
        <f>Tabela22[[#This Row],[PESO TOTAL]]/Tabela22[[#This Row],[QUANTIDADE]]</f>
        <v>#DIV/0!</v>
      </c>
      <c r="J112" s="2"/>
      <c r="K112" s="193"/>
      <c r="L112" s="8"/>
      <c r="M112" s="8"/>
      <c r="N112" s="8"/>
      <c r="O112" s="194"/>
      <c r="P112" s="195"/>
    </row>
    <row r="113" spans="1:16">
      <c r="A113" s="3"/>
      <c r="B113" s="3" t="str">
        <f>TEXT(Tabela22345[[#This Row],[DATA]],"mmmm")</f>
        <v>janeiro</v>
      </c>
      <c r="C113" s="2"/>
      <c r="D113" s="2"/>
      <c r="E113" s="2"/>
      <c r="F113" s="2"/>
      <c r="G113" s="173"/>
      <c r="H113" s="174"/>
      <c r="I113" s="173" t="e">
        <f>Tabela22[[#This Row],[PESO TOTAL]]/Tabela22[[#This Row],[QUANTIDADE]]</f>
        <v>#DIV/0!</v>
      </c>
      <c r="J113" s="2"/>
      <c r="K113" s="193"/>
      <c r="L113" s="8"/>
      <c r="M113" s="8"/>
      <c r="N113" s="8"/>
      <c r="O113" s="194"/>
      <c r="P113" s="195"/>
    </row>
    <row r="114" spans="1:16">
      <c r="A114" s="3"/>
      <c r="B114" s="3" t="str">
        <f>TEXT(Tabela22345[[#This Row],[DATA]],"mmmm")</f>
        <v>janeiro</v>
      </c>
      <c r="C114" s="2"/>
      <c r="D114" s="2"/>
      <c r="E114" s="2"/>
      <c r="F114" s="2"/>
      <c r="G114" s="173"/>
      <c r="H114" s="174"/>
      <c r="I114" s="173" t="e">
        <f>Tabela22[[#This Row],[PESO TOTAL]]/Tabela22[[#This Row],[QUANTIDADE]]</f>
        <v>#DIV/0!</v>
      </c>
      <c r="J114" s="2"/>
      <c r="K114" s="193"/>
      <c r="L114" s="8"/>
      <c r="M114" s="8"/>
      <c r="N114" s="8"/>
      <c r="O114" s="194"/>
      <c r="P114" s="195"/>
    </row>
    <row r="115" spans="1:16">
      <c r="A115" s="3"/>
      <c r="B115" s="3" t="str">
        <f>TEXT(Tabela22345[[#This Row],[DATA]],"mmmm")</f>
        <v>janeiro</v>
      </c>
      <c r="C115" s="2"/>
      <c r="D115" s="2"/>
      <c r="E115" s="2"/>
      <c r="F115" s="2"/>
      <c r="G115" s="173"/>
      <c r="H115" s="174"/>
      <c r="I115" s="173" t="e">
        <f>Tabela22[[#This Row],[PESO TOTAL]]/Tabela22[[#This Row],[QUANTIDADE]]</f>
        <v>#DIV/0!</v>
      </c>
      <c r="J115" s="2"/>
      <c r="K115" s="193"/>
      <c r="L115" s="8"/>
      <c r="M115" s="8"/>
      <c r="N115" s="8"/>
      <c r="O115" s="194"/>
      <c r="P115" s="195"/>
    </row>
    <row r="116" spans="1:16">
      <c r="A116" s="3"/>
      <c r="B116" s="3" t="str">
        <f>TEXT(Tabela22345[[#This Row],[DATA]],"mmmm")</f>
        <v>janeiro</v>
      </c>
      <c r="C116" s="2"/>
      <c r="D116" s="2"/>
      <c r="E116" s="2"/>
      <c r="F116" s="2"/>
      <c r="G116" s="173"/>
      <c r="H116" s="174"/>
      <c r="I116" s="173" t="e">
        <f>Tabela22[[#This Row],[PESO TOTAL]]/Tabela22[[#This Row],[QUANTIDADE]]</f>
        <v>#DIV/0!</v>
      </c>
      <c r="J116" s="2"/>
      <c r="K116" s="193"/>
      <c r="L116" s="8"/>
      <c r="M116" s="8"/>
      <c r="N116" s="8"/>
      <c r="O116" s="194"/>
      <c r="P116" s="195"/>
    </row>
    <row r="117" spans="1:16">
      <c r="A117" s="3"/>
      <c r="B117" s="3" t="str">
        <f>TEXT(Tabela22345[[#This Row],[DATA]],"mmmm")</f>
        <v>janeiro</v>
      </c>
      <c r="C117" s="2"/>
      <c r="D117" s="2"/>
      <c r="E117" s="2"/>
      <c r="F117" s="2"/>
      <c r="G117" s="173"/>
      <c r="H117" s="174"/>
      <c r="I117" s="173" t="e">
        <f>Tabela22[[#This Row],[PESO TOTAL]]/Tabela22[[#This Row],[QUANTIDADE]]</f>
        <v>#DIV/0!</v>
      </c>
      <c r="J117" s="2"/>
      <c r="K117" s="193"/>
      <c r="L117" s="8"/>
      <c r="M117" s="8"/>
      <c r="N117" s="8"/>
      <c r="O117" s="194"/>
      <c r="P117" s="195"/>
    </row>
    <row r="118" spans="1:16">
      <c r="A118" s="3"/>
      <c r="B118" s="3" t="str">
        <f>TEXT(Tabela22345[[#This Row],[DATA]],"mmmm")</f>
        <v>janeiro</v>
      </c>
      <c r="C118" s="2"/>
      <c r="D118" s="2"/>
      <c r="E118" s="2"/>
      <c r="F118" s="2"/>
      <c r="G118" s="173"/>
      <c r="H118" s="174"/>
      <c r="I118" s="173" t="e">
        <f>Tabela22[[#This Row],[PESO TOTAL]]/Tabela22[[#This Row],[QUANTIDADE]]</f>
        <v>#DIV/0!</v>
      </c>
      <c r="J118" s="2"/>
      <c r="K118" s="193"/>
      <c r="L118" s="8"/>
      <c r="M118" s="8"/>
      <c r="N118" s="8"/>
      <c r="O118" s="194"/>
      <c r="P118" s="195"/>
    </row>
    <row r="119" spans="1:16">
      <c r="A119" s="3"/>
      <c r="B119" s="3" t="str">
        <f>TEXT(Tabela22345[[#This Row],[DATA]],"mmmm")</f>
        <v>janeiro</v>
      </c>
      <c r="C119" s="2"/>
      <c r="D119" s="2"/>
      <c r="E119" s="2"/>
      <c r="F119" s="2"/>
      <c r="G119" s="173"/>
      <c r="H119" s="174"/>
      <c r="I119" s="173" t="e">
        <f>Tabela22[[#This Row],[PESO TOTAL]]/Tabela22[[#This Row],[QUANTIDADE]]</f>
        <v>#DIV/0!</v>
      </c>
      <c r="J119" s="2"/>
      <c r="K119" s="193"/>
      <c r="L119" s="8"/>
      <c r="M119" s="8"/>
      <c r="N119" s="8"/>
      <c r="O119" s="194"/>
      <c r="P119" s="195"/>
    </row>
    <row r="120" spans="1:16">
      <c r="A120" s="3"/>
      <c r="B120" s="3" t="str">
        <f>TEXT(Tabela22345[[#This Row],[DATA]],"mmmm")</f>
        <v>janeiro</v>
      </c>
      <c r="C120" s="2"/>
      <c r="D120" s="2"/>
      <c r="E120" s="2"/>
      <c r="F120" s="2"/>
      <c r="G120" s="173"/>
      <c r="H120" s="174"/>
      <c r="I120" s="173" t="e">
        <f>Tabela22[[#This Row],[PESO TOTAL]]/Tabela22[[#This Row],[QUANTIDADE]]</f>
        <v>#DIV/0!</v>
      </c>
      <c r="J120" s="2"/>
      <c r="K120" s="193"/>
      <c r="L120" s="8"/>
      <c r="M120" s="8"/>
      <c r="N120" s="8"/>
      <c r="O120" s="194"/>
      <c r="P120" s="195"/>
    </row>
    <row r="121" spans="1:16">
      <c r="A121" s="3"/>
      <c r="B121" s="3" t="str">
        <f>TEXT(Tabela22345[[#This Row],[DATA]],"mmmm")</f>
        <v>janeiro</v>
      </c>
      <c r="C121" s="2"/>
      <c r="D121" s="2"/>
      <c r="E121" s="2"/>
      <c r="F121" s="2"/>
      <c r="G121" s="173"/>
      <c r="H121" s="174"/>
      <c r="I121" s="173" t="e">
        <f>Tabela22[[#This Row],[PESO TOTAL]]/Tabela22[[#This Row],[QUANTIDADE]]</f>
        <v>#DIV/0!</v>
      </c>
      <c r="J121" s="2"/>
      <c r="K121" s="193"/>
      <c r="L121" s="8"/>
      <c r="M121" s="8"/>
      <c r="N121" s="8"/>
      <c r="O121" s="194"/>
      <c r="P121" s="195"/>
    </row>
    <row r="122" spans="1:16">
      <c r="A122" s="3"/>
      <c r="B122" s="3" t="str">
        <f>TEXT(Tabela22345[[#This Row],[DATA]],"mmmm")</f>
        <v>janeiro</v>
      </c>
      <c r="C122" s="2"/>
      <c r="D122" s="2"/>
      <c r="E122" s="2"/>
      <c r="F122" s="2"/>
      <c r="G122" s="173"/>
      <c r="H122" s="174"/>
      <c r="I122" s="173" t="e">
        <f>Tabela22[[#This Row],[PESO TOTAL]]/Tabela22[[#This Row],[QUANTIDADE]]</f>
        <v>#DIV/0!</v>
      </c>
      <c r="J122" s="2"/>
      <c r="K122" s="193"/>
      <c r="L122" s="8"/>
      <c r="M122" s="8"/>
      <c r="N122" s="8"/>
      <c r="O122" s="194"/>
      <c r="P122" s="195"/>
    </row>
    <row r="123" spans="1:16">
      <c r="A123" s="3"/>
      <c r="B123" s="3" t="str">
        <f>TEXT(Tabela22345[[#This Row],[DATA]],"mmmm")</f>
        <v>janeiro</v>
      </c>
      <c r="C123" s="2"/>
      <c r="D123" s="2"/>
      <c r="E123" s="2"/>
      <c r="F123" s="2"/>
      <c r="G123" s="173"/>
      <c r="H123" s="174"/>
      <c r="I123" s="173" t="e">
        <f>Tabela22[[#This Row],[PESO TOTAL]]/Tabela22[[#This Row],[QUANTIDADE]]</f>
        <v>#DIV/0!</v>
      </c>
      <c r="J123" s="2"/>
      <c r="K123" s="193"/>
      <c r="L123" s="8"/>
      <c r="M123" s="8"/>
      <c r="N123" s="8"/>
      <c r="O123" s="194"/>
      <c r="P123" s="195"/>
    </row>
    <row r="124" spans="1:16">
      <c r="A124" s="3"/>
      <c r="B124" s="3" t="str">
        <f>TEXT(Tabela22345[[#This Row],[DATA]],"mmmm")</f>
        <v>janeiro</v>
      </c>
      <c r="C124" s="2"/>
      <c r="D124" s="2"/>
      <c r="E124" s="2"/>
      <c r="F124" s="2"/>
      <c r="G124" s="173"/>
      <c r="H124" s="174"/>
      <c r="I124" s="173" t="e">
        <f>Tabela22[[#This Row],[PESO TOTAL]]/Tabela22[[#This Row],[QUANTIDADE]]</f>
        <v>#DIV/0!</v>
      </c>
      <c r="J124" s="2"/>
      <c r="K124" s="193"/>
      <c r="L124" s="8"/>
      <c r="M124" s="8"/>
      <c r="N124" s="8"/>
      <c r="O124" s="194"/>
      <c r="P124" s="195"/>
    </row>
    <row r="125" spans="1:16">
      <c r="A125" s="3"/>
      <c r="B125" s="3" t="str">
        <f>TEXT(Tabela22345[[#This Row],[DATA]],"mmmm")</f>
        <v>janeiro</v>
      </c>
      <c r="C125" s="2"/>
      <c r="D125" s="2"/>
      <c r="E125" s="2"/>
      <c r="F125" s="2"/>
      <c r="G125" s="173"/>
      <c r="H125" s="174"/>
      <c r="I125" s="173" t="e">
        <f>Tabela22[[#This Row],[PESO TOTAL]]/Tabela22[[#This Row],[QUANTIDADE]]</f>
        <v>#DIV/0!</v>
      </c>
      <c r="J125" s="2"/>
      <c r="K125" s="193"/>
      <c r="L125" s="8"/>
      <c r="M125" s="8"/>
      <c r="N125" s="8"/>
      <c r="O125" s="194"/>
      <c r="P125" s="195"/>
    </row>
    <row r="126" spans="1:16">
      <c r="A126" s="3"/>
      <c r="B126" s="3" t="str">
        <f>TEXT(Tabela22345[[#This Row],[DATA]],"mmmm")</f>
        <v>janeiro</v>
      </c>
      <c r="C126" s="2"/>
      <c r="D126" s="2"/>
      <c r="E126" s="2"/>
      <c r="F126" s="2"/>
      <c r="G126" s="173"/>
      <c r="H126" s="174"/>
      <c r="I126" s="173" t="e">
        <f>Tabela22[[#This Row],[PESO TOTAL]]/Tabela22[[#This Row],[QUANTIDADE]]</f>
        <v>#DIV/0!</v>
      </c>
      <c r="J126" s="2"/>
      <c r="K126" s="193"/>
      <c r="L126" s="8"/>
      <c r="M126" s="8"/>
      <c r="N126" s="8"/>
      <c r="O126" s="194"/>
      <c r="P126" s="195"/>
    </row>
    <row r="127" spans="1:16">
      <c r="A127" s="3"/>
      <c r="B127" s="3" t="str">
        <f>TEXT(Tabela22345[[#This Row],[DATA]],"mmmm")</f>
        <v>janeiro</v>
      </c>
      <c r="C127" s="2"/>
      <c r="D127" s="2"/>
      <c r="E127" s="2"/>
      <c r="F127" s="2"/>
      <c r="G127" s="173"/>
      <c r="H127" s="174"/>
      <c r="I127" s="173" t="e">
        <f>Tabela22[[#This Row],[PESO TOTAL]]/Tabela22[[#This Row],[QUANTIDADE]]</f>
        <v>#DIV/0!</v>
      </c>
      <c r="J127" s="2"/>
      <c r="K127" s="193"/>
      <c r="L127" s="8"/>
      <c r="M127" s="8"/>
      <c r="N127" s="8"/>
      <c r="O127" s="194"/>
      <c r="P127" s="195"/>
    </row>
    <row r="128" spans="1:16">
      <c r="A128" s="3"/>
      <c r="B128" s="3" t="str">
        <f>TEXT(Tabela22345[[#This Row],[DATA]],"mmmm")</f>
        <v>janeiro</v>
      </c>
      <c r="C128" s="2"/>
      <c r="D128" s="2"/>
      <c r="E128" s="2"/>
      <c r="F128" s="2"/>
      <c r="G128" s="173"/>
      <c r="H128" s="174"/>
      <c r="I128" s="173" t="e">
        <f>Tabela22[[#This Row],[PESO TOTAL]]/Tabela22[[#This Row],[QUANTIDADE]]</f>
        <v>#DIV/0!</v>
      </c>
      <c r="J128" s="2"/>
      <c r="K128" s="193"/>
      <c r="L128" s="8"/>
      <c r="M128" s="8"/>
      <c r="N128" s="8"/>
      <c r="O128" s="194"/>
      <c r="P128" s="195"/>
    </row>
    <row r="129" spans="1:16">
      <c r="A129" s="3"/>
      <c r="B129" s="3" t="str">
        <f>TEXT(Tabela22345[[#This Row],[DATA]],"mmmm")</f>
        <v>janeiro</v>
      </c>
      <c r="C129" s="2"/>
      <c r="D129" s="2"/>
      <c r="E129" s="2"/>
      <c r="F129" s="2"/>
      <c r="G129" s="173"/>
      <c r="H129" s="174"/>
      <c r="I129" s="173" t="e">
        <f>Tabela22[[#This Row],[PESO TOTAL]]/Tabela22[[#This Row],[QUANTIDADE]]</f>
        <v>#DIV/0!</v>
      </c>
      <c r="J129" s="2"/>
      <c r="K129" s="193"/>
      <c r="L129" s="8"/>
      <c r="M129" s="8"/>
      <c r="N129" s="8"/>
      <c r="O129" s="194"/>
      <c r="P129" s="195"/>
    </row>
    <row r="130" spans="1:16">
      <c r="A130" s="3"/>
      <c r="B130" s="3" t="str">
        <f>TEXT(Tabela22345[[#This Row],[DATA]],"mmmm")</f>
        <v>janeiro</v>
      </c>
      <c r="C130" s="2"/>
      <c r="D130" s="2"/>
      <c r="E130" s="2"/>
      <c r="F130" s="2"/>
      <c r="G130" s="173"/>
      <c r="H130" s="174"/>
      <c r="I130" s="173" t="e">
        <f>Tabela22[[#This Row],[PESO TOTAL]]/Tabela22[[#This Row],[QUANTIDADE]]</f>
        <v>#DIV/0!</v>
      </c>
      <c r="J130" s="2"/>
      <c r="K130" s="193"/>
      <c r="L130" s="8"/>
      <c r="M130" s="8"/>
      <c r="N130" s="8"/>
      <c r="O130" s="194"/>
      <c r="P130" s="195"/>
    </row>
    <row r="131" spans="1:16">
      <c r="A131" s="3"/>
      <c r="B131" s="3" t="str">
        <f>TEXT(Tabela22345[[#This Row],[DATA]],"mmmm")</f>
        <v>janeiro</v>
      </c>
      <c r="C131" s="2"/>
      <c r="D131" s="2"/>
      <c r="E131" s="2"/>
      <c r="F131" s="2"/>
      <c r="G131" s="173"/>
      <c r="H131" s="174"/>
      <c r="I131" s="173" t="e">
        <f>Tabela22[[#This Row],[PESO TOTAL]]/Tabela22[[#This Row],[QUANTIDADE]]</f>
        <v>#DIV/0!</v>
      </c>
      <c r="J131" s="2"/>
      <c r="K131" s="193"/>
      <c r="L131" s="8"/>
      <c r="M131" s="8"/>
      <c r="N131" s="8"/>
      <c r="O131" s="194"/>
      <c r="P131" s="195"/>
    </row>
    <row r="132" spans="1:16">
      <c r="A132" s="3"/>
      <c r="B132" s="3" t="str">
        <f>TEXT(Tabela22345[[#This Row],[DATA]],"mmmm")</f>
        <v>janeiro</v>
      </c>
      <c r="C132" s="2"/>
      <c r="D132" s="2"/>
      <c r="E132" s="2"/>
      <c r="F132" s="2"/>
      <c r="G132" s="173"/>
      <c r="H132" s="174"/>
      <c r="I132" s="173" t="e">
        <f>Tabela22[[#This Row],[PESO TOTAL]]/Tabela22[[#This Row],[QUANTIDADE]]</f>
        <v>#DIV/0!</v>
      </c>
      <c r="J132" s="2"/>
      <c r="K132" s="193"/>
      <c r="L132" s="8"/>
      <c r="M132" s="8"/>
      <c r="N132" s="8"/>
      <c r="O132" s="194"/>
      <c r="P132" s="195"/>
    </row>
    <row r="133" spans="1:16">
      <c r="A133" s="3"/>
      <c r="B133" s="3" t="str">
        <f>TEXT(Tabela22345[[#This Row],[DATA]],"mmmm")</f>
        <v>janeiro</v>
      </c>
      <c r="C133" s="2"/>
      <c r="D133" s="2"/>
      <c r="E133" s="2"/>
      <c r="F133" s="2"/>
      <c r="G133" s="173"/>
      <c r="H133" s="174"/>
      <c r="I133" s="173" t="e">
        <f>Tabela22[[#This Row],[PESO TOTAL]]/Tabela22[[#This Row],[QUANTIDADE]]</f>
        <v>#DIV/0!</v>
      </c>
      <c r="J133" s="2"/>
      <c r="K133" s="193"/>
      <c r="L133" s="8"/>
      <c r="M133" s="8"/>
      <c r="N133" s="8"/>
      <c r="O133" s="194"/>
      <c r="P133" s="195"/>
    </row>
    <row r="134" spans="1:16">
      <c r="A134" s="3"/>
      <c r="B134" s="3" t="str">
        <f>TEXT(Tabela22345[[#This Row],[DATA]],"mmmm")</f>
        <v>janeiro</v>
      </c>
      <c r="C134" s="2"/>
      <c r="D134" s="2"/>
      <c r="E134" s="2"/>
      <c r="F134" s="2"/>
      <c r="G134" s="173"/>
      <c r="H134" s="174"/>
      <c r="I134" s="173" t="e">
        <f>Tabela22[[#This Row],[PESO TOTAL]]/Tabela22[[#This Row],[QUANTIDADE]]</f>
        <v>#DIV/0!</v>
      </c>
      <c r="J134" s="2"/>
      <c r="K134" s="193"/>
      <c r="L134" s="8"/>
      <c r="M134" s="8"/>
      <c r="N134" s="8"/>
      <c r="O134" s="194"/>
      <c r="P134" s="195"/>
    </row>
    <row r="135" spans="1:16">
      <c r="A135" s="3"/>
      <c r="B135" s="3" t="str">
        <f>TEXT(Tabela22345[[#This Row],[DATA]],"mmmm")</f>
        <v>janeiro</v>
      </c>
      <c r="C135" s="2"/>
      <c r="D135" s="2"/>
      <c r="E135" s="2"/>
      <c r="F135" s="2"/>
      <c r="G135" s="173"/>
      <c r="H135" s="174"/>
      <c r="I135" s="173" t="e">
        <f>Tabela22[[#This Row],[PESO TOTAL]]/Tabela22[[#This Row],[QUANTIDADE]]</f>
        <v>#DIV/0!</v>
      </c>
      <c r="J135" s="2"/>
      <c r="K135" s="193"/>
      <c r="L135" s="8"/>
      <c r="M135" s="8"/>
      <c r="N135" s="8"/>
      <c r="O135" s="194"/>
      <c r="P135" s="195"/>
    </row>
    <row r="136" spans="1:16">
      <c r="A136" s="3"/>
      <c r="B136" s="3" t="str">
        <f>TEXT(Tabela22345[[#This Row],[DATA]],"mmmm")</f>
        <v>janeiro</v>
      </c>
      <c r="C136" s="2"/>
      <c r="D136" s="2"/>
      <c r="E136" s="2"/>
      <c r="F136" s="2"/>
      <c r="G136" s="173"/>
      <c r="H136" s="174"/>
      <c r="I136" s="173" t="e">
        <f>Tabela22[[#This Row],[PESO TOTAL]]/Tabela22[[#This Row],[QUANTIDADE]]</f>
        <v>#DIV/0!</v>
      </c>
      <c r="J136" s="2"/>
      <c r="K136" s="193"/>
      <c r="L136" s="8"/>
      <c r="M136" s="8"/>
      <c r="N136" s="8"/>
      <c r="O136" s="194"/>
      <c r="P136" s="195"/>
    </row>
    <row r="137" spans="1:16">
      <c r="A137" s="3"/>
      <c r="B137" s="3" t="str">
        <f>TEXT(Tabela22345[[#This Row],[DATA]],"mmmm")</f>
        <v>janeiro</v>
      </c>
      <c r="C137" s="2"/>
      <c r="D137" s="2"/>
      <c r="E137" s="2"/>
      <c r="F137" s="2"/>
      <c r="G137" s="173"/>
      <c r="H137" s="174"/>
      <c r="I137" s="173" t="e">
        <f>Tabela22[[#This Row],[PESO TOTAL]]/Tabela22[[#This Row],[QUANTIDADE]]</f>
        <v>#DIV/0!</v>
      </c>
      <c r="J137" s="2"/>
      <c r="K137" s="193"/>
      <c r="L137" s="8"/>
      <c r="M137" s="8"/>
      <c r="N137" s="8"/>
      <c r="O137" s="194"/>
      <c r="P137" s="195"/>
    </row>
    <row r="138" spans="1:16">
      <c r="A138" s="3"/>
      <c r="B138" s="3" t="str">
        <f>TEXT(Tabela22345[[#This Row],[DATA]],"mmmm")</f>
        <v>janeiro</v>
      </c>
      <c r="C138" s="2"/>
      <c r="D138" s="2"/>
      <c r="E138" s="2"/>
      <c r="F138" s="2"/>
      <c r="G138" s="173"/>
      <c r="H138" s="174"/>
      <c r="I138" s="173" t="e">
        <f>Tabela22[[#This Row],[PESO TOTAL]]/Tabela22[[#This Row],[QUANTIDADE]]</f>
        <v>#DIV/0!</v>
      </c>
      <c r="J138" s="2"/>
      <c r="K138" s="193"/>
      <c r="L138" s="8"/>
      <c r="M138" s="8"/>
      <c r="N138" s="8"/>
      <c r="O138" s="194"/>
      <c r="P138" s="195"/>
    </row>
    <row r="139" spans="1:16">
      <c r="A139" s="3"/>
      <c r="B139" s="3" t="str">
        <f>TEXT(Tabela22345[[#This Row],[DATA]],"mmmm")</f>
        <v>janeiro</v>
      </c>
      <c r="C139" s="2"/>
      <c r="D139" s="2"/>
      <c r="E139" s="2"/>
      <c r="F139" s="2"/>
      <c r="G139" s="173"/>
      <c r="H139" s="174"/>
      <c r="I139" s="173" t="e">
        <f>Tabela22[[#This Row],[PESO TOTAL]]/Tabela22[[#This Row],[QUANTIDADE]]</f>
        <v>#DIV/0!</v>
      </c>
      <c r="J139" s="2"/>
      <c r="K139" s="193"/>
      <c r="L139" s="8"/>
      <c r="M139" s="8"/>
      <c r="N139" s="8"/>
      <c r="O139" s="194"/>
      <c r="P139" s="195"/>
    </row>
    <row r="140" spans="1:16">
      <c r="A140" s="3"/>
      <c r="B140" s="3" t="str">
        <f>TEXT(Tabela22345[[#This Row],[DATA]],"mmmm")</f>
        <v>janeiro</v>
      </c>
      <c r="C140" s="2"/>
      <c r="D140" s="2"/>
      <c r="E140" s="2"/>
      <c r="F140" s="2"/>
      <c r="G140" s="173"/>
      <c r="H140" s="174"/>
      <c r="I140" s="173" t="e">
        <f>Tabela22[[#This Row],[PESO TOTAL]]/Tabela22[[#This Row],[QUANTIDADE]]</f>
        <v>#DIV/0!</v>
      </c>
      <c r="J140" s="2"/>
      <c r="K140" s="193"/>
      <c r="L140" s="8"/>
      <c r="M140" s="8"/>
      <c r="N140" s="8"/>
      <c r="O140" s="194"/>
      <c r="P140" s="195"/>
    </row>
    <row r="141" spans="1:16">
      <c r="A141" s="3"/>
      <c r="B141" s="3" t="str">
        <f>TEXT(Tabela22345[[#This Row],[DATA]],"mmmm")</f>
        <v>janeiro</v>
      </c>
      <c r="C141" s="2"/>
      <c r="D141" s="2"/>
      <c r="E141" s="2"/>
      <c r="F141" s="2"/>
      <c r="G141" s="173"/>
      <c r="H141" s="174"/>
      <c r="I141" s="173" t="e">
        <f>Tabela22[[#This Row],[PESO TOTAL]]/Tabela22[[#This Row],[QUANTIDADE]]</f>
        <v>#DIV/0!</v>
      </c>
      <c r="J141" s="2"/>
      <c r="K141" s="193"/>
      <c r="L141" s="8"/>
      <c r="M141" s="8"/>
      <c r="N141" s="8"/>
      <c r="O141" s="194"/>
      <c r="P141" s="195"/>
    </row>
    <row r="142" spans="1:16">
      <c r="A142" s="3"/>
      <c r="B142" s="3" t="str">
        <f>TEXT(Tabela22345[[#This Row],[DATA]],"mmmm")</f>
        <v>janeiro</v>
      </c>
      <c r="C142" s="2"/>
      <c r="D142" s="2"/>
      <c r="E142" s="2"/>
      <c r="F142" s="2"/>
      <c r="G142" s="173"/>
      <c r="H142" s="174"/>
      <c r="I142" s="173" t="e">
        <f>Tabela22[[#This Row],[PESO TOTAL]]/Tabela22[[#This Row],[QUANTIDADE]]</f>
        <v>#DIV/0!</v>
      </c>
      <c r="J142" s="2"/>
      <c r="K142" s="193"/>
      <c r="L142" s="8"/>
      <c r="M142" s="8"/>
      <c r="N142" s="8"/>
      <c r="O142" s="194"/>
      <c r="P142" s="195"/>
    </row>
    <row r="143" spans="1:16">
      <c r="A143" s="3"/>
      <c r="B143" s="3" t="str">
        <f>TEXT(Tabela22345[[#This Row],[DATA]],"mmmm")</f>
        <v>janeiro</v>
      </c>
      <c r="C143" s="2"/>
      <c r="D143" s="2"/>
      <c r="E143" s="2"/>
      <c r="F143" s="2"/>
      <c r="G143" s="173"/>
      <c r="H143" s="174"/>
      <c r="I143" s="173" t="e">
        <f>Tabela22[[#This Row],[PESO TOTAL]]/Tabela22[[#This Row],[QUANTIDADE]]</f>
        <v>#DIV/0!</v>
      </c>
      <c r="J143" s="2"/>
      <c r="K143" s="193"/>
      <c r="L143" s="8"/>
      <c r="M143" s="8"/>
      <c r="N143" s="8"/>
      <c r="O143" s="194"/>
      <c r="P143" s="195"/>
    </row>
    <row r="144" spans="1:16">
      <c r="A144" s="3"/>
      <c r="B144" s="3" t="str">
        <f>TEXT(Tabela22345[[#This Row],[DATA]],"mmmm")</f>
        <v>janeiro</v>
      </c>
      <c r="C144" s="2"/>
      <c r="D144" s="2"/>
      <c r="E144" s="2"/>
      <c r="F144" s="2"/>
      <c r="G144" s="173"/>
      <c r="H144" s="174"/>
      <c r="I144" s="173" t="e">
        <f>Tabela22[[#This Row],[PESO TOTAL]]/Tabela22[[#This Row],[QUANTIDADE]]</f>
        <v>#DIV/0!</v>
      </c>
      <c r="J144" s="2"/>
      <c r="K144" s="193"/>
      <c r="L144" s="8"/>
      <c r="M144" s="8"/>
      <c r="N144" s="8"/>
      <c r="O144" s="194"/>
      <c r="P144" s="195"/>
    </row>
    <row r="145" spans="1:16">
      <c r="A145" s="3"/>
      <c r="B145" s="3" t="str">
        <f>TEXT(Tabela22345[[#This Row],[DATA]],"mmmm")</f>
        <v>janeiro</v>
      </c>
      <c r="C145" s="2"/>
      <c r="D145" s="2"/>
      <c r="E145" s="2"/>
      <c r="F145" s="2"/>
      <c r="G145" s="173"/>
      <c r="H145" s="174"/>
      <c r="I145" s="173" t="e">
        <f>Tabela22[[#This Row],[PESO TOTAL]]/Tabela22[[#This Row],[QUANTIDADE]]</f>
        <v>#DIV/0!</v>
      </c>
      <c r="J145" s="2"/>
      <c r="K145" s="193"/>
      <c r="L145" s="8"/>
      <c r="M145" s="8"/>
      <c r="N145" s="8"/>
      <c r="O145" s="194"/>
      <c r="P145" s="195"/>
    </row>
    <row r="146" spans="1:16">
      <c r="A146" s="3"/>
      <c r="B146" s="3" t="str">
        <f>TEXT(Tabela22345[[#This Row],[DATA]],"mmmm")</f>
        <v>janeiro</v>
      </c>
      <c r="C146" s="2"/>
      <c r="D146" s="2"/>
      <c r="E146" s="2"/>
      <c r="F146" s="2"/>
      <c r="G146" s="173"/>
      <c r="H146" s="174"/>
      <c r="I146" s="173" t="e">
        <f>Tabela22[[#This Row],[PESO TOTAL]]/Tabela22[[#This Row],[QUANTIDADE]]</f>
        <v>#DIV/0!</v>
      </c>
      <c r="J146" s="2"/>
      <c r="K146" s="193"/>
      <c r="L146" s="8"/>
      <c r="M146" s="8"/>
      <c r="N146" s="8"/>
      <c r="O146" s="194"/>
      <c r="P146" s="195"/>
    </row>
    <row r="147" spans="1:16">
      <c r="A147" s="3"/>
      <c r="B147" s="3" t="str">
        <f>TEXT(Tabela22345[[#This Row],[DATA]],"mmmm")</f>
        <v>janeiro</v>
      </c>
      <c r="C147" s="2"/>
      <c r="D147" s="2"/>
      <c r="E147" s="2"/>
      <c r="F147" s="2"/>
      <c r="G147" s="173"/>
      <c r="H147" s="174"/>
      <c r="I147" s="173" t="e">
        <f>Tabela22[[#This Row],[PESO TOTAL]]/Tabela22[[#This Row],[QUANTIDADE]]</f>
        <v>#DIV/0!</v>
      </c>
      <c r="J147" s="2"/>
      <c r="K147" s="193"/>
      <c r="L147" s="8"/>
      <c r="M147" s="8"/>
      <c r="N147" s="8"/>
      <c r="O147" s="194"/>
      <c r="P147" s="195"/>
    </row>
    <row r="148" spans="1:16">
      <c r="A148" s="3"/>
      <c r="B148" s="3" t="str">
        <f>TEXT(Tabela22345[[#This Row],[DATA]],"mmmm")</f>
        <v>janeiro</v>
      </c>
      <c r="C148" s="2"/>
      <c r="D148" s="2"/>
      <c r="E148" s="2"/>
      <c r="F148" s="2"/>
      <c r="G148" s="173"/>
      <c r="H148" s="174"/>
      <c r="I148" s="173" t="e">
        <f>Tabela22[[#This Row],[PESO TOTAL]]/Tabela22[[#This Row],[QUANTIDADE]]</f>
        <v>#DIV/0!</v>
      </c>
      <c r="J148" s="2"/>
      <c r="K148" s="193"/>
      <c r="L148" s="8"/>
      <c r="M148" s="8"/>
      <c r="N148" s="8"/>
      <c r="O148" s="194"/>
      <c r="P148" s="195"/>
    </row>
    <row r="149" spans="1:16">
      <c r="A149" s="3"/>
      <c r="B149" s="3" t="str">
        <f>TEXT(Tabela22345[[#This Row],[DATA]],"mmmm")</f>
        <v>janeiro</v>
      </c>
      <c r="C149" s="2"/>
      <c r="D149" s="2"/>
      <c r="E149" s="2"/>
      <c r="F149" s="2"/>
      <c r="G149" s="173"/>
      <c r="H149" s="174"/>
      <c r="I149" s="173" t="e">
        <f>Tabela22[[#This Row],[PESO TOTAL]]/Tabela22[[#This Row],[QUANTIDADE]]</f>
        <v>#DIV/0!</v>
      </c>
      <c r="J149" s="2"/>
      <c r="K149" s="193"/>
      <c r="L149" s="8"/>
      <c r="M149" s="8"/>
      <c r="N149" s="8"/>
      <c r="O149" s="194"/>
      <c r="P149" s="195"/>
    </row>
    <row r="150" spans="1:16">
      <c r="A150" s="3"/>
      <c r="B150" s="3" t="str">
        <f>TEXT(Tabela22345[[#This Row],[DATA]],"mmmm")</f>
        <v>janeiro</v>
      </c>
      <c r="C150" s="2"/>
      <c r="D150" s="2"/>
      <c r="E150" s="2"/>
      <c r="F150" s="2"/>
      <c r="G150" s="173"/>
      <c r="H150" s="174"/>
      <c r="I150" s="173" t="e">
        <f>Tabela22[[#This Row],[PESO TOTAL]]/Tabela22[[#This Row],[QUANTIDADE]]</f>
        <v>#DIV/0!</v>
      </c>
      <c r="J150" s="2"/>
      <c r="K150" s="193"/>
      <c r="L150" s="8"/>
      <c r="M150" s="8"/>
      <c r="N150" s="8"/>
      <c r="O150" s="194"/>
      <c r="P150" s="195"/>
    </row>
    <row r="151" spans="1:16">
      <c r="A151" s="3"/>
      <c r="B151" s="3" t="str">
        <f>TEXT(Tabela22345[[#This Row],[DATA]],"mmmm")</f>
        <v>janeiro</v>
      </c>
      <c r="C151" s="2"/>
      <c r="D151" s="2"/>
      <c r="E151" s="2"/>
      <c r="F151" s="2"/>
      <c r="G151" s="173"/>
      <c r="H151" s="174"/>
      <c r="I151" s="173" t="e">
        <f>Tabela22[[#This Row],[PESO TOTAL]]/Tabela22[[#This Row],[QUANTIDADE]]</f>
        <v>#DIV/0!</v>
      </c>
      <c r="J151" s="2"/>
      <c r="K151" s="193"/>
      <c r="L151" s="8"/>
      <c r="M151" s="8"/>
      <c r="N151" s="8"/>
      <c r="O151" s="194"/>
      <c r="P151" s="195"/>
    </row>
    <row r="152" spans="1:16">
      <c r="A152" s="3"/>
      <c r="B152" s="3" t="str">
        <f>TEXT(Tabela22345[[#This Row],[DATA]],"mmmm")</f>
        <v>janeiro</v>
      </c>
      <c r="C152" s="2"/>
      <c r="D152" s="2"/>
      <c r="E152" s="2"/>
      <c r="F152" s="2"/>
      <c r="G152" s="173"/>
      <c r="H152" s="174"/>
      <c r="I152" s="173" t="e">
        <f>Tabela22[[#This Row],[PESO TOTAL]]/Tabela22[[#This Row],[QUANTIDADE]]</f>
        <v>#DIV/0!</v>
      </c>
      <c r="J152" s="2"/>
      <c r="K152" s="193"/>
      <c r="L152" s="8"/>
      <c r="M152" s="8"/>
      <c r="N152" s="8"/>
      <c r="O152" s="194"/>
      <c r="P152" s="195"/>
    </row>
    <row r="153" spans="1:16">
      <c r="A153" s="3"/>
      <c r="B153" s="3" t="str">
        <f>TEXT(Tabela22345[[#This Row],[DATA]],"mmmm")</f>
        <v>janeiro</v>
      </c>
      <c r="C153" s="2"/>
      <c r="D153" s="2"/>
      <c r="E153" s="2"/>
      <c r="F153" s="2"/>
      <c r="G153" s="173"/>
      <c r="H153" s="174"/>
      <c r="I153" s="173" t="e">
        <f>Tabela22[[#This Row],[PESO TOTAL]]/Tabela22[[#This Row],[QUANTIDADE]]</f>
        <v>#DIV/0!</v>
      </c>
      <c r="J153" s="2"/>
      <c r="K153" s="193"/>
      <c r="L153" s="8"/>
      <c r="M153" s="8"/>
      <c r="N153" s="8"/>
      <c r="O153" s="194"/>
      <c r="P153" s="195"/>
    </row>
    <row r="154" spans="1:16">
      <c r="A154" s="3"/>
      <c r="B154" s="3" t="str">
        <f>TEXT(Tabela22345[[#This Row],[DATA]],"mmmm")</f>
        <v>janeiro</v>
      </c>
      <c r="C154" s="2"/>
      <c r="D154" s="2"/>
      <c r="E154" s="2"/>
      <c r="F154" s="2"/>
      <c r="G154" s="173"/>
      <c r="H154" s="174"/>
      <c r="I154" s="173" t="e">
        <f>Tabela22[[#This Row],[PESO TOTAL]]/Tabela22[[#This Row],[QUANTIDADE]]</f>
        <v>#DIV/0!</v>
      </c>
      <c r="J154" s="2"/>
      <c r="K154" s="193"/>
      <c r="L154" s="8"/>
      <c r="M154" s="8"/>
      <c r="N154" s="8"/>
      <c r="O154" s="194"/>
      <c r="P154" s="195"/>
    </row>
    <row r="155" spans="1:16">
      <c r="A155" s="3"/>
      <c r="B155" s="3" t="str">
        <f>TEXT(Tabela22345[[#This Row],[DATA]],"mmmm")</f>
        <v>janeiro</v>
      </c>
      <c r="C155" s="2"/>
      <c r="D155" s="2"/>
      <c r="E155" s="2"/>
      <c r="F155" s="2"/>
      <c r="G155" s="173"/>
      <c r="H155" s="174"/>
      <c r="I155" s="173" t="e">
        <f>Tabela22[[#This Row],[PESO TOTAL]]/Tabela22[[#This Row],[QUANTIDADE]]</f>
        <v>#DIV/0!</v>
      </c>
      <c r="J155" s="2"/>
      <c r="K155" s="193"/>
      <c r="L155" s="8"/>
      <c r="M155" s="8"/>
      <c r="N155" s="8"/>
      <c r="O155" s="194"/>
      <c r="P155" s="195"/>
    </row>
    <row r="156" spans="1:16">
      <c r="A156" s="3"/>
      <c r="B156" s="3" t="str">
        <f>TEXT(Tabela22345[[#This Row],[DATA]],"mmmm")</f>
        <v>janeiro</v>
      </c>
      <c r="C156" s="2"/>
      <c r="D156" s="2"/>
      <c r="E156" s="2"/>
      <c r="F156" s="2"/>
      <c r="G156" s="173"/>
      <c r="H156" s="174"/>
      <c r="I156" s="173" t="e">
        <f>Tabela22[[#This Row],[PESO TOTAL]]/Tabela22[[#This Row],[QUANTIDADE]]</f>
        <v>#DIV/0!</v>
      </c>
      <c r="J156" s="2"/>
      <c r="K156" s="193"/>
      <c r="L156" s="8"/>
      <c r="M156" s="8"/>
      <c r="N156" s="8"/>
      <c r="O156" s="194"/>
      <c r="P156" s="195"/>
    </row>
    <row r="157" spans="1:16">
      <c r="A157" s="3"/>
      <c r="B157" s="3" t="str">
        <f>TEXT(Tabela22345[[#This Row],[DATA]],"mmmm")</f>
        <v>janeiro</v>
      </c>
      <c r="C157" s="2"/>
      <c r="D157" s="2"/>
      <c r="E157" s="2"/>
      <c r="F157" s="2"/>
      <c r="G157" s="173"/>
      <c r="H157" s="174"/>
      <c r="I157" s="173" t="e">
        <f>Tabela22[[#This Row],[PESO TOTAL]]/Tabela22[[#This Row],[QUANTIDADE]]</f>
        <v>#DIV/0!</v>
      </c>
      <c r="J157" s="2"/>
      <c r="K157" s="193"/>
      <c r="L157" s="8"/>
      <c r="M157" s="8"/>
      <c r="N157" s="8"/>
      <c r="O157" s="194"/>
      <c r="P157" s="195"/>
    </row>
    <row r="158" spans="1:16">
      <c r="A158" s="3"/>
      <c r="B158" s="3" t="str">
        <f>TEXT(Tabela22345[[#This Row],[DATA]],"mmmm")</f>
        <v>janeiro</v>
      </c>
      <c r="C158" s="2"/>
      <c r="D158" s="2"/>
      <c r="E158" s="2"/>
      <c r="F158" s="2"/>
      <c r="G158" s="173"/>
      <c r="H158" s="174"/>
      <c r="I158" s="173" t="e">
        <f>Tabela22[[#This Row],[PESO TOTAL]]/Tabela22[[#This Row],[QUANTIDADE]]</f>
        <v>#DIV/0!</v>
      </c>
      <c r="J158" s="2"/>
      <c r="K158" s="193"/>
      <c r="L158" s="8"/>
      <c r="M158" s="8"/>
      <c r="N158" s="8"/>
      <c r="O158" s="194"/>
      <c r="P158" s="195"/>
    </row>
    <row r="159" spans="1:16">
      <c r="A159" s="3"/>
      <c r="B159" s="3" t="str">
        <f>TEXT(Tabela22345[[#This Row],[DATA]],"mmmm")</f>
        <v>janeiro</v>
      </c>
      <c r="C159" s="2"/>
      <c r="D159" s="2"/>
      <c r="E159" s="2"/>
      <c r="F159" s="2"/>
      <c r="G159" s="173"/>
      <c r="H159" s="174"/>
      <c r="I159" s="173" t="e">
        <f>Tabela22[[#This Row],[PESO TOTAL]]/Tabela22[[#This Row],[QUANTIDADE]]</f>
        <v>#DIV/0!</v>
      </c>
      <c r="J159" s="2"/>
      <c r="K159" s="193"/>
      <c r="L159" s="8"/>
      <c r="M159" s="8"/>
      <c r="N159" s="8"/>
      <c r="O159" s="194"/>
      <c r="P159" s="195"/>
    </row>
    <row r="160" spans="1:16">
      <c r="A160" s="3"/>
      <c r="B160" s="3" t="str">
        <f>TEXT(Tabela22345[[#This Row],[DATA]],"mmmm")</f>
        <v>janeiro</v>
      </c>
      <c r="C160" s="2"/>
      <c r="D160" s="2"/>
      <c r="E160" s="2"/>
      <c r="F160" s="2"/>
      <c r="G160" s="173"/>
      <c r="H160" s="174"/>
      <c r="I160" s="173" t="e">
        <f>Tabela22[[#This Row],[PESO TOTAL]]/Tabela22[[#This Row],[QUANTIDADE]]</f>
        <v>#DIV/0!</v>
      </c>
      <c r="J160" s="2"/>
      <c r="K160" s="193"/>
      <c r="L160" s="8"/>
      <c r="M160" s="8"/>
      <c r="N160" s="8"/>
      <c r="O160" s="194"/>
      <c r="P160" s="195"/>
    </row>
    <row r="161" spans="1:16">
      <c r="A161" s="3"/>
      <c r="B161" s="3" t="str">
        <f>TEXT(Tabela22345[[#This Row],[DATA]],"mmmm")</f>
        <v>janeiro</v>
      </c>
      <c r="C161" s="2"/>
      <c r="D161" s="2"/>
      <c r="E161" s="2"/>
      <c r="F161" s="2"/>
      <c r="G161" s="173"/>
      <c r="H161" s="174"/>
      <c r="I161" s="173" t="e">
        <f>Tabela22[[#This Row],[PESO TOTAL]]/Tabela22[[#This Row],[QUANTIDADE]]</f>
        <v>#DIV/0!</v>
      </c>
      <c r="J161" s="2"/>
      <c r="K161" s="193"/>
      <c r="L161" s="8"/>
      <c r="M161" s="8"/>
      <c r="N161" s="8"/>
      <c r="O161" s="194"/>
      <c r="P161" s="195"/>
    </row>
    <row r="162" spans="1:16">
      <c r="A162" s="3"/>
      <c r="B162" s="3" t="str">
        <f>TEXT(Tabela22345[[#This Row],[DATA]],"mmmm")</f>
        <v>janeiro</v>
      </c>
      <c r="C162" s="2"/>
      <c r="D162" s="2"/>
      <c r="E162" s="2"/>
      <c r="F162" s="2"/>
      <c r="G162" s="173"/>
      <c r="H162" s="174"/>
      <c r="I162" s="173" t="e">
        <f>Tabela22[[#This Row],[PESO TOTAL]]/Tabela22[[#This Row],[QUANTIDADE]]</f>
        <v>#DIV/0!</v>
      </c>
      <c r="J162" s="2"/>
      <c r="K162" s="193"/>
      <c r="L162" s="8"/>
      <c r="M162" s="8"/>
      <c r="N162" s="8"/>
      <c r="O162" s="194"/>
      <c r="P162" s="195"/>
    </row>
    <row r="163" spans="1:16">
      <c r="A163" s="3"/>
      <c r="B163" s="3" t="str">
        <f>TEXT(Tabela22345[[#This Row],[DATA]],"mmmm")</f>
        <v>janeiro</v>
      </c>
      <c r="C163" s="2"/>
      <c r="D163" s="2"/>
      <c r="E163" s="2"/>
      <c r="F163" s="2"/>
      <c r="G163" s="173"/>
      <c r="H163" s="174"/>
      <c r="I163" s="173" t="e">
        <f>Tabela22[[#This Row],[PESO TOTAL]]/Tabela22[[#This Row],[QUANTIDADE]]</f>
        <v>#DIV/0!</v>
      </c>
      <c r="J163" s="2"/>
      <c r="K163" s="193"/>
      <c r="L163" s="8"/>
      <c r="M163" s="8"/>
      <c r="N163" s="8"/>
      <c r="O163" s="194"/>
      <c r="P163" s="195"/>
    </row>
    <row r="164" spans="1:16">
      <c r="A164" s="3"/>
      <c r="B164" s="3" t="str">
        <f>TEXT(Tabela22345[[#This Row],[DATA]],"mmmm")</f>
        <v>janeiro</v>
      </c>
      <c r="C164" s="2"/>
      <c r="D164" s="2"/>
      <c r="E164" s="2"/>
      <c r="F164" s="2"/>
      <c r="G164" s="173"/>
      <c r="H164" s="174"/>
      <c r="I164" s="173" t="e">
        <f>Tabela22[[#This Row],[PESO TOTAL]]/Tabela22[[#This Row],[QUANTIDADE]]</f>
        <v>#DIV/0!</v>
      </c>
      <c r="J164" s="2"/>
      <c r="K164" s="193"/>
      <c r="L164" s="8"/>
      <c r="M164" s="8"/>
      <c r="N164" s="8"/>
      <c r="O164" s="194"/>
      <c r="P164" s="195"/>
    </row>
    <row r="165" spans="1:16">
      <c r="A165" s="3"/>
      <c r="B165" s="3" t="str">
        <f>TEXT(Tabela22345[[#This Row],[DATA]],"mmmm")</f>
        <v>janeiro</v>
      </c>
      <c r="C165" s="2"/>
      <c r="D165" s="2"/>
      <c r="E165" s="2"/>
      <c r="F165" s="2"/>
      <c r="G165" s="173"/>
      <c r="H165" s="174"/>
      <c r="I165" s="173" t="e">
        <f>Tabela22[[#This Row],[PESO TOTAL]]/Tabela22[[#This Row],[QUANTIDADE]]</f>
        <v>#DIV/0!</v>
      </c>
      <c r="J165" s="2"/>
      <c r="K165" s="193"/>
      <c r="L165" s="8"/>
      <c r="M165" s="8"/>
      <c r="N165" s="8"/>
      <c r="O165" s="194"/>
      <c r="P165" s="195"/>
    </row>
    <row r="166" spans="1:16">
      <c r="A166" s="3"/>
      <c r="B166" s="3" t="str">
        <f>TEXT(Tabela22345[[#This Row],[DATA]],"mmmm")</f>
        <v>janeiro</v>
      </c>
      <c r="C166" s="2"/>
      <c r="D166" s="2"/>
      <c r="E166" s="2"/>
      <c r="F166" s="2"/>
      <c r="G166" s="173"/>
      <c r="H166" s="174"/>
      <c r="I166" s="173" t="e">
        <f>Tabela22[[#This Row],[PESO TOTAL]]/Tabela22[[#This Row],[QUANTIDADE]]</f>
        <v>#DIV/0!</v>
      </c>
      <c r="J166" s="2"/>
      <c r="K166" s="193"/>
      <c r="L166" s="8"/>
      <c r="M166" s="8"/>
      <c r="N166" s="8"/>
      <c r="O166" s="194"/>
      <c r="P166" s="195"/>
    </row>
    <row r="167" spans="1:16">
      <c r="A167" s="3"/>
      <c r="B167" s="3" t="str">
        <f>TEXT(Tabela22345[[#This Row],[DATA]],"mmmm")</f>
        <v>janeiro</v>
      </c>
      <c r="C167" s="2"/>
      <c r="D167" s="2"/>
      <c r="E167" s="2"/>
      <c r="F167" s="2"/>
      <c r="G167" s="173"/>
      <c r="H167" s="174"/>
      <c r="I167" s="173" t="e">
        <f>Tabela22[[#This Row],[PESO TOTAL]]/Tabela22[[#This Row],[QUANTIDADE]]</f>
        <v>#DIV/0!</v>
      </c>
      <c r="J167" s="2"/>
      <c r="K167" s="193"/>
      <c r="L167" s="8"/>
      <c r="M167" s="8"/>
      <c r="N167" s="8"/>
      <c r="O167" s="194"/>
      <c r="P167" s="195"/>
    </row>
    <row r="168" spans="1:16">
      <c r="A168" s="3"/>
      <c r="B168" s="3" t="str">
        <f>TEXT(Tabela22345[[#This Row],[DATA]],"mmmm")</f>
        <v>janeiro</v>
      </c>
      <c r="C168" s="2"/>
      <c r="D168" s="2"/>
      <c r="E168" s="2"/>
      <c r="F168" s="2"/>
      <c r="G168" s="173"/>
      <c r="H168" s="174"/>
      <c r="I168" s="173" t="e">
        <f>Tabela22[[#This Row],[PESO TOTAL]]/Tabela22[[#This Row],[QUANTIDADE]]</f>
        <v>#DIV/0!</v>
      </c>
      <c r="J168" s="2"/>
      <c r="K168" s="193"/>
      <c r="L168" s="8"/>
      <c r="M168" s="8"/>
      <c r="N168" s="8"/>
      <c r="O168" s="194"/>
      <c r="P168" s="195"/>
    </row>
    <row r="169" spans="1:16">
      <c r="A169" s="3"/>
      <c r="B169" s="3" t="str">
        <f>TEXT(Tabela22345[[#This Row],[DATA]],"mmmm")</f>
        <v>janeiro</v>
      </c>
      <c r="C169" s="2"/>
      <c r="D169" s="2"/>
      <c r="E169" s="2"/>
      <c r="F169" s="2"/>
      <c r="G169" s="173"/>
      <c r="H169" s="174"/>
      <c r="I169" s="173" t="e">
        <f>Tabela22[[#This Row],[PESO TOTAL]]/Tabela22[[#This Row],[QUANTIDADE]]</f>
        <v>#DIV/0!</v>
      </c>
      <c r="J169" s="2"/>
      <c r="K169" s="193"/>
      <c r="L169" s="8"/>
      <c r="M169" s="8"/>
      <c r="N169" s="8"/>
      <c r="O169" s="194"/>
      <c r="P169" s="195"/>
    </row>
    <row r="170" spans="1:16">
      <c r="A170" s="3"/>
      <c r="B170" s="3" t="str">
        <f>TEXT(Tabela22345[[#This Row],[DATA]],"mmmm")</f>
        <v>janeiro</v>
      </c>
      <c r="C170" s="2"/>
      <c r="D170" s="2"/>
      <c r="E170" s="2"/>
      <c r="F170" s="2"/>
      <c r="G170" s="173"/>
      <c r="H170" s="174"/>
      <c r="I170" s="173" t="e">
        <f>Tabela22[[#This Row],[PESO TOTAL]]/Tabela22[[#This Row],[QUANTIDADE]]</f>
        <v>#DIV/0!</v>
      </c>
      <c r="J170" s="2"/>
      <c r="K170" s="193"/>
      <c r="L170" s="8"/>
      <c r="M170" s="8"/>
      <c r="N170" s="8"/>
      <c r="O170" s="194"/>
      <c r="P170" s="195"/>
    </row>
    <row r="171" spans="1:16">
      <c r="A171" s="3"/>
      <c r="B171" s="3" t="str">
        <f>TEXT(Tabela22345[[#This Row],[DATA]],"mmmm")</f>
        <v>janeiro</v>
      </c>
      <c r="C171" s="2"/>
      <c r="D171" s="2"/>
      <c r="E171" s="2"/>
      <c r="F171" s="2"/>
      <c r="G171" s="173"/>
      <c r="H171" s="174"/>
      <c r="I171" s="173" t="e">
        <f>Tabela22[[#This Row],[PESO TOTAL]]/Tabela22[[#This Row],[QUANTIDADE]]</f>
        <v>#DIV/0!</v>
      </c>
      <c r="J171" s="2"/>
      <c r="K171" s="193"/>
      <c r="L171" s="8"/>
      <c r="M171" s="8"/>
      <c r="N171" s="8"/>
      <c r="O171" s="194"/>
      <c r="P171" s="195"/>
    </row>
    <row r="172" spans="1:16">
      <c r="A172" s="3"/>
      <c r="B172" s="3" t="str">
        <f>TEXT(Tabela22345[[#This Row],[DATA]],"mmmm")</f>
        <v>janeiro</v>
      </c>
      <c r="C172" s="2"/>
      <c r="D172" s="2"/>
      <c r="E172" s="2"/>
      <c r="F172" s="2"/>
      <c r="G172" s="173"/>
      <c r="H172" s="174"/>
      <c r="I172" s="173" t="e">
        <f>Tabela22[[#This Row],[PESO TOTAL]]/Tabela22[[#This Row],[QUANTIDADE]]</f>
        <v>#DIV/0!</v>
      </c>
      <c r="J172" s="2"/>
      <c r="K172" s="193"/>
      <c r="L172" s="8"/>
      <c r="M172" s="8"/>
      <c r="N172" s="8"/>
      <c r="O172" s="194"/>
      <c r="P172" s="195"/>
    </row>
    <row r="173" spans="1:16">
      <c r="A173" s="3"/>
      <c r="B173" s="3" t="str">
        <f>TEXT(Tabela22345[[#This Row],[DATA]],"mmmm")</f>
        <v>janeiro</v>
      </c>
      <c r="C173" s="2"/>
      <c r="D173" s="2"/>
      <c r="E173" s="2"/>
      <c r="F173" s="2"/>
      <c r="G173" s="173"/>
      <c r="H173" s="174"/>
      <c r="I173" s="173" t="e">
        <f>Tabela22[[#This Row],[PESO TOTAL]]/Tabela22[[#This Row],[QUANTIDADE]]</f>
        <v>#DIV/0!</v>
      </c>
      <c r="J173" s="2"/>
      <c r="K173" s="193"/>
      <c r="L173" s="8"/>
      <c r="M173" s="8"/>
      <c r="N173" s="8"/>
      <c r="O173" s="194"/>
      <c r="P173" s="195"/>
    </row>
    <row r="174" spans="1:16">
      <c r="A174" s="3"/>
      <c r="B174" s="3" t="str">
        <f>TEXT(Tabela22345[[#This Row],[DATA]],"mmmm")</f>
        <v>janeiro</v>
      </c>
      <c r="C174" s="2"/>
      <c r="D174" s="2"/>
      <c r="E174" s="2"/>
      <c r="F174" s="2"/>
      <c r="G174" s="173"/>
      <c r="H174" s="174"/>
      <c r="I174" s="173" t="e">
        <f>Tabela22[[#This Row],[PESO TOTAL]]/Tabela22[[#This Row],[QUANTIDADE]]</f>
        <v>#DIV/0!</v>
      </c>
      <c r="J174" s="2"/>
      <c r="K174" s="193"/>
      <c r="L174" s="8"/>
      <c r="M174" s="8"/>
      <c r="N174" s="8"/>
      <c r="O174" s="194"/>
      <c r="P174" s="195"/>
    </row>
    <row r="175" spans="1:16">
      <c r="A175" s="3"/>
      <c r="B175" s="3" t="str">
        <f>TEXT(Tabela22345[[#This Row],[DATA]],"mmmm")</f>
        <v>janeiro</v>
      </c>
      <c r="C175" s="2"/>
      <c r="D175" s="2"/>
      <c r="E175" s="2"/>
      <c r="F175" s="2"/>
      <c r="G175" s="173"/>
      <c r="H175" s="174"/>
      <c r="I175" s="173" t="e">
        <f>Tabela22[[#This Row],[PESO TOTAL]]/Tabela22[[#This Row],[QUANTIDADE]]</f>
        <v>#DIV/0!</v>
      </c>
      <c r="J175" s="2"/>
      <c r="K175" s="193"/>
      <c r="L175" s="8"/>
      <c r="M175" s="8"/>
      <c r="N175" s="8"/>
      <c r="O175" s="194"/>
      <c r="P175" s="195"/>
    </row>
    <row r="176" spans="1:16">
      <c r="A176" s="3"/>
      <c r="B176" s="3" t="str">
        <f>TEXT(Tabela22345[[#This Row],[DATA]],"mmmm")</f>
        <v>janeiro</v>
      </c>
      <c r="C176" s="2"/>
      <c r="D176" s="2"/>
      <c r="E176" s="2"/>
      <c r="F176" s="2"/>
      <c r="G176" s="173"/>
      <c r="H176" s="174"/>
      <c r="I176" s="173" t="e">
        <f>Tabela22[[#This Row],[PESO TOTAL]]/Tabela22[[#This Row],[QUANTIDADE]]</f>
        <v>#DIV/0!</v>
      </c>
      <c r="J176" s="2"/>
      <c r="K176" s="193"/>
      <c r="L176" s="8"/>
      <c r="M176" s="8"/>
      <c r="N176" s="8"/>
      <c r="O176" s="194"/>
      <c r="P176" s="195"/>
    </row>
    <row r="177" spans="1:16">
      <c r="A177" s="3"/>
      <c r="B177" s="3" t="str">
        <f>TEXT(Tabela22345[[#This Row],[DATA]],"mmmm")</f>
        <v>janeiro</v>
      </c>
      <c r="C177" s="2"/>
      <c r="D177" s="2"/>
      <c r="E177" s="2"/>
      <c r="F177" s="2"/>
      <c r="G177" s="173"/>
      <c r="H177" s="174"/>
      <c r="I177" s="173" t="e">
        <f>Tabela22[[#This Row],[PESO TOTAL]]/Tabela22[[#This Row],[QUANTIDADE]]</f>
        <v>#DIV/0!</v>
      </c>
      <c r="J177" s="2"/>
      <c r="K177" s="193"/>
      <c r="L177" s="8"/>
      <c r="M177" s="8"/>
      <c r="N177" s="8"/>
      <c r="O177" s="194"/>
      <c r="P177" s="195"/>
    </row>
    <row r="178" spans="1:16">
      <c r="A178" s="3"/>
      <c r="B178" s="3" t="str">
        <f>TEXT(Tabela22345[[#This Row],[DATA]],"mmmm")</f>
        <v>janeiro</v>
      </c>
      <c r="C178" s="2"/>
      <c r="D178" s="2"/>
      <c r="E178" s="2"/>
      <c r="F178" s="2"/>
      <c r="G178" s="173"/>
      <c r="H178" s="174"/>
      <c r="I178" s="173" t="e">
        <f>Tabela22[[#This Row],[PESO TOTAL]]/Tabela22[[#This Row],[QUANTIDADE]]</f>
        <v>#DIV/0!</v>
      </c>
      <c r="J178" s="2"/>
      <c r="K178" s="193"/>
      <c r="L178" s="8"/>
      <c r="M178" s="8"/>
      <c r="N178" s="8"/>
      <c r="O178" s="194"/>
      <c r="P178" s="195"/>
    </row>
    <row r="179" spans="1:16">
      <c r="A179" s="3"/>
      <c r="B179" s="3" t="str">
        <f>TEXT(Tabela22345[[#This Row],[DATA]],"mmmm")</f>
        <v>janeiro</v>
      </c>
      <c r="C179" s="2"/>
      <c r="D179" s="2"/>
      <c r="E179" s="2"/>
      <c r="F179" s="2"/>
      <c r="G179" s="173"/>
      <c r="H179" s="174"/>
      <c r="I179" s="173" t="e">
        <f>Tabela22[[#This Row],[PESO TOTAL]]/Tabela22[[#This Row],[QUANTIDADE]]</f>
        <v>#DIV/0!</v>
      </c>
      <c r="J179" s="2"/>
      <c r="K179" s="193"/>
      <c r="L179" s="8"/>
      <c r="M179" s="8"/>
      <c r="N179" s="8"/>
      <c r="O179" s="194"/>
      <c r="P179" s="195"/>
    </row>
    <row r="180" spans="1:16">
      <c r="A180" s="3"/>
      <c r="B180" s="3" t="str">
        <f>TEXT(Tabela22345[[#This Row],[DATA]],"mmmm")</f>
        <v>janeiro</v>
      </c>
      <c r="C180" s="2"/>
      <c r="D180" s="2"/>
      <c r="E180" s="2"/>
      <c r="F180" s="2"/>
      <c r="G180" s="173"/>
      <c r="H180" s="174"/>
      <c r="I180" s="173" t="e">
        <f>Tabela22[[#This Row],[PESO TOTAL]]/Tabela22[[#This Row],[QUANTIDADE]]</f>
        <v>#DIV/0!</v>
      </c>
      <c r="J180" s="2"/>
      <c r="K180" s="193"/>
      <c r="L180" s="8"/>
      <c r="M180" s="8"/>
      <c r="N180" s="8"/>
      <c r="O180" s="194"/>
      <c r="P180" s="195"/>
    </row>
    <row r="181" spans="1:16">
      <c r="A181" s="3"/>
      <c r="B181" s="3" t="str">
        <f>TEXT(Tabela22345[[#This Row],[DATA]],"mmmm")</f>
        <v>janeiro</v>
      </c>
      <c r="C181" s="2"/>
      <c r="D181" s="2"/>
      <c r="E181" s="2"/>
      <c r="F181" s="2"/>
      <c r="G181" s="173"/>
      <c r="H181" s="174"/>
      <c r="I181" s="173" t="e">
        <f>Tabela22[[#This Row],[PESO TOTAL]]/Tabela22[[#This Row],[QUANTIDADE]]</f>
        <v>#DIV/0!</v>
      </c>
      <c r="J181" s="2"/>
      <c r="K181" s="193"/>
      <c r="L181" s="8"/>
      <c r="M181" s="8"/>
      <c r="N181" s="8"/>
      <c r="O181" s="194"/>
      <c r="P181" s="195"/>
    </row>
    <row r="182" spans="1:16">
      <c r="A182" s="3"/>
      <c r="B182" s="3" t="str">
        <f>TEXT(Tabela22345[[#This Row],[DATA]],"mmmm")</f>
        <v>janeiro</v>
      </c>
      <c r="C182" s="2"/>
      <c r="D182" s="2"/>
      <c r="E182" s="2"/>
      <c r="F182" s="2"/>
      <c r="G182" s="173"/>
      <c r="H182" s="174"/>
      <c r="I182" s="173" t="e">
        <f>Tabela22[[#This Row],[PESO TOTAL]]/Tabela22[[#This Row],[QUANTIDADE]]</f>
        <v>#DIV/0!</v>
      </c>
      <c r="J182" s="2"/>
      <c r="K182" s="193"/>
      <c r="L182" s="8"/>
      <c r="M182" s="8"/>
      <c r="N182" s="8"/>
      <c r="O182" s="194"/>
      <c r="P182" s="195"/>
    </row>
    <row r="183" spans="1:16">
      <c r="A183" s="3"/>
      <c r="B183" s="3" t="str">
        <f>TEXT(Tabela22345[[#This Row],[DATA]],"mmmm")</f>
        <v>janeiro</v>
      </c>
      <c r="C183" s="2"/>
      <c r="D183" s="2"/>
      <c r="E183" s="2"/>
      <c r="F183" s="2"/>
      <c r="G183" s="173"/>
      <c r="H183" s="174"/>
      <c r="I183" s="173" t="e">
        <f>Tabela22[[#This Row],[PESO TOTAL]]/Tabela22[[#This Row],[QUANTIDADE]]</f>
        <v>#DIV/0!</v>
      </c>
      <c r="J183" s="2"/>
      <c r="K183" s="193"/>
      <c r="L183" s="8"/>
      <c r="M183" s="8"/>
      <c r="N183" s="8"/>
      <c r="O183" s="194"/>
      <c r="P183" s="195"/>
    </row>
    <row r="184" spans="1:16">
      <c r="A184" s="3"/>
      <c r="B184" s="3" t="str">
        <f>TEXT(Tabela22345[[#This Row],[DATA]],"mmmm")</f>
        <v>janeiro</v>
      </c>
      <c r="C184" s="2"/>
      <c r="D184" s="2"/>
      <c r="E184" s="2"/>
      <c r="F184" s="2"/>
      <c r="G184" s="173"/>
      <c r="H184" s="174"/>
      <c r="I184" s="173" t="e">
        <f>Tabela22[[#This Row],[PESO TOTAL]]/Tabela22[[#This Row],[QUANTIDADE]]</f>
        <v>#DIV/0!</v>
      </c>
      <c r="J184" s="2"/>
      <c r="K184" s="193"/>
      <c r="L184" s="8"/>
      <c r="M184" s="8"/>
      <c r="N184" s="8"/>
      <c r="O184" s="194"/>
      <c r="P184" s="195"/>
    </row>
    <row r="185" spans="1:16">
      <c r="A185" s="3"/>
      <c r="B185" s="3" t="str">
        <f>TEXT(Tabela22345[[#This Row],[DATA]],"mmmm")</f>
        <v>janeiro</v>
      </c>
      <c r="C185" s="2"/>
      <c r="D185" s="2"/>
      <c r="E185" s="2"/>
      <c r="F185" s="2"/>
      <c r="G185" s="173"/>
      <c r="H185" s="174"/>
      <c r="I185" s="173" t="e">
        <f>Tabela22[[#This Row],[PESO TOTAL]]/Tabela22[[#This Row],[QUANTIDADE]]</f>
        <v>#DIV/0!</v>
      </c>
      <c r="J185" s="2"/>
      <c r="K185" s="193"/>
      <c r="L185" s="8"/>
      <c r="M185" s="8"/>
      <c r="N185" s="8"/>
      <c r="O185" s="194"/>
      <c r="P185" s="195"/>
    </row>
    <row r="186" spans="1:16">
      <c r="A186" s="3"/>
      <c r="B186" s="3" t="str">
        <f>TEXT(Tabela22345[[#This Row],[DATA]],"mmmm")</f>
        <v>janeiro</v>
      </c>
      <c r="C186" s="2"/>
      <c r="D186" s="2"/>
      <c r="E186" s="2"/>
      <c r="F186" s="2"/>
      <c r="G186" s="173"/>
      <c r="H186" s="174"/>
      <c r="I186" s="173" t="e">
        <f>Tabela22[[#This Row],[PESO TOTAL]]/Tabela22[[#This Row],[QUANTIDADE]]</f>
        <v>#DIV/0!</v>
      </c>
      <c r="J186" s="2"/>
      <c r="K186" s="193"/>
      <c r="L186" s="8"/>
      <c r="M186" s="8"/>
      <c r="N186" s="8"/>
      <c r="O186" s="194"/>
      <c r="P186" s="195"/>
    </row>
    <row r="187" spans="1:16">
      <c r="A187" s="3"/>
      <c r="B187" s="3" t="str">
        <f>TEXT(Tabela22345[[#This Row],[DATA]],"mmmm")</f>
        <v>janeiro</v>
      </c>
      <c r="C187" s="2"/>
      <c r="D187" s="2"/>
      <c r="E187" s="2"/>
      <c r="F187" s="2"/>
      <c r="G187" s="173"/>
      <c r="H187" s="174"/>
      <c r="I187" s="173" t="e">
        <f>Tabela22[[#This Row],[PESO TOTAL]]/Tabela22[[#This Row],[QUANTIDADE]]</f>
        <v>#DIV/0!</v>
      </c>
      <c r="J187" s="2"/>
      <c r="K187" s="193"/>
      <c r="L187" s="8"/>
      <c r="M187" s="8"/>
      <c r="N187" s="8"/>
      <c r="O187" s="194"/>
      <c r="P187" s="195"/>
    </row>
    <row r="188" spans="1:16">
      <c r="A188" s="3"/>
      <c r="B188" s="3" t="str">
        <f>TEXT(Tabela22345[[#This Row],[DATA]],"mmmm")</f>
        <v>janeiro</v>
      </c>
      <c r="C188" s="2"/>
      <c r="D188" s="2"/>
      <c r="E188" s="2"/>
      <c r="F188" s="2"/>
      <c r="G188" s="173"/>
      <c r="H188" s="174"/>
      <c r="I188" s="173" t="e">
        <f>Tabela22[[#This Row],[PESO TOTAL]]/Tabela22[[#This Row],[QUANTIDADE]]</f>
        <v>#DIV/0!</v>
      </c>
      <c r="J188" s="2"/>
      <c r="K188" s="193"/>
      <c r="L188" s="8"/>
      <c r="M188" s="8"/>
      <c r="N188" s="8"/>
      <c r="O188" s="194"/>
      <c r="P188" s="195"/>
    </row>
    <row r="189" spans="1:16">
      <c r="A189" s="3"/>
      <c r="B189" s="3" t="str">
        <f>TEXT(Tabela22345[[#This Row],[DATA]],"mmmm")</f>
        <v>janeiro</v>
      </c>
      <c r="C189" s="2"/>
      <c r="D189" s="2"/>
      <c r="E189" s="2"/>
      <c r="F189" s="2"/>
      <c r="G189" s="173"/>
      <c r="H189" s="174"/>
      <c r="I189" s="173" t="e">
        <f>Tabela22[[#This Row],[PESO TOTAL]]/Tabela22[[#This Row],[QUANTIDADE]]</f>
        <v>#DIV/0!</v>
      </c>
      <c r="J189" s="2"/>
      <c r="K189" s="193"/>
      <c r="L189" s="8"/>
      <c r="M189" s="8"/>
      <c r="N189" s="8"/>
      <c r="O189" s="194"/>
      <c r="P189" s="195"/>
    </row>
    <row r="190" spans="1:16">
      <c r="A190" s="3"/>
      <c r="B190" s="3" t="str">
        <f>TEXT(Tabela22345[[#This Row],[DATA]],"mmmm")</f>
        <v>janeiro</v>
      </c>
      <c r="C190" s="2"/>
      <c r="D190" s="2"/>
      <c r="E190" s="2"/>
      <c r="F190" s="2"/>
      <c r="G190" s="173"/>
      <c r="H190" s="174"/>
      <c r="I190" s="173" t="e">
        <f>Tabela22[[#This Row],[PESO TOTAL]]/Tabela22[[#This Row],[QUANTIDADE]]</f>
        <v>#DIV/0!</v>
      </c>
      <c r="J190" s="2"/>
      <c r="K190" s="193"/>
      <c r="L190" s="8"/>
      <c r="M190" s="8"/>
      <c r="N190" s="8"/>
      <c r="O190" s="194"/>
      <c r="P190" s="195"/>
    </row>
    <row r="191" spans="1:16">
      <c r="A191" s="3"/>
      <c r="B191" s="3" t="str">
        <f>TEXT(Tabela22345[[#This Row],[DATA]],"mmmm")</f>
        <v>janeiro</v>
      </c>
      <c r="C191" s="2"/>
      <c r="D191" s="2"/>
      <c r="E191" s="2"/>
      <c r="F191" s="2"/>
      <c r="G191" s="173"/>
      <c r="H191" s="174"/>
      <c r="I191" s="173" t="e">
        <f>Tabela22[[#This Row],[PESO TOTAL]]/Tabela22[[#This Row],[QUANTIDADE]]</f>
        <v>#DIV/0!</v>
      </c>
      <c r="J191" s="2"/>
      <c r="K191" s="193"/>
      <c r="L191" s="8"/>
      <c r="M191" s="8"/>
      <c r="N191" s="8"/>
      <c r="O191" s="194"/>
      <c r="P191" s="195"/>
    </row>
    <row r="192" spans="1:16">
      <c r="A192" s="3"/>
      <c r="B192" s="3" t="str">
        <f>TEXT(Tabela22345[[#This Row],[DATA]],"mmmm")</f>
        <v>janeiro</v>
      </c>
      <c r="C192" s="2"/>
      <c r="D192" s="2"/>
      <c r="E192" s="2"/>
      <c r="F192" s="2"/>
      <c r="G192" s="173"/>
      <c r="H192" s="174"/>
      <c r="I192" s="173" t="e">
        <f>Tabela22[[#This Row],[PESO TOTAL]]/Tabela22[[#This Row],[QUANTIDADE]]</f>
        <v>#DIV/0!</v>
      </c>
      <c r="J192" s="2"/>
      <c r="K192" s="193"/>
      <c r="L192" s="8"/>
      <c r="M192" s="8"/>
      <c r="N192" s="8"/>
      <c r="O192" s="194"/>
      <c r="P192" s="195"/>
    </row>
    <row r="193" spans="1:16">
      <c r="A193" s="3"/>
      <c r="B193" s="3" t="str">
        <f>TEXT(Tabela22345[[#This Row],[DATA]],"mmmm")</f>
        <v>janeiro</v>
      </c>
      <c r="C193" s="2"/>
      <c r="D193" s="2"/>
      <c r="E193" s="2"/>
      <c r="F193" s="2"/>
      <c r="G193" s="173"/>
      <c r="H193" s="174"/>
      <c r="I193" s="173" t="e">
        <f>Tabela22[[#This Row],[PESO TOTAL]]/Tabela22[[#This Row],[QUANTIDADE]]</f>
        <v>#DIV/0!</v>
      </c>
      <c r="J193" s="2"/>
      <c r="K193" s="193"/>
      <c r="L193" s="8"/>
      <c r="M193" s="8"/>
      <c r="N193" s="8"/>
      <c r="O193" s="194"/>
      <c r="P193" s="195"/>
    </row>
    <row r="194" spans="1:16">
      <c r="A194" s="3"/>
      <c r="B194" s="3" t="str">
        <f>TEXT(Tabela22345[[#This Row],[DATA]],"mmmm")</f>
        <v>janeiro</v>
      </c>
      <c r="C194" s="2"/>
      <c r="D194" s="2"/>
      <c r="E194" s="2"/>
      <c r="F194" s="2"/>
      <c r="G194" s="173"/>
      <c r="H194" s="174"/>
      <c r="I194" s="173" t="e">
        <f>Tabela22[[#This Row],[PESO TOTAL]]/Tabela22[[#This Row],[QUANTIDADE]]</f>
        <v>#DIV/0!</v>
      </c>
      <c r="J194" s="2"/>
      <c r="K194" s="193"/>
      <c r="L194" s="8"/>
      <c r="M194" s="8"/>
      <c r="N194" s="8"/>
      <c r="O194" s="194"/>
      <c r="P194" s="195"/>
    </row>
    <row r="195" spans="1:16">
      <c r="A195" s="3"/>
      <c r="B195" s="3" t="str">
        <f>TEXT(Tabela22345[[#This Row],[DATA]],"mmmm")</f>
        <v>janeiro</v>
      </c>
      <c r="C195" s="2"/>
      <c r="D195" s="2"/>
      <c r="E195" s="2"/>
      <c r="F195" s="2"/>
      <c r="G195" s="173"/>
      <c r="H195" s="174"/>
      <c r="I195" s="173" t="e">
        <f>Tabela22[[#This Row],[PESO TOTAL]]/Tabela22[[#This Row],[QUANTIDADE]]</f>
        <v>#DIV/0!</v>
      </c>
      <c r="J195" s="2"/>
      <c r="K195" s="193"/>
      <c r="L195" s="8"/>
      <c r="M195" s="8"/>
      <c r="N195" s="8"/>
      <c r="O195" s="194"/>
      <c r="P195" s="195"/>
    </row>
    <row r="196" spans="1:16">
      <c r="A196" s="3"/>
      <c r="B196" s="3" t="str">
        <f>TEXT(Tabela22345[[#This Row],[DATA]],"mmmm")</f>
        <v>janeiro</v>
      </c>
      <c r="C196" s="2"/>
      <c r="D196" s="2"/>
      <c r="E196" s="2"/>
      <c r="F196" s="2"/>
      <c r="G196" s="173"/>
      <c r="H196" s="174"/>
      <c r="I196" s="173" t="e">
        <f>Tabela22[[#This Row],[PESO TOTAL]]/Tabela22[[#This Row],[QUANTIDADE]]</f>
        <v>#DIV/0!</v>
      </c>
      <c r="J196" s="2"/>
      <c r="K196" s="193"/>
      <c r="L196" s="8"/>
      <c r="M196" s="8"/>
      <c r="N196" s="8"/>
      <c r="O196" s="194"/>
      <c r="P196" s="195"/>
    </row>
    <row r="197" spans="1:16">
      <c r="A197" s="3"/>
      <c r="B197" s="3" t="str">
        <f>TEXT(Tabela22345[[#This Row],[DATA]],"mmmm")</f>
        <v>janeiro</v>
      </c>
      <c r="C197" s="2"/>
      <c r="D197" s="2"/>
      <c r="E197" s="2"/>
      <c r="F197" s="2"/>
      <c r="G197" s="173"/>
      <c r="H197" s="174"/>
      <c r="I197" s="173" t="e">
        <f>Tabela22[[#This Row],[PESO TOTAL]]/Tabela22[[#This Row],[QUANTIDADE]]</f>
        <v>#DIV/0!</v>
      </c>
      <c r="J197" s="2"/>
      <c r="K197" s="193"/>
      <c r="L197" s="8"/>
      <c r="M197" s="8"/>
      <c r="N197" s="8"/>
      <c r="O197" s="194"/>
      <c r="P197" s="195"/>
    </row>
    <row r="198" spans="1:16">
      <c r="A198" s="3"/>
      <c r="B198" s="3" t="str">
        <f>TEXT(Tabela22345[[#This Row],[DATA]],"mmmm")</f>
        <v>janeiro</v>
      </c>
      <c r="C198" s="2"/>
      <c r="D198" s="2"/>
      <c r="E198" s="2"/>
      <c r="F198" s="2"/>
      <c r="G198" s="173"/>
      <c r="H198" s="174"/>
      <c r="I198" s="173" t="e">
        <f>Tabela22[[#This Row],[PESO TOTAL]]/Tabela22[[#This Row],[QUANTIDADE]]</f>
        <v>#DIV/0!</v>
      </c>
      <c r="J198" s="2"/>
      <c r="K198" s="193"/>
      <c r="L198" s="8"/>
      <c r="M198" s="8"/>
      <c r="N198" s="8"/>
      <c r="O198" s="194"/>
      <c r="P198" s="195"/>
    </row>
    <row r="199" spans="1:16">
      <c r="A199" s="3"/>
      <c r="B199" s="3" t="str">
        <f>TEXT(Tabela22345[[#This Row],[DATA]],"mmmm")</f>
        <v>janeiro</v>
      </c>
      <c r="C199" s="2"/>
      <c r="D199" s="2"/>
      <c r="E199" s="2"/>
      <c r="F199" s="2"/>
      <c r="G199" s="173"/>
      <c r="H199" s="174"/>
      <c r="I199" s="173" t="e">
        <f>Tabela22[[#This Row],[PESO TOTAL]]/Tabela22[[#This Row],[QUANTIDADE]]</f>
        <v>#DIV/0!</v>
      </c>
      <c r="J199" s="2"/>
      <c r="K199" s="193"/>
      <c r="L199" s="8"/>
      <c r="M199" s="8"/>
      <c r="N199" s="8"/>
      <c r="O199" s="194"/>
      <c r="P199" s="195"/>
    </row>
    <row r="200" spans="1:16">
      <c r="A200" s="3"/>
      <c r="B200" s="3" t="str">
        <f>TEXT(Tabela22345[[#This Row],[DATA]],"mmmm")</f>
        <v>janeiro</v>
      </c>
      <c r="C200" s="2"/>
      <c r="D200" s="2"/>
      <c r="E200" s="2"/>
      <c r="F200" s="2"/>
      <c r="G200" s="173"/>
      <c r="H200" s="174"/>
      <c r="I200" s="173" t="e">
        <f>Tabela22[[#This Row],[PESO TOTAL]]/Tabela22[[#This Row],[QUANTIDADE]]</f>
        <v>#DIV/0!</v>
      </c>
      <c r="J200" s="2"/>
      <c r="K200" s="193"/>
      <c r="L200" s="8"/>
      <c r="M200" s="8"/>
      <c r="N200" s="8"/>
      <c r="O200" s="194"/>
      <c r="P200" s="195"/>
    </row>
    <row r="201" spans="1:16">
      <c r="A201" s="3"/>
      <c r="B201" s="3" t="str">
        <f>TEXT(Tabela22345[[#This Row],[DATA]],"mmmm")</f>
        <v>janeiro</v>
      </c>
      <c r="C201" s="2"/>
      <c r="D201" s="2"/>
      <c r="E201" s="2"/>
      <c r="F201" s="2"/>
      <c r="G201" s="173"/>
      <c r="H201" s="174"/>
      <c r="I201" s="173" t="e">
        <f>Tabela22[[#This Row],[PESO TOTAL]]/Tabela22[[#This Row],[QUANTIDADE]]</f>
        <v>#DIV/0!</v>
      </c>
      <c r="J201" s="2"/>
      <c r="K201" s="193"/>
      <c r="L201" s="8"/>
      <c r="M201" s="8"/>
      <c r="N201" s="8"/>
      <c r="O201" s="194"/>
      <c r="P201" s="195"/>
    </row>
    <row r="202" spans="1:16">
      <c r="A202" s="3"/>
      <c r="B202" s="3" t="str">
        <f>TEXT(Tabela22345[[#This Row],[DATA]],"mmmm")</f>
        <v>janeiro</v>
      </c>
      <c r="C202" s="2"/>
      <c r="D202" s="2"/>
      <c r="E202" s="2"/>
      <c r="F202" s="2"/>
      <c r="G202" s="173"/>
      <c r="H202" s="174"/>
      <c r="I202" s="173" t="e">
        <f>Tabela22[[#This Row],[PESO TOTAL]]/Tabela22[[#This Row],[QUANTIDADE]]</f>
        <v>#DIV/0!</v>
      </c>
      <c r="J202" s="2"/>
      <c r="K202" s="193"/>
      <c r="L202" s="8"/>
      <c r="M202" s="8"/>
      <c r="N202" s="8"/>
      <c r="O202" s="194"/>
      <c r="P202" s="195"/>
    </row>
    <row r="203" spans="1:16">
      <c r="A203" s="3"/>
      <c r="B203" s="3" t="str">
        <f>TEXT(Tabela22345[[#This Row],[DATA]],"mmmm")</f>
        <v>janeiro</v>
      </c>
      <c r="C203" s="2"/>
      <c r="D203" s="2"/>
      <c r="E203" s="2"/>
      <c r="F203" s="2"/>
      <c r="G203" s="173"/>
      <c r="H203" s="174"/>
      <c r="I203" s="173" t="e">
        <f>Tabela22[[#This Row],[PESO TOTAL]]/Tabela22[[#This Row],[QUANTIDADE]]</f>
        <v>#DIV/0!</v>
      </c>
      <c r="J203" s="2"/>
      <c r="K203" s="193"/>
      <c r="L203" s="8"/>
      <c r="M203" s="8"/>
      <c r="N203" s="8"/>
      <c r="O203" s="194"/>
      <c r="P203" s="195"/>
    </row>
    <row r="204" spans="1:16">
      <c r="A204" s="3"/>
      <c r="B204" s="3" t="str">
        <f>TEXT(Tabela22345[[#This Row],[DATA]],"mmmm")</f>
        <v>janeiro</v>
      </c>
      <c r="C204" s="2"/>
      <c r="D204" s="2"/>
      <c r="E204" s="2"/>
      <c r="F204" s="2"/>
      <c r="G204" s="173"/>
      <c r="H204" s="174"/>
      <c r="I204" s="173" t="e">
        <f>Tabela22[[#This Row],[PESO TOTAL]]/Tabela22[[#This Row],[QUANTIDADE]]</f>
        <v>#DIV/0!</v>
      </c>
      <c r="J204" s="2"/>
      <c r="K204" s="193"/>
      <c r="L204" s="8"/>
      <c r="M204" s="8"/>
      <c r="N204" s="8"/>
      <c r="O204" s="194"/>
      <c r="P204" s="195"/>
    </row>
    <row r="205" spans="1:16">
      <c r="A205" s="3"/>
      <c r="B205" s="3" t="str">
        <f>TEXT(Tabela22345[[#This Row],[DATA]],"mmmm")</f>
        <v>janeiro</v>
      </c>
      <c r="C205" s="2"/>
      <c r="D205" s="2"/>
      <c r="E205" s="2"/>
      <c r="F205" s="2"/>
      <c r="G205" s="173"/>
      <c r="H205" s="174"/>
      <c r="I205" s="173" t="e">
        <f>Tabela22[[#This Row],[PESO TOTAL]]/Tabela22[[#This Row],[QUANTIDADE]]</f>
        <v>#DIV/0!</v>
      </c>
      <c r="J205" s="2"/>
      <c r="K205" s="193"/>
      <c r="L205" s="8"/>
      <c r="M205" s="8"/>
      <c r="N205" s="8"/>
      <c r="O205" s="194"/>
      <c r="P205" s="195"/>
    </row>
    <row r="206" spans="1:16">
      <c r="A206" s="3"/>
      <c r="B206" s="3" t="str">
        <f>TEXT(Tabela22345[[#This Row],[DATA]],"mmmm")</f>
        <v>janeiro</v>
      </c>
      <c r="C206" s="2"/>
      <c r="D206" s="2"/>
      <c r="E206" s="2"/>
      <c r="F206" s="2"/>
      <c r="G206" s="173"/>
      <c r="H206" s="174"/>
      <c r="I206" s="173" t="e">
        <f>Tabela22[[#This Row],[PESO TOTAL]]/Tabela22[[#This Row],[QUANTIDADE]]</f>
        <v>#DIV/0!</v>
      </c>
      <c r="J206" s="2"/>
      <c r="K206" s="193"/>
      <c r="L206" s="8"/>
      <c r="M206" s="8"/>
      <c r="N206" s="8"/>
      <c r="O206" s="194"/>
      <c r="P206" s="195"/>
    </row>
    <row r="207" spans="1:16">
      <c r="A207" s="3"/>
      <c r="B207" s="3" t="str">
        <f>TEXT(Tabela22345[[#This Row],[DATA]],"mmmm")</f>
        <v>janeiro</v>
      </c>
      <c r="C207" s="2"/>
      <c r="D207" s="2"/>
      <c r="E207" s="2"/>
      <c r="F207" s="2"/>
      <c r="G207" s="173"/>
      <c r="H207" s="174"/>
      <c r="I207" s="173" t="e">
        <f>Tabela22[[#This Row],[PESO TOTAL]]/Tabela22[[#This Row],[QUANTIDADE]]</f>
        <v>#DIV/0!</v>
      </c>
      <c r="J207" s="2"/>
      <c r="K207" s="193"/>
      <c r="L207" s="8"/>
      <c r="M207" s="8"/>
      <c r="N207" s="8"/>
      <c r="O207" s="194"/>
      <c r="P207" s="195"/>
    </row>
    <row r="208" spans="1:16">
      <c r="A208" s="3"/>
      <c r="B208" s="3" t="str">
        <f>TEXT(Tabela22345[[#This Row],[DATA]],"mmmm")</f>
        <v>janeiro</v>
      </c>
      <c r="C208" s="2"/>
      <c r="D208" s="2"/>
      <c r="E208" s="2"/>
      <c r="F208" s="2"/>
      <c r="G208" s="173"/>
      <c r="H208" s="174"/>
      <c r="I208" s="173" t="e">
        <f>Tabela22[[#This Row],[PESO TOTAL]]/Tabela22[[#This Row],[QUANTIDADE]]</f>
        <v>#DIV/0!</v>
      </c>
      <c r="J208" s="2"/>
      <c r="K208" s="193"/>
      <c r="L208" s="8"/>
      <c r="M208" s="8"/>
      <c r="N208" s="8"/>
      <c r="O208" s="194"/>
      <c r="P208" s="195"/>
    </row>
    <row r="209" spans="1:16">
      <c r="A209" s="3"/>
      <c r="B209" s="3" t="str">
        <f>TEXT(Tabela22345[[#This Row],[DATA]],"mmmm")</f>
        <v>janeiro</v>
      </c>
      <c r="C209" s="2"/>
      <c r="D209" s="2"/>
      <c r="E209" s="2"/>
      <c r="F209" s="2"/>
      <c r="G209" s="173"/>
      <c r="H209" s="174"/>
      <c r="I209" s="173" t="e">
        <f>Tabela22[[#This Row],[PESO TOTAL]]/Tabela22[[#This Row],[QUANTIDADE]]</f>
        <v>#DIV/0!</v>
      </c>
      <c r="J209" s="2"/>
      <c r="K209" s="193"/>
      <c r="L209" s="8"/>
      <c r="M209" s="8"/>
      <c r="N209" s="8"/>
      <c r="O209" s="194"/>
      <c r="P209" s="195"/>
    </row>
    <row r="210" spans="1:16">
      <c r="A210" s="3"/>
      <c r="B210" s="3" t="str">
        <f>TEXT(Tabela22345[[#This Row],[DATA]],"mmmm")</f>
        <v>janeiro</v>
      </c>
      <c r="C210" s="2"/>
      <c r="D210" s="2"/>
      <c r="E210" s="2"/>
      <c r="F210" s="2"/>
      <c r="G210" s="173"/>
      <c r="H210" s="174"/>
      <c r="I210" s="173" t="e">
        <f>Tabela22[[#This Row],[PESO TOTAL]]/Tabela22[[#This Row],[QUANTIDADE]]</f>
        <v>#DIV/0!</v>
      </c>
      <c r="J210" s="2"/>
      <c r="K210" s="193"/>
      <c r="L210" s="8"/>
      <c r="M210" s="8"/>
      <c r="N210" s="8"/>
      <c r="O210" s="194"/>
      <c r="P210" s="195"/>
    </row>
    <row r="211" spans="1:16">
      <c r="A211" s="3"/>
      <c r="B211" s="3" t="str">
        <f>TEXT(Tabela22345[[#This Row],[DATA]],"mmmm")</f>
        <v>janeiro</v>
      </c>
      <c r="C211" s="2"/>
      <c r="D211" s="2"/>
      <c r="E211" s="2"/>
      <c r="F211" s="2"/>
      <c r="G211" s="173"/>
      <c r="H211" s="174"/>
      <c r="I211" s="173" t="e">
        <f>Tabela22[[#This Row],[PESO TOTAL]]/Tabela22[[#This Row],[QUANTIDADE]]</f>
        <v>#DIV/0!</v>
      </c>
      <c r="J211" s="2"/>
      <c r="K211" s="193"/>
      <c r="L211" s="8"/>
      <c r="M211" s="8"/>
      <c r="N211" s="8"/>
      <c r="O211" s="194"/>
      <c r="P211" s="195"/>
    </row>
    <row r="212" spans="1:16">
      <c r="A212" s="3"/>
      <c r="B212" s="3" t="str">
        <f>TEXT(Tabela22345[[#This Row],[DATA]],"mmmm")</f>
        <v>janeiro</v>
      </c>
      <c r="C212" s="2"/>
      <c r="D212" s="2"/>
      <c r="E212" s="2"/>
      <c r="F212" s="2"/>
      <c r="G212" s="173"/>
      <c r="H212" s="174"/>
      <c r="I212" s="173" t="e">
        <f>Tabela22[[#This Row],[PESO TOTAL]]/Tabela22[[#This Row],[QUANTIDADE]]</f>
        <v>#DIV/0!</v>
      </c>
      <c r="J212" s="2"/>
      <c r="K212" s="193"/>
      <c r="L212" s="8"/>
      <c r="M212" s="8"/>
      <c r="N212" s="8"/>
      <c r="O212" s="194"/>
      <c r="P212" s="195"/>
    </row>
    <row r="213" spans="1:16">
      <c r="A213" s="3"/>
      <c r="B213" s="3" t="str">
        <f>TEXT(Tabela22345[[#This Row],[DATA]],"mmmm")</f>
        <v>janeiro</v>
      </c>
      <c r="C213" s="2"/>
      <c r="D213" s="2"/>
      <c r="E213" s="2"/>
      <c r="F213" s="2"/>
      <c r="G213" s="173"/>
      <c r="H213" s="174"/>
      <c r="I213" s="173" t="e">
        <f>Tabela22[[#This Row],[PESO TOTAL]]/Tabela22[[#This Row],[QUANTIDADE]]</f>
        <v>#DIV/0!</v>
      </c>
      <c r="J213" s="2"/>
      <c r="K213" s="193"/>
      <c r="L213" s="8"/>
      <c r="M213" s="8"/>
      <c r="N213" s="8"/>
      <c r="O213" s="194"/>
      <c r="P213" s="195"/>
    </row>
    <row r="214" spans="1:16">
      <c r="A214" s="3"/>
      <c r="B214" s="3" t="str">
        <f>TEXT(Tabela22345[[#This Row],[DATA]],"mmmm")</f>
        <v>janeiro</v>
      </c>
      <c r="C214" s="2"/>
      <c r="D214" s="2"/>
      <c r="E214" s="2"/>
      <c r="F214" s="2"/>
      <c r="G214" s="173"/>
      <c r="H214" s="174"/>
      <c r="I214" s="173" t="e">
        <f>Tabela22[[#This Row],[PESO TOTAL]]/Tabela22[[#This Row],[QUANTIDADE]]</f>
        <v>#DIV/0!</v>
      </c>
      <c r="J214" s="2"/>
      <c r="K214" s="193"/>
      <c r="L214" s="8"/>
      <c r="M214" s="8"/>
      <c r="N214" s="8"/>
      <c r="O214" s="194"/>
      <c r="P214" s="195"/>
    </row>
    <row r="215" spans="1:16">
      <c r="A215" s="3"/>
      <c r="B215" s="3" t="str">
        <f>TEXT(Tabela22345[[#This Row],[DATA]],"mmmm")</f>
        <v>janeiro</v>
      </c>
      <c r="C215" s="2"/>
      <c r="D215" s="2"/>
      <c r="E215" s="2"/>
      <c r="F215" s="2"/>
      <c r="G215" s="173"/>
      <c r="H215" s="174"/>
      <c r="I215" s="173" t="e">
        <f>Tabela22[[#This Row],[PESO TOTAL]]/Tabela22[[#This Row],[QUANTIDADE]]</f>
        <v>#DIV/0!</v>
      </c>
      <c r="J215" s="2"/>
      <c r="K215" s="193"/>
      <c r="L215" s="8"/>
      <c r="M215" s="8"/>
      <c r="N215" s="8"/>
      <c r="O215" s="194"/>
      <c r="P215" s="195"/>
    </row>
    <row r="216" spans="1:16">
      <c r="A216" s="3"/>
      <c r="B216" s="3" t="str">
        <f>TEXT(Tabela22345[[#This Row],[DATA]],"mmmm")</f>
        <v>janeiro</v>
      </c>
      <c r="C216" s="2"/>
      <c r="D216" s="2"/>
      <c r="E216" s="2"/>
      <c r="F216" s="2"/>
      <c r="G216" s="173"/>
      <c r="H216" s="174"/>
      <c r="I216" s="173" t="e">
        <f>Tabela22[[#This Row],[PESO TOTAL]]/Tabela22[[#This Row],[QUANTIDADE]]</f>
        <v>#DIV/0!</v>
      </c>
      <c r="J216" s="2"/>
      <c r="K216" s="193"/>
      <c r="L216" s="8"/>
      <c r="M216" s="8"/>
      <c r="N216" s="8"/>
      <c r="O216" s="194"/>
      <c r="P216" s="195"/>
    </row>
    <row r="217" spans="1:16">
      <c r="A217" s="3"/>
      <c r="B217" s="3" t="str">
        <f>TEXT(Tabela22345[[#This Row],[DATA]],"mmmm")</f>
        <v>janeiro</v>
      </c>
      <c r="C217" s="2"/>
      <c r="D217" s="2"/>
      <c r="E217" s="2"/>
      <c r="F217" s="2"/>
      <c r="G217" s="173"/>
      <c r="H217" s="174"/>
      <c r="I217" s="173" t="e">
        <f>Tabela22[[#This Row],[PESO TOTAL]]/Tabela22[[#This Row],[QUANTIDADE]]</f>
        <v>#DIV/0!</v>
      </c>
      <c r="J217" s="2"/>
      <c r="K217" s="193"/>
      <c r="L217" s="8"/>
      <c r="M217" s="8"/>
      <c r="N217" s="8"/>
      <c r="O217" s="194"/>
      <c r="P217" s="195"/>
    </row>
    <row r="218" spans="1:16">
      <c r="A218" s="3"/>
      <c r="B218" s="3" t="str">
        <f>TEXT(Tabela22345[[#This Row],[DATA]],"mmmm")</f>
        <v>janeiro</v>
      </c>
      <c r="C218" s="2"/>
      <c r="D218" s="2"/>
      <c r="E218" s="2"/>
      <c r="F218" s="2"/>
      <c r="G218" s="173"/>
      <c r="H218" s="174"/>
      <c r="I218" s="173" t="e">
        <f>Tabela22[[#This Row],[PESO TOTAL]]/Tabela22[[#This Row],[QUANTIDADE]]</f>
        <v>#DIV/0!</v>
      </c>
      <c r="J218" s="2"/>
      <c r="K218" s="193"/>
      <c r="L218" s="8"/>
      <c r="M218" s="8"/>
      <c r="N218" s="8"/>
      <c r="O218" s="194"/>
      <c r="P218" s="195"/>
    </row>
    <row r="219" spans="1:16">
      <c r="A219" s="3"/>
      <c r="B219" s="3" t="str">
        <f>TEXT(Tabela22345[[#This Row],[DATA]],"mmmm")</f>
        <v>janeiro</v>
      </c>
      <c r="C219" s="2"/>
      <c r="D219" s="2"/>
      <c r="E219" s="2"/>
      <c r="F219" s="2"/>
      <c r="G219" s="173"/>
      <c r="H219" s="174"/>
      <c r="I219" s="173" t="e">
        <f>Tabela22[[#This Row],[PESO TOTAL]]/Tabela22[[#This Row],[QUANTIDADE]]</f>
        <v>#DIV/0!</v>
      </c>
      <c r="J219" s="2"/>
      <c r="K219" s="193"/>
      <c r="L219" s="8"/>
      <c r="M219" s="8"/>
      <c r="N219" s="8"/>
      <c r="O219" s="194"/>
      <c r="P219" s="195"/>
    </row>
    <row r="220" spans="1:16">
      <c r="A220" s="3"/>
      <c r="B220" s="3" t="str">
        <f>TEXT(Tabela22345[[#This Row],[DATA]],"mmmm")</f>
        <v>janeiro</v>
      </c>
      <c r="C220" s="2"/>
      <c r="D220" s="2"/>
      <c r="E220" s="2"/>
      <c r="F220" s="2"/>
      <c r="G220" s="173"/>
      <c r="H220" s="174"/>
      <c r="I220" s="173" t="e">
        <f>Tabela22[[#This Row],[PESO TOTAL]]/Tabela22[[#This Row],[QUANTIDADE]]</f>
        <v>#DIV/0!</v>
      </c>
      <c r="J220" s="2"/>
      <c r="K220" s="193"/>
      <c r="L220" s="8"/>
      <c r="M220" s="8"/>
      <c r="N220" s="8"/>
      <c r="O220" s="194"/>
      <c r="P220" s="195"/>
    </row>
    <row r="221" spans="1:16">
      <c r="A221" s="3"/>
      <c r="B221" s="3" t="str">
        <f>TEXT(Tabela22345[[#This Row],[DATA]],"mmmm")</f>
        <v>janeiro</v>
      </c>
      <c r="C221" s="2"/>
      <c r="D221" s="2"/>
      <c r="E221" s="2"/>
      <c r="F221" s="2"/>
      <c r="G221" s="173"/>
      <c r="H221" s="174"/>
      <c r="I221" s="173" t="e">
        <f>Tabela22[[#This Row],[PESO TOTAL]]/Tabela22[[#This Row],[QUANTIDADE]]</f>
        <v>#DIV/0!</v>
      </c>
      <c r="J221" s="2"/>
      <c r="K221" s="193"/>
      <c r="L221" s="8"/>
      <c r="M221" s="8"/>
      <c r="N221" s="8"/>
      <c r="O221" s="194"/>
      <c r="P221" s="195"/>
    </row>
    <row r="222" spans="1:16">
      <c r="A222" s="3"/>
      <c r="B222" s="3" t="str">
        <f>TEXT(Tabela22345[[#This Row],[DATA]],"mmmm")</f>
        <v>janeiro</v>
      </c>
      <c r="C222" s="2"/>
      <c r="D222" s="2"/>
      <c r="E222" s="2"/>
      <c r="F222" s="2"/>
      <c r="G222" s="173"/>
      <c r="H222" s="174"/>
      <c r="I222" s="173" t="e">
        <f>Tabela22[[#This Row],[PESO TOTAL]]/Tabela22[[#This Row],[QUANTIDADE]]</f>
        <v>#DIV/0!</v>
      </c>
      <c r="J222" s="2"/>
      <c r="K222" s="193"/>
      <c r="L222" s="8"/>
      <c r="M222" s="8"/>
      <c r="N222" s="8"/>
      <c r="O222" s="194"/>
      <c r="P222" s="195"/>
    </row>
    <row r="223" spans="1:16">
      <c r="A223" s="3"/>
      <c r="B223" s="3" t="str">
        <f>TEXT(Tabela22345[[#This Row],[DATA]],"mmmm")</f>
        <v>janeiro</v>
      </c>
      <c r="C223" s="2"/>
      <c r="D223" s="2"/>
      <c r="E223" s="2"/>
      <c r="F223" s="2"/>
      <c r="G223" s="173"/>
      <c r="H223" s="174"/>
      <c r="I223" s="173" t="e">
        <f>Tabela22[[#This Row],[PESO TOTAL]]/Tabela22[[#This Row],[QUANTIDADE]]</f>
        <v>#DIV/0!</v>
      </c>
      <c r="J223" s="2"/>
      <c r="K223" s="193"/>
      <c r="L223" s="8"/>
      <c r="M223" s="8"/>
      <c r="N223" s="8"/>
      <c r="O223" s="194"/>
      <c r="P223" s="195"/>
    </row>
    <row r="224" spans="1:16">
      <c r="A224" s="3"/>
      <c r="B224" s="3" t="str">
        <f>TEXT(Tabela22345[[#This Row],[DATA]],"mmmm")</f>
        <v>janeiro</v>
      </c>
      <c r="C224" s="2"/>
      <c r="D224" s="2"/>
      <c r="E224" s="2"/>
      <c r="F224" s="2"/>
      <c r="G224" s="173"/>
      <c r="H224" s="174"/>
      <c r="I224" s="173" t="e">
        <f>Tabela22[[#This Row],[PESO TOTAL]]/Tabela22[[#This Row],[QUANTIDADE]]</f>
        <v>#DIV/0!</v>
      </c>
      <c r="J224" s="2"/>
      <c r="K224" s="193"/>
      <c r="L224" s="8"/>
      <c r="M224" s="8"/>
      <c r="N224" s="8"/>
      <c r="O224" s="194"/>
      <c r="P224" s="195"/>
    </row>
    <row r="225" spans="1:16">
      <c r="A225" s="3"/>
      <c r="B225" s="3" t="str">
        <f>TEXT(Tabela22345[[#This Row],[DATA]],"mmmm")</f>
        <v>janeiro</v>
      </c>
      <c r="C225" s="2"/>
      <c r="D225" s="2"/>
      <c r="E225" s="2"/>
      <c r="F225" s="2"/>
      <c r="G225" s="173"/>
      <c r="H225" s="174"/>
      <c r="I225" s="173" t="e">
        <f>Tabela22[[#This Row],[PESO TOTAL]]/Tabela22[[#This Row],[QUANTIDADE]]</f>
        <v>#DIV/0!</v>
      </c>
      <c r="J225" s="2"/>
      <c r="K225" s="193"/>
      <c r="L225" s="8"/>
      <c r="M225" s="8"/>
      <c r="N225" s="8"/>
      <c r="O225" s="194"/>
      <c r="P225" s="195"/>
    </row>
    <row r="226" spans="1:16">
      <c r="A226" s="3"/>
      <c r="B226" s="3" t="str">
        <f>TEXT(Tabela22345[[#This Row],[DATA]],"mmmm")</f>
        <v>janeiro</v>
      </c>
      <c r="C226" s="2"/>
      <c r="D226" s="2"/>
      <c r="E226" s="2"/>
      <c r="F226" s="2"/>
      <c r="G226" s="173"/>
      <c r="H226" s="174"/>
      <c r="I226" s="173" t="e">
        <f>Tabela22[[#This Row],[PESO TOTAL]]/Tabela22[[#This Row],[QUANTIDADE]]</f>
        <v>#DIV/0!</v>
      </c>
      <c r="J226" s="2"/>
      <c r="K226" s="193"/>
      <c r="L226" s="8"/>
      <c r="M226" s="8"/>
      <c r="N226" s="8"/>
      <c r="O226" s="194"/>
      <c r="P226" s="195"/>
    </row>
    <row r="227" spans="1:16">
      <c r="A227" s="3"/>
      <c r="B227" s="3" t="str">
        <f>TEXT(Tabela22345[[#This Row],[DATA]],"mmmm")</f>
        <v>janeiro</v>
      </c>
      <c r="C227" s="2"/>
      <c r="D227" s="2"/>
      <c r="E227" s="2"/>
      <c r="F227" s="2"/>
      <c r="G227" s="173"/>
      <c r="H227" s="174"/>
      <c r="I227" s="173" t="e">
        <f>Tabela22[[#This Row],[PESO TOTAL]]/Tabela22[[#This Row],[QUANTIDADE]]</f>
        <v>#DIV/0!</v>
      </c>
      <c r="J227" s="2"/>
      <c r="K227" s="193"/>
      <c r="L227" s="8"/>
      <c r="M227" s="8"/>
      <c r="N227" s="8"/>
      <c r="O227" s="194"/>
      <c r="P227" s="195"/>
    </row>
    <row r="228" spans="1:16">
      <c r="A228" s="3"/>
      <c r="B228" s="3" t="str">
        <f>TEXT(Tabela22345[[#This Row],[DATA]],"mmmm")</f>
        <v>janeiro</v>
      </c>
      <c r="C228" s="2"/>
      <c r="D228" s="2"/>
      <c r="E228" s="2"/>
      <c r="F228" s="2"/>
      <c r="G228" s="173"/>
      <c r="H228" s="174"/>
      <c r="I228" s="173" t="e">
        <f>Tabela22[[#This Row],[PESO TOTAL]]/Tabela22[[#This Row],[QUANTIDADE]]</f>
        <v>#DIV/0!</v>
      </c>
      <c r="J228" s="2"/>
      <c r="K228" s="193"/>
      <c r="L228" s="8"/>
      <c r="M228" s="8"/>
      <c r="N228" s="8"/>
      <c r="O228" s="194"/>
      <c r="P228" s="195"/>
    </row>
    <row r="229" spans="1:16">
      <c r="A229" s="3"/>
      <c r="B229" s="3" t="str">
        <f>TEXT(Tabela22345[[#This Row],[DATA]],"mmmm")</f>
        <v>janeiro</v>
      </c>
      <c r="C229" s="2"/>
      <c r="D229" s="2"/>
      <c r="E229" s="2"/>
      <c r="F229" s="2"/>
      <c r="G229" s="173"/>
      <c r="H229" s="174"/>
      <c r="I229" s="173" t="e">
        <f>Tabela22[[#This Row],[PESO TOTAL]]/Tabela22[[#This Row],[QUANTIDADE]]</f>
        <v>#DIV/0!</v>
      </c>
      <c r="J229" s="2"/>
      <c r="K229" s="193"/>
      <c r="L229" s="8"/>
      <c r="M229" s="8"/>
      <c r="N229" s="8"/>
      <c r="O229" s="194"/>
      <c r="P229" s="195"/>
    </row>
    <row r="230" spans="1:16">
      <c r="A230" s="3"/>
      <c r="B230" s="3" t="str">
        <f>TEXT(Tabela22345[[#This Row],[DATA]],"mmmm")</f>
        <v>janeiro</v>
      </c>
      <c r="C230" s="2"/>
      <c r="D230" s="2"/>
      <c r="E230" s="2"/>
      <c r="F230" s="2"/>
      <c r="G230" s="173"/>
      <c r="H230" s="174"/>
      <c r="I230" s="173" t="e">
        <f>Tabela22[[#This Row],[PESO TOTAL]]/Tabela22[[#This Row],[QUANTIDADE]]</f>
        <v>#DIV/0!</v>
      </c>
      <c r="J230" s="2"/>
      <c r="K230" s="193"/>
      <c r="L230" s="8"/>
      <c r="M230" s="8"/>
      <c r="N230" s="8"/>
      <c r="O230" s="194"/>
      <c r="P230" s="195"/>
    </row>
    <row r="231" spans="1:16">
      <c r="A231" s="3"/>
      <c r="B231" s="3" t="str">
        <f>TEXT(Tabela22345[[#This Row],[DATA]],"mmmm")</f>
        <v>janeiro</v>
      </c>
      <c r="C231" s="2"/>
      <c r="D231" s="2"/>
      <c r="E231" s="2"/>
      <c r="F231" s="2"/>
      <c r="G231" s="173"/>
      <c r="H231" s="174"/>
      <c r="I231" s="173" t="e">
        <f>Tabela22[[#This Row],[PESO TOTAL]]/Tabela22[[#This Row],[QUANTIDADE]]</f>
        <v>#DIV/0!</v>
      </c>
      <c r="J231" s="2"/>
      <c r="K231" s="193"/>
      <c r="L231" s="8"/>
      <c r="M231" s="8"/>
      <c r="N231" s="8"/>
      <c r="O231" s="194"/>
      <c r="P231" s="195"/>
    </row>
    <row r="232" spans="1:16">
      <c r="A232" s="3"/>
      <c r="B232" s="3" t="str">
        <f>TEXT(Tabela22345[[#This Row],[DATA]],"mmmm")</f>
        <v>janeiro</v>
      </c>
      <c r="C232" s="2"/>
      <c r="D232" s="2"/>
      <c r="E232" s="2"/>
      <c r="F232" s="2"/>
      <c r="G232" s="173"/>
      <c r="H232" s="174"/>
      <c r="I232" s="173" t="e">
        <f>Tabela22[[#This Row],[PESO TOTAL]]/Tabela22[[#This Row],[QUANTIDADE]]</f>
        <v>#DIV/0!</v>
      </c>
      <c r="J232" s="2"/>
      <c r="K232" s="193"/>
      <c r="L232" s="8"/>
      <c r="M232" s="8"/>
      <c r="N232" s="8"/>
      <c r="O232" s="194"/>
      <c r="P232" s="195"/>
    </row>
    <row r="233" spans="1:16">
      <c r="A233" s="3"/>
      <c r="B233" s="3" t="str">
        <f>TEXT(Tabela22345[[#This Row],[DATA]],"mmmm")</f>
        <v>janeiro</v>
      </c>
      <c r="C233" s="2"/>
      <c r="D233" s="2"/>
      <c r="E233" s="2"/>
      <c r="F233" s="2"/>
      <c r="G233" s="173"/>
      <c r="H233" s="174"/>
      <c r="I233" s="173" t="e">
        <f>Tabela22[[#This Row],[PESO TOTAL]]/Tabela22[[#This Row],[QUANTIDADE]]</f>
        <v>#DIV/0!</v>
      </c>
      <c r="J233" s="2"/>
      <c r="K233" s="193"/>
      <c r="L233" s="8"/>
      <c r="M233" s="8"/>
      <c r="N233" s="8"/>
      <c r="O233" s="194"/>
      <c r="P233" s="195"/>
    </row>
    <row r="234" spans="1:16">
      <c r="A234" s="3"/>
      <c r="B234" s="3" t="str">
        <f>TEXT(Tabela22345[[#This Row],[DATA]],"mmmm")</f>
        <v>janeiro</v>
      </c>
      <c r="C234" s="2"/>
      <c r="D234" s="2"/>
      <c r="E234" s="2"/>
      <c r="F234" s="2"/>
      <c r="G234" s="173"/>
      <c r="H234" s="174"/>
      <c r="I234" s="173" t="e">
        <f>Tabela22[[#This Row],[PESO TOTAL]]/Tabela22[[#This Row],[QUANTIDADE]]</f>
        <v>#DIV/0!</v>
      </c>
      <c r="J234" s="2"/>
      <c r="K234" s="193"/>
      <c r="L234" s="8"/>
      <c r="M234" s="8"/>
      <c r="N234" s="8"/>
      <c r="O234" s="194"/>
      <c r="P234" s="195"/>
    </row>
    <row r="235" spans="1:16">
      <c r="A235" s="3"/>
      <c r="B235" s="3" t="str">
        <f>TEXT(Tabela22345[[#This Row],[DATA]],"mmmm")</f>
        <v>janeiro</v>
      </c>
      <c r="C235" s="2"/>
      <c r="D235" s="2"/>
      <c r="E235" s="2"/>
      <c r="F235" s="2"/>
      <c r="G235" s="173"/>
      <c r="H235" s="174"/>
      <c r="I235" s="173" t="e">
        <f>Tabela22[[#This Row],[PESO TOTAL]]/Tabela22[[#This Row],[QUANTIDADE]]</f>
        <v>#DIV/0!</v>
      </c>
      <c r="J235" s="2"/>
      <c r="K235" s="193"/>
      <c r="L235" s="8"/>
      <c r="M235" s="8"/>
      <c r="N235" s="8"/>
      <c r="O235" s="194"/>
      <c r="P235" s="195"/>
    </row>
    <row r="236" spans="1:16">
      <c r="A236" s="3"/>
      <c r="B236" s="3" t="str">
        <f>TEXT(Tabela22345[[#This Row],[DATA]],"mmmm")</f>
        <v>janeiro</v>
      </c>
      <c r="C236" s="2"/>
      <c r="D236" s="2"/>
      <c r="E236" s="2"/>
      <c r="F236" s="2"/>
      <c r="G236" s="173"/>
      <c r="H236" s="174"/>
      <c r="I236" s="173" t="e">
        <f>Tabela22[[#This Row],[PESO TOTAL]]/Tabela22[[#This Row],[QUANTIDADE]]</f>
        <v>#DIV/0!</v>
      </c>
      <c r="J236" s="2"/>
      <c r="K236" s="193"/>
      <c r="L236" s="8"/>
      <c r="M236" s="8"/>
      <c r="N236" s="8"/>
      <c r="O236" s="194"/>
      <c r="P236" s="195"/>
    </row>
    <row r="237" spans="1:16">
      <c r="A237" s="3"/>
      <c r="B237" s="3" t="str">
        <f>TEXT(Tabela22345[[#This Row],[DATA]],"mmmm")</f>
        <v>janeiro</v>
      </c>
      <c r="C237" s="2"/>
      <c r="D237" s="2"/>
      <c r="E237" s="2"/>
      <c r="F237" s="2"/>
      <c r="G237" s="173"/>
      <c r="H237" s="174"/>
      <c r="I237" s="173" t="e">
        <f>Tabela22[[#This Row],[PESO TOTAL]]/Tabela22[[#This Row],[QUANTIDADE]]</f>
        <v>#DIV/0!</v>
      </c>
      <c r="J237" s="2"/>
      <c r="K237" s="193"/>
      <c r="L237" s="8"/>
      <c r="M237" s="8"/>
      <c r="N237" s="8"/>
      <c r="O237" s="194"/>
      <c r="P237" s="195"/>
    </row>
    <row r="238" spans="1:16">
      <c r="A238" s="3"/>
      <c r="B238" s="3" t="str">
        <f>TEXT(Tabela22345[[#This Row],[DATA]],"mmmm")</f>
        <v>janeiro</v>
      </c>
      <c r="C238" s="2"/>
      <c r="D238" s="2"/>
      <c r="E238" s="2"/>
      <c r="F238" s="2"/>
      <c r="G238" s="173"/>
      <c r="H238" s="174"/>
      <c r="I238" s="173" t="e">
        <f>Tabela22[[#This Row],[PESO TOTAL]]/Tabela22[[#This Row],[QUANTIDADE]]</f>
        <v>#DIV/0!</v>
      </c>
      <c r="J238" s="2"/>
      <c r="K238" s="193"/>
      <c r="L238" s="8"/>
      <c r="M238" s="8"/>
      <c r="N238" s="8"/>
      <c r="O238" s="194"/>
      <c r="P238" s="195"/>
    </row>
    <row r="239" spans="1:16">
      <c r="A239" s="3"/>
      <c r="B239" s="3" t="str">
        <f>TEXT(Tabela22345[[#This Row],[DATA]],"mmmm")</f>
        <v>janeiro</v>
      </c>
      <c r="C239" s="2"/>
      <c r="D239" s="2"/>
      <c r="E239" s="2"/>
      <c r="F239" s="2"/>
      <c r="G239" s="173"/>
      <c r="H239" s="174"/>
      <c r="I239" s="173" t="e">
        <f>Tabela22[[#This Row],[PESO TOTAL]]/Tabela22[[#This Row],[QUANTIDADE]]</f>
        <v>#DIV/0!</v>
      </c>
      <c r="J239" s="2"/>
      <c r="K239" s="193"/>
      <c r="L239" s="8"/>
      <c r="M239" s="8"/>
      <c r="N239" s="8"/>
      <c r="O239" s="194"/>
      <c r="P239" s="195"/>
    </row>
    <row r="240" spans="1:16">
      <c r="A240" s="3"/>
      <c r="B240" s="3" t="str">
        <f>TEXT(Tabela22345[[#This Row],[DATA]],"mmmm")</f>
        <v>janeiro</v>
      </c>
      <c r="C240" s="2"/>
      <c r="D240" s="2"/>
      <c r="E240" s="2"/>
      <c r="F240" s="2"/>
      <c r="G240" s="173"/>
      <c r="H240" s="174"/>
      <c r="I240" s="173" t="e">
        <f>Tabela22[[#This Row],[PESO TOTAL]]/Tabela22[[#This Row],[QUANTIDADE]]</f>
        <v>#DIV/0!</v>
      </c>
      <c r="J240" s="2"/>
      <c r="K240" s="193"/>
      <c r="L240" s="8"/>
      <c r="M240" s="8"/>
      <c r="N240" s="8"/>
      <c r="O240" s="194"/>
      <c r="P240" s="195"/>
    </row>
    <row r="241" spans="1:16">
      <c r="A241" s="3"/>
      <c r="B241" s="3" t="str">
        <f>TEXT(Tabela22345[[#This Row],[DATA]],"mmmm")</f>
        <v>janeiro</v>
      </c>
      <c r="C241" s="2"/>
      <c r="D241" s="2"/>
      <c r="E241" s="2"/>
      <c r="F241" s="2"/>
      <c r="G241" s="173"/>
      <c r="H241" s="174"/>
      <c r="I241" s="173" t="e">
        <f>Tabela22[[#This Row],[PESO TOTAL]]/Tabela22[[#This Row],[QUANTIDADE]]</f>
        <v>#DIV/0!</v>
      </c>
      <c r="J241" s="2"/>
      <c r="K241" s="193"/>
      <c r="L241" s="8"/>
      <c r="M241" s="8"/>
      <c r="N241" s="8"/>
      <c r="O241" s="194"/>
      <c r="P241" s="195"/>
    </row>
    <row r="242" spans="1:16">
      <c r="A242" s="3"/>
      <c r="B242" s="3" t="str">
        <f>TEXT(Tabela22345[[#This Row],[DATA]],"mmmm")</f>
        <v>janeiro</v>
      </c>
      <c r="C242" s="2"/>
      <c r="D242" s="2"/>
      <c r="E242" s="2"/>
      <c r="F242" s="2"/>
      <c r="G242" s="173"/>
      <c r="H242" s="174"/>
      <c r="I242" s="173" t="e">
        <f>Tabela22[[#This Row],[PESO TOTAL]]/Tabela22[[#This Row],[QUANTIDADE]]</f>
        <v>#DIV/0!</v>
      </c>
      <c r="J242" s="2"/>
      <c r="K242" s="193"/>
      <c r="L242" s="8"/>
      <c r="M242" s="8"/>
      <c r="N242" s="8"/>
      <c r="O242" s="194"/>
      <c r="P242" s="195"/>
    </row>
    <row r="243" spans="1:16">
      <c r="A243" s="3"/>
      <c r="B243" s="3" t="str">
        <f>TEXT(Tabela22345[[#This Row],[DATA]],"mmmm")</f>
        <v>janeiro</v>
      </c>
      <c r="C243" s="2"/>
      <c r="D243" s="2"/>
      <c r="E243" s="2"/>
      <c r="F243" s="2"/>
      <c r="G243" s="173"/>
      <c r="H243" s="174"/>
      <c r="I243" s="173" t="e">
        <f>Tabela22[[#This Row],[PESO TOTAL]]/Tabela22[[#This Row],[QUANTIDADE]]</f>
        <v>#DIV/0!</v>
      </c>
      <c r="J243" s="2"/>
      <c r="K243" s="193"/>
      <c r="L243" s="8"/>
      <c r="M243" s="8"/>
      <c r="N243" s="8"/>
      <c r="O243" s="194"/>
      <c r="P243" s="195"/>
    </row>
    <row r="244" spans="1:16">
      <c r="A244" s="3"/>
      <c r="B244" s="3" t="str">
        <f>TEXT(Tabela22345[[#This Row],[DATA]],"mmmm")</f>
        <v>janeiro</v>
      </c>
      <c r="C244" s="2"/>
      <c r="D244" s="2"/>
      <c r="E244" s="2"/>
      <c r="F244" s="2"/>
      <c r="G244" s="173"/>
      <c r="H244" s="174"/>
      <c r="I244" s="173" t="e">
        <f>Tabela22[[#This Row],[PESO TOTAL]]/Tabela22[[#This Row],[QUANTIDADE]]</f>
        <v>#DIV/0!</v>
      </c>
      <c r="J244" s="2"/>
      <c r="K244" s="193"/>
      <c r="L244" s="8"/>
      <c r="M244" s="8"/>
      <c r="N244" s="8"/>
      <c r="O244" s="194"/>
      <c r="P244" s="195"/>
    </row>
    <row r="245" spans="1:16">
      <c r="A245" s="3"/>
      <c r="B245" s="3" t="str">
        <f>TEXT(Tabela22345[[#This Row],[DATA]],"mmmm")</f>
        <v>janeiro</v>
      </c>
      <c r="C245" s="2"/>
      <c r="D245" s="2"/>
      <c r="E245" s="2"/>
      <c r="F245" s="2"/>
      <c r="G245" s="173"/>
      <c r="H245" s="174"/>
      <c r="I245" s="173" t="e">
        <f>Tabela22[[#This Row],[PESO TOTAL]]/Tabela22[[#This Row],[QUANTIDADE]]</f>
        <v>#DIV/0!</v>
      </c>
      <c r="J245" s="2"/>
      <c r="K245" s="193"/>
      <c r="L245" s="8"/>
      <c r="M245" s="8"/>
      <c r="N245" s="8"/>
      <c r="O245" s="194"/>
      <c r="P245" s="195"/>
    </row>
    <row r="246" spans="1:16">
      <c r="A246" s="3"/>
      <c r="B246" s="3" t="str">
        <f>TEXT(Tabela22345[[#This Row],[DATA]],"mmmm")</f>
        <v>janeiro</v>
      </c>
      <c r="C246" s="2"/>
      <c r="D246" s="2"/>
      <c r="E246" s="2"/>
      <c r="F246" s="2"/>
      <c r="G246" s="173"/>
      <c r="H246" s="174"/>
      <c r="I246" s="173" t="e">
        <f>Tabela22[[#This Row],[PESO TOTAL]]/Tabela22[[#This Row],[QUANTIDADE]]</f>
        <v>#DIV/0!</v>
      </c>
      <c r="J246" s="2"/>
      <c r="K246" s="193"/>
      <c r="L246" s="8"/>
      <c r="M246" s="8"/>
      <c r="N246" s="8"/>
      <c r="O246" s="194"/>
      <c r="P246" s="195"/>
    </row>
    <row r="247" spans="1:16">
      <c r="A247" s="3"/>
      <c r="B247" s="3" t="str">
        <f>TEXT(Tabela22345[[#This Row],[DATA]],"mmmm")</f>
        <v>janeiro</v>
      </c>
      <c r="C247" s="2"/>
      <c r="D247" s="2"/>
      <c r="E247" s="2"/>
      <c r="F247" s="2"/>
      <c r="G247" s="173"/>
      <c r="H247" s="174"/>
      <c r="I247" s="173" t="e">
        <f>Tabela22[[#This Row],[PESO TOTAL]]/Tabela22[[#This Row],[QUANTIDADE]]</f>
        <v>#DIV/0!</v>
      </c>
      <c r="J247" s="2"/>
      <c r="K247" s="193"/>
      <c r="L247" s="8"/>
      <c r="M247" s="8"/>
      <c r="N247" s="8"/>
      <c r="O247" s="194"/>
      <c r="P247" s="195"/>
    </row>
    <row r="248" spans="1:16">
      <c r="A248" s="3"/>
      <c r="B248" s="3" t="str">
        <f>TEXT(Tabela22345[[#This Row],[DATA]],"mmmm")</f>
        <v>janeiro</v>
      </c>
      <c r="C248" s="2"/>
      <c r="D248" s="2"/>
      <c r="E248" s="2"/>
      <c r="F248" s="2"/>
      <c r="G248" s="173"/>
      <c r="H248" s="174"/>
      <c r="I248" s="173" t="e">
        <f>Tabela22[[#This Row],[PESO TOTAL]]/Tabela22[[#This Row],[QUANTIDADE]]</f>
        <v>#DIV/0!</v>
      </c>
      <c r="J248" s="2"/>
      <c r="K248" s="193"/>
      <c r="L248" s="8"/>
      <c r="M248" s="8"/>
      <c r="N248" s="8"/>
      <c r="O248" s="194"/>
      <c r="P248" s="195"/>
    </row>
    <row r="249" spans="1:16">
      <c r="A249" s="3"/>
      <c r="B249" s="3" t="str">
        <f>TEXT(Tabela22345[[#This Row],[DATA]],"mmmm")</f>
        <v>janeiro</v>
      </c>
      <c r="C249" s="2"/>
      <c r="D249" s="2"/>
      <c r="E249" s="2"/>
      <c r="F249" s="2"/>
      <c r="G249" s="173"/>
      <c r="H249" s="174"/>
      <c r="I249" s="173" t="e">
        <f>Tabela22[[#This Row],[PESO TOTAL]]/Tabela22[[#This Row],[QUANTIDADE]]</f>
        <v>#DIV/0!</v>
      </c>
      <c r="J249" s="2"/>
      <c r="K249" s="193"/>
      <c r="L249" s="8"/>
      <c r="M249" s="8"/>
      <c r="N249" s="8"/>
      <c r="O249" s="194"/>
      <c r="P249" s="195"/>
    </row>
    <row r="250" spans="1:16">
      <c r="A250" s="3"/>
      <c r="B250" s="3" t="str">
        <f>TEXT(Tabela22345[[#This Row],[DATA]],"mmmm")</f>
        <v>janeiro</v>
      </c>
      <c r="C250" s="2"/>
      <c r="D250" s="2"/>
      <c r="E250" s="2"/>
      <c r="F250" s="2"/>
      <c r="G250" s="173"/>
      <c r="H250" s="174"/>
      <c r="I250" s="173" t="e">
        <f>Tabela22[[#This Row],[PESO TOTAL]]/Tabela22[[#This Row],[QUANTIDADE]]</f>
        <v>#DIV/0!</v>
      </c>
      <c r="J250" s="2"/>
      <c r="K250" s="193"/>
      <c r="L250" s="8"/>
      <c r="M250" s="8"/>
      <c r="N250" s="8"/>
      <c r="O250" s="194"/>
      <c r="P250" s="195"/>
    </row>
    <row r="251" spans="1:16">
      <c r="A251" s="3"/>
      <c r="B251" s="3" t="str">
        <f>TEXT(Tabela22345[[#This Row],[DATA]],"mmmm")</f>
        <v>janeiro</v>
      </c>
      <c r="C251" s="2"/>
      <c r="D251" s="2"/>
      <c r="E251" s="2"/>
      <c r="F251" s="2"/>
      <c r="G251" s="173"/>
      <c r="H251" s="174"/>
      <c r="I251" s="173" t="e">
        <f>Tabela22[[#This Row],[PESO TOTAL]]/Tabela22[[#This Row],[QUANTIDADE]]</f>
        <v>#DIV/0!</v>
      </c>
      <c r="J251" s="2"/>
      <c r="K251" s="193"/>
      <c r="L251" s="8"/>
      <c r="M251" s="8"/>
      <c r="N251" s="8"/>
      <c r="O251" s="194"/>
      <c r="P251" s="195"/>
    </row>
    <row r="252" spans="1:16">
      <c r="A252" s="3"/>
      <c r="B252" s="3" t="str">
        <f>TEXT(Tabela22345[[#This Row],[DATA]],"mmmm")</f>
        <v>janeiro</v>
      </c>
      <c r="C252" s="2"/>
      <c r="D252" s="2"/>
      <c r="E252" s="2"/>
      <c r="F252" s="2"/>
      <c r="G252" s="173"/>
      <c r="H252" s="174"/>
      <c r="I252" s="173" t="e">
        <f>Tabela22[[#This Row],[PESO TOTAL]]/Tabela22[[#This Row],[QUANTIDADE]]</f>
        <v>#DIV/0!</v>
      </c>
      <c r="J252" s="2"/>
      <c r="K252" s="193"/>
      <c r="L252" s="8"/>
      <c r="M252" s="8"/>
      <c r="N252" s="8"/>
      <c r="O252" s="194"/>
      <c r="P252" s="195"/>
    </row>
    <row r="253" spans="1:16">
      <c r="A253" s="3"/>
      <c r="B253" s="3" t="str">
        <f>TEXT(Tabela22345[[#This Row],[DATA]],"mmmm")</f>
        <v>janeiro</v>
      </c>
      <c r="C253" s="2"/>
      <c r="D253" s="2"/>
      <c r="E253" s="2"/>
      <c r="F253" s="2"/>
      <c r="G253" s="173"/>
      <c r="H253" s="174"/>
      <c r="I253" s="173" t="e">
        <f>Tabela22[[#This Row],[PESO TOTAL]]/Tabela22[[#This Row],[QUANTIDADE]]</f>
        <v>#DIV/0!</v>
      </c>
      <c r="J253" s="2"/>
      <c r="K253" s="193"/>
      <c r="L253" s="8"/>
      <c r="M253" s="8"/>
      <c r="N253" s="8"/>
      <c r="O253" s="194"/>
      <c r="P253" s="195"/>
    </row>
    <row r="254" spans="1:16">
      <c r="A254" s="3"/>
      <c r="B254" s="3" t="str">
        <f>TEXT(Tabela22345[[#This Row],[DATA]],"mmmm")</f>
        <v>janeiro</v>
      </c>
      <c r="C254" s="2"/>
      <c r="D254" s="2"/>
      <c r="E254" s="2"/>
      <c r="F254" s="2"/>
      <c r="G254" s="173"/>
      <c r="H254" s="174"/>
      <c r="I254" s="173" t="e">
        <f>Tabela22[[#This Row],[PESO TOTAL]]/Tabela22[[#This Row],[QUANTIDADE]]</f>
        <v>#DIV/0!</v>
      </c>
      <c r="J254" s="2"/>
      <c r="K254" s="193"/>
      <c r="L254" s="8"/>
      <c r="M254" s="8"/>
      <c r="N254" s="8"/>
      <c r="O254" s="194"/>
      <c r="P254" s="195"/>
    </row>
    <row r="255" spans="1:16">
      <c r="A255" s="3"/>
      <c r="B255" s="3" t="str">
        <f>TEXT(Tabela22345[[#This Row],[DATA]],"mmmm")</f>
        <v>janeiro</v>
      </c>
      <c r="C255" s="2"/>
      <c r="D255" s="2"/>
      <c r="E255" s="2"/>
      <c r="F255" s="2"/>
      <c r="G255" s="173"/>
      <c r="H255" s="174"/>
      <c r="I255" s="173" t="e">
        <f>Tabela22[[#This Row],[PESO TOTAL]]/Tabela22[[#This Row],[QUANTIDADE]]</f>
        <v>#DIV/0!</v>
      </c>
      <c r="J255" s="2"/>
      <c r="K255" s="193"/>
      <c r="L255" s="8"/>
      <c r="M255" s="8"/>
      <c r="N255" s="8"/>
      <c r="O255" s="194"/>
      <c r="P255" s="195"/>
    </row>
    <row r="256" spans="1:16">
      <c r="A256" s="3"/>
      <c r="B256" s="3" t="str">
        <f>TEXT(Tabela22345[[#This Row],[DATA]],"mmmm")</f>
        <v>janeiro</v>
      </c>
      <c r="C256" s="2"/>
      <c r="D256" s="2"/>
      <c r="E256" s="2"/>
      <c r="F256" s="2"/>
      <c r="G256" s="173"/>
      <c r="H256" s="174"/>
      <c r="I256" s="173" t="e">
        <f>Tabela22[[#This Row],[PESO TOTAL]]/Tabela22[[#This Row],[QUANTIDADE]]</f>
        <v>#DIV/0!</v>
      </c>
      <c r="J256" s="2"/>
      <c r="K256" s="193"/>
      <c r="L256" s="8"/>
      <c r="M256" s="8"/>
      <c r="N256" s="8"/>
      <c r="O256" s="194"/>
      <c r="P256" s="195"/>
    </row>
    <row r="257" spans="1:16">
      <c r="A257" s="3"/>
      <c r="B257" s="3" t="str">
        <f>TEXT(Tabela22345[[#This Row],[DATA]],"mmmm")</f>
        <v>janeiro</v>
      </c>
      <c r="C257" s="2"/>
      <c r="D257" s="2"/>
      <c r="E257" s="2"/>
      <c r="F257" s="2"/>
      <c r="G257" s="173"/>
      <c r="H257" s="174"/>
      <c r="I257" s="173" t="e">
        <f>Tabela22[[#This Row],[PESO TOTAL]]/Tabela22[[#This Row],[QUANTIDADE]]</f>
        <v>#DIV/0!</v>
      </c>
      <c r="J257" s="2"/>
      <c r="K257" s="193"/>
      <c r="L257" s="8"/>
      <c r="M257" s="8"/>
      <c r="N257" s="8"/>
      <c r="O257" s="194"/>
      <c r="P257" s="195"/>
    </row>
    <row r="258" spans="1:16">
      <c r="A258" s="3"/>
      <c r="B258" s="3" t="str">
        <f>TEXT(Tabela22345[[#This Row],[DATA]],"mmmm")</f>
        <v>janeiro</v>
      </c>
      <c r="C258" s="2"/>
      <c r="D258" s="2"/>
      <c r="E258" s="2"/>
      <c r="F258" s="2"/>
      <c r="G258" s="173"/>
      <c r="H258" s="174"/>
      <c r="I258" s="173" t="e">
        <f>Tabela22[[#This Row],[PESO TOTAL]]/Tabela22[[#This Row],[QUANTIDADE]]</f>
        <v>#DIV/0!</v>
      </c>
      <c r="J258" s="2"/>
      <c r="K258" s="193"/>
      <c r="L258" s="8"/>
      <c r="M258" s="8"/>
      <c r="N258" s="8"/>
      <c r="O258" s="194"/>
      <c r="P258" s="195"/>
    </row>
    <row r="259" spans="1:16">
      <c r="A259" s="3"/>
      <c r="B259" s="3" t="str">
        <f>TEXT(Tabela22345[[#This Row],[DATA]],"mmmm")</f>
        <v>janeiro</v>
      </c>
      <c r="C259" s="2"/>
      <c r="D259" s="2"/>
      <c r="E259" s="2"/>
      <c r="F259" s="2"/>
      <c r="G259" s="173"/>
      <c r="H259" s="174"/>
      <c r="I259" s="173" t="e">
        <f>Tabela22[[#This Row],[PESO TOTAL]]/Tabela22[[#This Row],[QUANTIDADE]]</f>
        <v>#DIV/0!</v>
      </c>
      <c r="J259" s="2"/>
      <c r="K259" s="193"/>
      <c r="L259" s="8"/>
      <c r="M259" s="8"/>
      <c r="N259" s="8"/>
      <c r="O259" s="194"/>
      <c r="P259" s="195"/>
    </row>
    <row r="260" spans="1:16">
      <c r="A260" s="3"/>
      <c r="B260" s="3" t="str">
        <f>TEXT(Tabela22345[[#This Row],[DATA]],"mmmm")</f>
        <v>janeiro</v>
      </c>
      <c r="C260" s="2"/>
      <c r="D260" s="2"/>
      <c r="E260" s="2"/>
      <c r="F260" s="2"/>
      <c r="G260" s="173"/>
      <c r="H260" s="174"/>
      <c r="I260" s="173" t="e">
        <f>Tabela22[[#This Row],[PESO TOTAL]]/Tabela22[[#This Row],[QUANTIDADE]]</f>
        <v>#DIV/0!</v>
      </c>
      <c r="J260" s="2"/>
      <c r="K260" s="193"/>
      <c r="L260" s="8"/>
      <c r="M260" s="8"/>
      <c r="N260" s="8"/>
      <c r="O260" s="194"/>
      <c r="P260" s="195"/>
    </row>
    <row r="261" spans="1:16">
      <c r="A261" s="3"/>
      <c r="B261" s="3" t="str">
        <f>TEXT(Tabela22345[[#This Row],[DATA]],"mmmm")</f>
        <v>janeiro</v>
      </c>
      <c r="C261" s="2"/>
      <c r="D261" s="2"/>
      <c r="E261" s="2"/>
      <c r="F261" s="2"/>
      <c r="G261" s="173"/>
      <c r="H261" s="174"/>
      <c r="I261" s="173" t="e">
        <f>Tabela22[[#This Row],[PESO TOTAL]]/Tabela22[[#This Row],[QUANTIDADE]]</f>
        <v>#DIV/0!</v>
      </c>
      <c r="J261" s="2"/>
      <c r="K261" s="193"/>
      <c r="L261" s="8"/>
      <c r="M261" s="8"/>
      <c r="N261" s="8"/>
      <c r="O261" s="194"/>
      <c r="P261" s="195"/>
    </row>
    <row r="262" spans="1:16">
      <c r="A262" s="3"/>
      <c r="B262" s="3" t="str">
        <f>TEXT(Tabela22345[[#This Row],[DATA]],"mmmm")</f>
        <v>janeiro</v>
      </c>
      <c r="C262" s="2"/>
      <c r="D262" s="2"/>
      <c r="E262" s="2"/>
      <c r="F262" s="2"/>
      <c r="G262" s="173"/>
      <c r="H262" s="174"/>
      <c r="I262" s="173" t="e">
        <f>Tabela22[[#This Row],[PESO TOTAL]]/Tabela22[[#This Row],[QUANTIDADE]]</f>
        <v>#DIV/0!</v>
      </c>
      <c r="J262" s="2"/>
      <c r="K262" s="193"/>
      <c r="L262" s="8"/>
      <c r="M262" s="8"/>
      <c r="N262" s="8"/>
      <c r="O262" s="194"/>
      <c r="P262" s="195"/>
    </row>
    <row r="263" spans="1:16">
      <c r="A263" s="3"/>
      <c r="B263" s="3" t="str">
        <f>TEXT(Tabela22345[[#This Row],[DATA]],"mmmm")</f>
        <v>janeiro</v>
      </c>
      <c r="C263" s="2"/>
      <c r="D263" s="2"/>
      <c r="E263" s="2"/>
      <c r="F263" s="2"/>
      <c r="G263" s="173"/>
      <c r="H263" s="174"/>
      <c r="I263" s="173" t="e">
        <f>Tabela22[[#This Row],[PESO TOTAL]]/Tabela22[[#This Row],[QUANTIDADE]]</f>
        <v>#DIV/0!</v>
      </c>
      <c r="J263" s="2"/>
      <c r="K263" s="193"/>
      <c r="L263" s="8"/>
      <c r="M263" s="8"/>
      <c r="N263" s="8"/>
      <c r="O263" s="194"/>
      <c r="P263" s="195"/>
    </row>
    <row r="264" spans="1:16">
      <c r="A264" s="3"/>
      <c r="B264" s="3" t="str">
        <f>TEXT(Tabela22345[[#This Row],[DATA]],"mmmm")</f>
        <v>janeiro</v>
      </c>
      <c r="C264" s="2"/>
      <c r="D264" s="2"/>
      <c r="E264" s="2"/>
      <c r="F264" s="2"/>
      <c r="G264" s="173"/>
      <c r="H264" s="174"/>
      <c r="I264" s="173" t="e">
        <f>Tabela22[[#This Row],[PESO TOTAL]]/Tabela22[[#This Row],[QUANTIDADE]]</f>
        <v>#DIV/0!</v>
      </c>
      <c r="J264" s="2"/>
      <c r="K264" s="193"/>
      <c r="L264" s="8"/>
      <c r="M264" s="8"/>
      <c r="N264" s="8"/>
      <c r="O264" s="194"/>
      <c r="P264" s="195"/>
    </row>
    <row r="265" spans="1:16">
      <c r="A265" s="3"/>
      <c r="B265" s="3" t="str">
        <f>TEXT(Tabela22345[[#This Row],[DATA]],"mmmm")</f>
        <v>janeiro</v>
      </c>
      <c r="C265" s="2"/>
      <c r="D265" s="2"/>
      <c r="E265" s="2"/>
      <c r="F265" s="2"/>
      <c r="G265" s="173"/>
      <c r="H265" s="174"/>
      <c r="I265" s="173" t="e">
        <f>Tabela22[[#This Row],[PESO TOTAL]]/Tabela22[[#This Row],[QUANTIDADE]]</f>
        <v>#DIV/0!</v>
      </c>
      <c r="J265" s="2"/>
      <c r="K265" s="193"/>
      <c r="L265" s="8"/>
      <c r="M265" s="8"/>
      <c r="N265" s="8"/>
      <c r="O265" s="194"/>
      <c r="P265" s="195"/>
    </row>
    <row r="266" spans="1:16">
      <c r="A266" s="3"/>
      <c r="B266" s="3" t="str">
        <f>TEXT(Tabela22345[[#This Row],[DATA]],"mmmm")</f>
        <v>janeiro</v>
      </c>
      <c r="C266" s="2"/>
      <c r="D266" s="2"/>
      <c r="E266" s="2"/>
      <c r="F266" s="2"/>
      <c r="G266" s="173"/>
      <c r="H266" s="174"/>
      <c r="I266" s="173" t="e">
        <f>Tabela22[[#This Row],[PESO TOTAL]]/Tabela22[[#This Row],[QUANTIDADE]]</f>
        <v>#DIV/0!</v>
      </c>
      <c r="J266" s="2"/>
      <c r="K266" s="193"/>
      <c r="L266" s="8"/>
      <c r="M266" s="8"/>
      <c r="N266" s="8"/>
      <c r="O266" s="194"/>
      <c r="P266" s="195"/>
    </row>
    <row r="267" spans="1:16">
      <c r="A267" s="3"/>
      <c r="B267" s="3" t="str">
        <f>TEXT(Tabela22345[[#This Row],[DATA]],"mmmm")</f>
        <v>janeiro</v>
      </c>
      <c r="C267" s="2"/>
      <c r="D267" s="2"/>
      <c r="E267" s="2"/>
      <c r="F267" s="2"/>
      <c r="G267" s="173"/>
      <c r="H267" s="174"/>
      <c r="I267" s="173" t="e">
        <f>Tabela22[[#This Row],[PESO TOTAL]]/Tabela22[[#This Row],[QUANTIDADE]]</f>
        <v>#DIV/0!</v>
      </c>
      <c r="J267" s="2"/>
      <c r="K267" s="193"/>
      <c r="L267" s="8"/>
      <c r="M267" s="8"/>
      <c r="N267" s="8"/>
      <c r="O267" s="194"/>
      <c r="P267" s="195"/>
    </row>
    <row r="268" spans="1:16">
      <c r="A268" s="3"/>
      <c r="B268" s="3" t="str">
        <f>TEXT(Tabela22345[[#This Row],[DATA]],"mmmm")</f>
        <v>janeiro</v>
      </c>
      <c r="C268" s="2"/>
      <c r="D268" s="2"/>
      <c r="E268" s="2"/>
      <c r="F268" s="2"/>
      <c r="G268" s="173"/>
      <c r="H268" s="174"/>
      <c r="I268" s="173" t="e">
        <f>Tabela22[[#This Row],[PESO TOTAL]]/Tabela22[[#This Row],[QUANTIDADE]]</f>
        <v>#DIV/0!</v>
      </c>
      <c r="J268" s="2"/>
      <c r="K268" s="193"/>
      <c r="L268" s="8"/>
      <c r="M268" s="8"/>
      <c r="N268" s="8"/>
      <c r="O268" s="194"/>
      <c r="P268" s="195"/>
    </row>
    <row r="269" spans="1:16">
      <c r="A269" s="3"/>
      <c r="B269" s="3" t="str">
        <f>TEXT(Tabela22345[[#This Row],[DATA]],"mmmm")</f>
        <v>janeiro</v>
      </c>
      <c r="C269" s="2"/>
      <c r="D269" s="2"/>
      <c r="E269" s="2"/>
      <c r="F269" s="2"/>
      <c r="G269" s="173"/>
      <c r="H269" s="174"/>
      <c r="I269" s="173" t="e">
        <f>Tabela22[[#This Row],[PESO TOTAL]]/Tabela22[[#This Row],[QUANTIDADE]]</f>
        <v>#DIV/0!</v>
      </c>
      <c r="J269" s="2"/>
      <c r="K269" s="193"/>
      <c r="L269" s="8"/>
      <c r="M269" s="8"/>
      <c r="N269" s="8"/>
      <c r="O269" s="194"/>
      <c r="P269" s="195"/>
    </row>
    <row r="270" spans="1:16">
      <c r="A270" s="3"/>
      <c r="B270" s="3" t="str">
        <f>TEXT(Tabela22345[[#This Row],[DATA]],"mmmm")</f>
        <v>janeiro</v>
      </c>
      <c r="C270" s="2"/>
      <c r="D270" s="2"/>
      <c r="E270" s="2"/>
      <c r="F270" s="2"/>
      <c r="G270" s="173"/>
      <c r="H270" s="174"/>
      <c r="I270" s="173" t="e">
        <f>Tabela22[[#This Row],[PESO TOTAL]]/Tabela22[[#This Row],[QUANTIDADE]]</f>
        <v>#DIV/0!</v>
      </c>
      <c r="J270" s="2"/>
      <c r="K270" s="193"/>
      <c r="L270" s="8"/>
      <c r="M270" s="8"/>
      <c r="N270" s="8"/>
      <c r="O270" s="194"/>
      <c r="P270" s="195"/>
    </row>
    <row r="271" spans="1:16">
      <c r="A271" s="3"/>
      <c r="B271" s="3" t="str">
        <f>TEXT(Tabela22345[[#This Row],[DATA]],"mmmm")</f>
        <v>janeiro</v>
      </c>
      <c r="C271" s="2"/>
      <c r="D271" s="2"/>
      <c r="E271" s="2"/>
      <c r="F271" s="2"/>
      <c r="G271" s="173"/>
      <c r="H271" s="174"/>
      <c r="I271" s="173" t="e">
        <f>Tabela22[[#This Row],[PESO TOTAL]]/Tabela22[[#This Row],[QUANTIDADE]]</f>
        <v>#DIV/0!</v>
      </c>
      <c r="J271" s="2"/>
      <c r="K271" s="193"/>
      <c r="L271" s="8"/>
      <c r="M271" s="8"/>
      <c r="N271" s="8"/>
      <c r="O271" s="194"/>
      <c r="P271" s="195"/>
    </row>
    <row r="272" spans="1:16">
      <c r="A272" s="3"/>
      <c r="B272" s="3" t="str">
        <f>TEXT(Tabela22345[[#This Row],[DATA]],"mmmm")</f>
        <v>janeiro</v>
      </c>
      <c r="C272" s="2"/>
      <c r="D272" s="2"/>
      <c r="E272" s="2"/>
      <c r="F272" s="2"/>
      <c r="G272" s="173"/>
      <c r="H272" s="174"/>
      <c r="I272" s="173" t="e">
        <f>Tabela22[[#This Row],[PESO TOTAL]]/Tabela22[[#This Row],[QUANTIDADE]]</f>
        <v>#DIV/0!</v>
      </c>
      <c r="J272" s="2"/>
      <c r="K272" s="193"/>
      <c r="L272" s="8"/>
      <c r="M272" s="8"/>
      <c r="N272" s="8"/>
      <c r="O272" s="194"/>
      <c r="P272" s="195"/>
    </row>
    <row r="273" spans="1:16">
      <c r="A273" s="3"/>
      <c r="B273" s="3" t="str">
        <f>TEXT(Tabela22345[[#This Row],[DATA]],"mmmm")</f>
        <v>janeiro</v>
      </c>
      <c r="C273" s="2"/>
      <c r="D273" s="2"/>
      <c r="E273" s="2"/>
      <c r="F273" s="2"/>
      <c r="G273" s="173"/>
      <c r="H273" s="174"/>
      <c r="I273" s="173" t="e">
        <f>Tabela22[[#This Row],[PESO TOTAL]]/Tabela22[[#This Row],[QUANTIDADE]]</f>
        <v>#DIV/0!</v>
      </c>
      <c r="J273" s="2"/>
      <c r="K273" s="193"/>
      <c r="L273" s="8"/>
      <c r="M273" s="8"/>
      <c r="N273" s="8"/>
      <c r="O273" s="194"/>
      <c r="P273" s="195"/>
    </row>
    <row r="274" spans="1:16">
      <c r="A274" s="3"/>
      <c r="B274" s="3" t="str">
        <f>TEXT(Tabela22345[[#This Row],[DATA]],"mmmm")</f>
        <v>janeiro</v>
      </c>
      <c r="C274" s="2"/>
      <c r="D274" s="2"/>
      <c r="E274" s="2"/>
      <c r="F274" s="2"/>
      <c r="G274" s="173"/>
      <c r="H274" s="174"/>
      <c r="I274" s="173" t="e">
        <f>Tabela22[[#This Row],[PESO TOTAL]]/Tabela22[[#This Row],[QUANTIDADE]]</f>
        <v>#DIV/0!</v>
      </c>
      <c r="J274" s="2"/>
      <c r="K274" s="193"/>
      <c r="L274" s="8"/>
      <c r="M274" s="8"/>
      <c r="N274" s="8"/>
      <c r="O274" s="194"/>
      <c r="P274" s="195"/>
    </row>
    <row r="275" spans="1:16">
      <c r="A275" s="3"/>
      <c r="B275" s="3" t="str">
        <f>TEXT(Tabela22345[[#This Row],[DATA]],"mmmm")</f>
        <v>janeiro</v>
      </c>
      <c r="C275" s="2"/>
      <c r="D275" s="2"/>
      <c r="E275" s="2"/>
      <c r="F275" s="2"/>
      <c r="G275" s="173"/>
      <c r="H275" s="174"/>
      <c r="I275" s="173" t="e">
        <f>Tabela22[[#This Row],[PESO TOTAL]]/Tabela22[[#This Row],[QUANTIDADE]]</f>
        <v>#DIV/0!</v>
      </c>
      <c r="J275" s="2"/>
      <c r="K275" s="193"/>
      <c r="L275" s="8"/>
      <c r="M275" s="8"/>
      <c r="N275" s="8"/>
      <c r="O275" s="194"/>
      <c r="P275" s="195"/>
    </row>
    <row r="276" spans="1:16">
      <c r="A276" s="3"/>
      <c r="B276" s="3" t="str">
        <f>TEXT(Tabela22345[[#This Row],[DATA]],"mmmm")</f>
        <v>janeiro</v>
      </c>
      <c r="C276" s="2"/>
      <c r="D276" s="2"/>
      <c r="E276" s="2"/>
      <c r="F276" s="2"/>
      <c r="G276" s="173"/>
      <c r="H276" s="174"/>
      <c r="I276" s="173" t="e">
        <f>Tabela22[[#This Row],[PESO TOTAL]]/Tabela22[[#This Row],[QUANTIDADE]]</f>
        <v>#DIV/0!</v>
      </c>
      <c r="J276" s="2"/>
      <c r="K276" s="193"/>
      <c r="L276" s="8"/>
      <c r="M276" s="8"/>
      <c r="N276" s="8"/>
      <c r="O276" s="194"/>
      <c r="P276" s="195"/>
    </row>
    <row r="277" spans="1:16">
      <c r="A277" s="3"/>
      <c r="B277" s="3" t="str">
        <f>TEXT(Tabela22345[[#This Row],[DATA]],"mmmm")</f>
        <v>janeiro</v>
      </c>
      <c r="C277" s="2"/>
      <c r="D277" s="2"/>
      <c r="E277" s="2"/>
      <c r="F277" s="2"/>
      <c r="G277" s="173"/>
      <c r="H277" s="174"/>
      <c r="I277" s="173" t="e">
        <f>Tabela22[[#This Row],[PESO TOTAL]]/Tabela22[[#This Row],[QUANTIDADE]]</f>
        <v>#DIV/0!</v>
      </c>
      <c r="J277" s="2"/>
      <c r="K277" s="193"/>
      <c r="L277" s="8"/>
      <c r="M277" s="8"/>
      <c r="N277" s="8"/>
      <c r="O277" s="194"/>
      <c r="P277" s="195"/>
    </row>
    <row r="278" spans="1:16">
      <c r="A278" s="3"/>
      <c r="B278" s="3" t="str">
        <f>TEXT(Tabela22345[[#This Row],[DATA]],"mmmm")</f>
        <v>janeiro</v>
      </c>
      <c r="C278" s="2"/>
      <c r="D278" s="2"/>
      <c r="E278" s="2"/>
      <c r="F278" s="2"/>
      <c r="G278" s="173"/>
      <c r="H278" s="174"/>
      <c r="I278" s="173" t="e">
        <f>Tabela22[[#This Row],[PESO TOTAL]]/Tabela22[[#This Row],[QUANTIDADE]]</f>
        <v>#DIV/0!</v>
      </c>
      <c r="J278" s="2"/>
      <c r="K278" s="193"/>
      <c r="L278" s="8"/>
      <c r="M278" s="8"/>
      <c r="N278" s="8"/>
      <c r="O278" s="194"/>
      <c r="P278" s="195"/>
    </row>
    <row r="279" spans="1:16">
      <c r="A279" s="3"/>
      <c r="B279" s="3" t="str">
        <f>TEXT(Tabela22345[[#This Row],[DATA]],"mmmm")</f>
        <v>janeiro</v>
      </c>
      <c r="C279" s="2"/>
      <c r="D279" s="2"/>
      <c r="E279" s="2"/>
      <c r="F279" s="2"/>
      <c r="G279" s="173"/>
      <c r="H279" s="174"/>
      <c r="I279" s="173" t="e">
        <f>Tabela22[[#This Row],[PESO TOTAL]]/Tabela22[[#This Row],[QUANTIDADE]]</f>
        <v>#DIV/0!</v>
      </c>
      <c r="J279" s="2"/>
      <c r="K279" s="193"/>
      <c r="L279" s="8"/>
      <c r="M279" s="8"/>
      <c r="N279" s="8"/>
      <c r="O279" s="194"/>
      <c r="P279" s="195"/>
    </row>
    <row r="280" spans="1:16">
      <c r="A280" s="3"/>
      <c r="B280" s="3" t="str">
        <f>TEXT(Tabela22345[[#This Row],[DATA]],"mmmm")</f>
        <v>janeiro</v>
      </c>
      <c r="C280" s="2"/>
      <c r="D280" s="2"/>
      <c r="E280" s="2"/>
      <c r="F280" s="2"/>
      <c r="G280" s="173"/>
      <c r="H280" s="174"/>
      <c r="I280" s="173" t="e">
        <f>Tabela22[[#This Row],[PESO TOTAL]]/Tabela22[[#This Row],[QUANTIDADE]]</f>
        <v>#DIV/0!</v>
      </c>
      <c r="J280" s="2"/>
      <c r="K280" s="193"/>
      <c r="L280" s="8"/>
      <c r="M280" s="8"/>
      <c r="N280" s="8"/>
      <c r="O280" s="194"/>
      <c r="P280" s="195"/>
    </row>
    <row r="281" spans="1:16">
      <c r="A281" s="3"/>
      <c r="B281" s="3" t="str">
        <f>TEXT(Tabela22345[[#This Row],[DATA]],"mmmm")</f>
        <v>janeiro</v>
      </c>
      <c r="C281" s="2"/>
      <c r="D281" s="2"/>
      <c r="E281" s="2"/>
      <c r="F281" s="2"/>
      <c r="G281" s="173"/>
      <c r="H281" s="174"/>
      <c r="I281" s="173" t="e">
        <f>Tabela22[[#This Row],[PESO TOTAL]]/Tabela22[[#This Row],[QUANTIDADE]]</f>
        <v>#DIV/0!</v>
      </c>
      <c r="J281" s="2"/>
      <c r="K281" s="193"/>
      <c r="L281" s="8"/>
      <c r="M281" s="8"/>
      <c r="N281" s="8"/>
      <c r="O281" s="194"/>
      <c r="P281" s="195"/>
    </row>
    <row r="282" spans="1:16">
      <c r="A282" s="3"/>
      <c r="B282" s="3" t="str">
        <f>TEXT(Tabela22345[[#This Row],[DATA]],"mmmm")</f>
        <v>janeiro</v>
      </c>
      <c r="C282" s="2"/>
      <c r="D282" s="2"/>
      <c r="E282" s="2"/>
      <c r="F282" s="2"/>
      <c r="G282" s="173"/>
      <c r="H282" s="174"/>
      <c r="I282" s="173" t="e">
        <f>Tabela22[[#This Row],[PESO TOTAL]]/Tabela22[[#This Row],[QUANTIDADE]]</f>
        <v>#DIV/0!</v>
      </c>
      <c r="J282" s="2"/>
      <c r="K282" s="193"/>
      <c r="L282" s="8"/>
      <c r="M282" s="8"/>
      <c r="N282" s="8"/>
      <c r="O282" s="194"/>
      <c r="P282" s="195"/>
    </row>
    <row r="283" spans="1:16">
      <c r="A283" s="3"/>
      <c r="B283" s="3" t="str">
        <f>TEXT(Tabela22345[[#This Row],[DATA]],"mmmm")</f>
        <v>janeiro</v>
      </c>
      <c r="C283" s="2"/>
      <c r="D283" s="2"/>
      <c r="E283" s="2"/>
      <c r="F283" s="2"/>
      <c r="G283" s="173"/>
      <c r="H283" s="174"/>
      <c r="I283" s="173" t="e">
        <f>Tabela22[[#This Row],[PESO TOTAL]]/Tabela22[[#This Row],[QUANTIDADE]]</f>
        <v>#DIV/0!</v>
      </c>
      <c r="J283" s="2"/>
      <c r="K283" s="193"/>
      <c r="L283" s="8"/>
      <c r="M283" s="8"/>
      <c r="N283" s="8"/>
      <c r="O283" s="194"/>
      <c r="P283" s="195"/>
    </row>
    <row r="284" spans="1:16">
      <c r="A284" s="3"/>
      <c r="B284" s="3" t="str">
        <f>TEXT(Tabela22345[[#This Row],[DATA]],"mmmm")</f>
        <v>janeiro</v>
      </c>
      <c r="C284" s="2"/>
      <c r="D284" s="2"/>
      <c r="E284" s="2"/>
      <c r="F284" s="2"/>
      <c r="G284" s="173"/>
      <c r="H284" s="174"/>
      <c r="I284" s="173" t="e">
        <f>Tabela22[[#This Row],[PESO TOTAL]]/Tabela22[[#This Row],[QUANTIDADE]]</f>
        <v>#DIV/0!</v>
      </c>
      <c r="J284" s="2"/>
      <c r="K284" s="193"/>
      <c r="L284" s="8"/>
      <c r="M284" s="8"/>
      <c r="N284" s="8"/>
      <c r="O284" s="194"/>
      <c r="P284" s="195"/>
    </row>
    <row r="285" spans="1:16">
      <c r="A285" s="3"/>
      <c r="B285" s="3" t="str">
        <f>TEXT(Tabela22345[[#This Row],[DATA]],"mmmm")</f>
        <v>janeiro</v>
      </c>
      <c r="C285" s="2"/>
      <c r="D285" s="2"/>
      <c r="E285" s="2"/>
      <c r="F285" s="2"/>
      <c r="G285" s="173"/>
      <c r="H285" s="174"/>
      <c r="I285" s="173" t="e">
        <f>Tabela22[[#This Row],[PESO TOTAL]]/Tabela22[[#This Row],[QUANTIDADE]]</f>
        <v>#DIV/0!</v>
      </c>
      <c r="J285" s="2"/>
      <c r="K285" s="193"/>
      <c r="L285" s="8"/>
      <c r="M285" s="8"/>
      <c r="N285" s="8"/>
      <c r="O285" s="194"/>
      <c r="P285" s="195"/>
    </row>
    <row r="286" spans="1:16">
      <c r="A286" s="3"/>
      <c r="B286" s="3" t="str">
        <f>TEXT(Tabela22345[[#This Row],[DATA]],"mmmm")</f>
        <v>janeiro</v>
      </c>
      <c r="C286" s="2"/>
      <c r="D286" s="2"/>
      <c r="E286" s="2"/>
      <c r="F286" s="2"/>
      <c r="G286" s="173"/>
      <c r="H286" s="174"/>
      <c r="I286" s="173" t="e">
        <f>Tabela22[[#This Row],[PESO TOTAL]]/Tabela22[[#This Row],[QUANTIDADE]]</f>
        <v>#DIV/0!</v>
      </c>
      <c r="J286" s="2"/>
      <c r="K286" s="193"/>
      <c r="L286" s="8"/>
      <c r="M286" s="8"/>
      <c r="N286" s="8"/>
      <c r="O286" s="194"/>
      <c r="P286" s="195"/>
    </row>
    <row r="287" spans="1:16">
      <c r="A287" s="3"/>
      <c r="B287" s="3" t="str">
        <f>TEXT(Tabela22345[[#This Row],[DATA]],"mmmm")</f>
        <v>janeiro</v>
      </c>
      <c r="C287" s="2"/>
      <c r="D287" s="2"/>
      <c r="E287" s="2"/>
      <c r="F287" s="2"/>
      <c r="G287" s="173"/>
      <c r="H287" s="174"/>
      <c r="I287" s="173" t="e">
        <f>Tabela22[[#This Row],[PESO TOTAL]]/Tabela22[[#This Row],[QUANTIDADE]]</f>
        <v>#DIV/0!</v>
      </c>
      <c r="J287" s="2"/>
      <c r="K287" s="193"/>
      <c r="L287" s="8"/>
      <c r="M287" s="8"/>
      <c r="N287" s="8"/>
      <c r="O287" s="194"/>
      <c r="P287" s="195"/>
    </row>
    <row r="288" spans="1:16">
      <c r="A288" s="3"/>
      <c r="B288" s="3" t="str">
        <f>TEXT(Tabela22345[[#This Row],[DATA]],"mmmm")</f>
        <v>janeiro</v>
      </c>
      <c r="C288" s="2"/>
      <c r="D288" s="2"/>
      <c r="E288" s="2"/>
      <c r="F288" s="2"/>
      <c r="G288" s="173"/>
      <c r="H288" s="174"/>
      <c r="I288" s="173" t="e">
        <f>Tabela22[[#This Row],[PESO TOTAL]]/Tabela22[[#This Row],[QUANTIDADE]]</f>
        <v>#DIV/0!</v>
      </c>
      <c r="J288" s="2"/>
      <c r="K288" s="193"/>
      <c r="L288" s="8"/>
      <c r="M288" s="8"/>
      <c r="N288" s="8"/>
      <c r="O288" s="194"/>
      <c r="P288" s="195"/>
    </row>
    <row r="289" spans="1:16">
      <c r="A289" s="3"/>
      <c r="B289" s="3" t="str">
        <f>TEXT(Tabela22345[[#This Row],[DATA]],"mmmm")</f>
        <v>janeiro</v>
      </c>
      <c r="C289" s="2"/>
      <c r="D289" s="2"/>
      <c r="E289" s="2"/>
      <c r="F289" s="2"/>
      <c r="G289" s="173"/>
      <c r="H289" s="174"/>
      <c r="I289" s="173" t="e">
        <f>Tabela22[[#This Row],[PESO TOTAL]]/Tabela22[[#This Row],[QUANTIDADE]]</f>
        <v>#DIV/0!</v>
      </c>
      <c r="J289" s="2"/>
      <c r="K289" s="193"/>
      <c r="L289" s="8"/>
      <c r="M289" s="8"/>
      <c r="N289" s="8"/>
      <c r="O289" s="194"/>
      <c r="P289" s="195"/>
    </row>
    <row r="290" spans="1:16">
      <c r="A290" s="3"/>
      <c r="B290" s="3" t="str">
        <f>TEXT(Tabela22345[[#This Row],[DATA]],"mmmm")</f>
        <v>janeiro</v>
      </c>
      <c r="C290" s="2"/>
      <c r="D290" s="2"/>
      <c r="E290" s="2"/>
      <c r="F290" s="2"/>
      <c r="G290" s="173"/>
      <c r="H290" s="174"/>
      <c r="I290" s="173" t="e">
        <f>Tabela22[[#This Row],[PESO TOTAL]]/Tabela22[[#This Row],[QUANTIDADE]]</f>
        <v>#DIV/0!</v>
      </c>
      <c r="J290" s="2"/>
      <c r="K290" s="193"/>
      <c r="L290" s="8"/>
      <c r="M290" s="8"/>
      <c r="N290" s="8"/>
      <c r="O290" s="194"/>
      <c r="P290" s="195"/>
    </row>
    <row r="291" spans="1:16">
      <c r="A291" s="3"/>
      <c r="B291" s="3" t="str">
        <f>TEXT(Tabela22345[[#This Row],[DATA]],"mmmm")</f>
        <v>janeiro</v>
      </c>
      <c r="C291" s="2"/>
      <c r="D291" s="2"/>
      <c r="E291" s="2"/>
      <c r="F291" s="2"/>
      <c r="G291" s="173"/>
      <c r="H291" s="174"/>
      <c r="I291" s="173" t="e">
        <f>Tabela22[[#This Row],[PESO TOTAL]]/Tabela22[[#This Row],[QUANTIDADE]]</f>
        <v>#DIV/0!</v>
      </c>
      <c r="J291" s="2"/>
      <c r="K291" s="193"/>
      <c r="L291" s="8"/>
      <c r="M291" s="8"/>
      <c r="N291" s="8"/>
      <c r="O291" s="194"/>
      <c r="P291" s="195"/>
    </row>
    <row r="292" spans="1:16">
      <c r="A292" s="3"/>
      <c r="B292" s="3" t="str">
        <f>TEXT(Tabela22345[[#This Row],[DATA]],"mmmm")</f>
        <v>janeiro</v>
      </c>
      <c r="C292" s="2"/>
      <c r="D292" s="2"/>
      <c r="E292" s="2"/>
      <c r="F292" s="2"/>
      <c r="G292" s="173"/>
      <c r="H292" s="174"/>
      <c r="I292" s="173" t="e">
        <f>Tabela22[[#This Row],[PESO TOTAL]]/Tabela22[[#This Row],[QUANTIDADE]]</f>
        <v>#DIV/0!</v>
      </c>
      <c r="J292" s="2"/>
      <c r="K292" s="193"/>
      <c r="L292" s="8"/>
      <c r="M292" s="8"/>
      <c r="N292" s="8"/>
      <c r="O292" s="194"/>
      <c r="P292" s="195"/>
    </row>
    <row r="293" spans="1:16">
      <c r="A293" s="3"/>
      <c r="B293" s="3" t="str">
        <f>TEXT(Tabela22345[[#This Row],[DATA]],"mmmm")</f>
        <v>janeiro</v>
      </c>
      <c r="C293" s="2"/>
      <c r="D293" s="2"/>
      <c r="E293" s="2"/>
      <c r="F293" s="2"/>
      <c r="G293" s="173"/>
      <c r="H293" s="174"/>
      <c r="I293" s="173" t="e">
        <f>Tabela22[[#This Row],[PESO TOTAL]]/Tabela22[[#This Row],[QUANTIDADE]]</f>
        <v>#DIV/0!</v>
      </c>
      <c r="J293" s="2"/>
      <c r="K293" s="193"/>
      <c r="L293" s="8"/>
      <c r="M293" s="8"/>
      <c r="N293" s="8"/>
      <c r="O293" s="194"/>
      <c r="P293" s="195"/>
    </row>
    <row r="294" spans="1:16">
      <c r="A294" s="3"/>
      <c r="B294" s="3" t="str">
        <f>TEXT(Tabela22345[[#This Row],[DATA]],"mmmm")</f>
        <v>janeiro</v>
      </c>
      <c r="C294" s="2"/>
      <c r="D294" s="2"/>
      <c r="E294" s="2"/>
      <c r="F294" s="2"/>
      <c r="G294" s="173"/>
      <c r="H294" s="174"/>
      <c r="I294" s="173" t="e">
        <f>Tabela22[[#This Row],[PESO TOTAL]]/Tabela22[[#This Row],[QUANTIDADE]]</f>
        <v>#DIV/0!</v>
      </c>
      <c r="J294" s="2"/>
      <c r="K294" s="193"/>
      <c r="L294" s="8"/>
      <c r="M294" s="8"/>
      <c r="N294" s="8"/>
      <c r="O294" s="194"/>
      <c r="P294" s="195"/>
    </row>
    <row r="295" spans="1:16">
      <c r="A295" s="3"/>
      <c r="B295" s="3" t="str">
        <f>TEXT(Tabela22345[[#This Row],[DATA]],"mmmm")</f>
        <v>janeiro</v>
      </c>
      <c r="C295" s="2"/>
      <c r="D295" s="2"/>
      <c r="E295" s="2"/>
      <c r="F295" s="2"/>
      <c r="G295" s="173"/>
      <c r="H295" s="174"/>
      <c r="I295" s="173" t="e">
        <f>Tabela22[[#This Row],[PESO TOTAL]]/Tabela22[[#This Row],[QUANTIDADE]]</f>
        <v>#DIV/0!</v>
      </c>
      <c r="J295" s="2"/>
      <c r="K295" s="193"/>
      <c r="L295" s="8"/>
      <c r="M295" s="8"/>
      <c r="N295" s="8"/>
      <c r="O295" s="194"/>
      <c r="P295" s="195"/>
    </row>
    <row r="296" spans="1:16">
      <c r="A296" s="3"/>
      <c r="B296" s="3" t="str">
        <f>TEXT(Tabela22345[[#This Row],[DATA]],"mmmm")</f>
        <v>janeiro</v>
      </c>
      <c r="C296" s="2"/>
      <c r="D296" s="2"/>
      <c r="E296" s="2"/>
      <c r="F296" s="2"/>
      <c r="G296" s="173"/>
      <c r="H296" s="174"/>
      <c r="I296" s="173" t="e">
        <f>Tabela22[[#This Row],[PESO TOTAL]]/Tabela22[[#This Row],[QUANTIDADE]]</f>
        <v>#DIV/0!</v>
      </c>
      <c r="J296" s="2"/>
      <c r="K296" s="193"/>
      <c r="L296" s="8"/>
      <c r="M296" s="8"/>
      <c r="N296" s="8"/>
      <c r="O296" s="194"/>
      <c r="P296" s="195"/>
    </row>
    <row r="297" spans="1:16">
      <c r="A297" s="3"/>
      <c r="B297" s="3" t="str">
        <f>TEXT(Tabela22345[[#This Row],[DATA]],"mmmm")</f>
        <v>janeiro</v>
      </c>
      <c r="C297" s="2"/>
      <c r="D297" s="2"/>
      <c r="E297" s="2"/>
      <c r="F297" s="2"/>
      <c r="G297" s="173"/>
      <c r="H297" s="174"/>
      <c r="I297" s="173" t="e">
        <f>Tabela22[[#This Row],[PESO TOTAL]]/Tabela22[[#This Row],[QUANTIDADE]]</f>
        <v>#DIV/0!</v>
      </c>
      <c r="J297" s="2"/>
      <c r="K297" s="193"/>
      <c r="L297" s="8"/>
      <c r="M297" s="8"/>
      <c r="N297" s="8"/>
      <c r="O297" s="194"/>
      <c r="P297" s="195"/>
    </row>
    <row r="298" spans="1:16">
      <c r="A298" s="3"/>
      <c r="B298" s="3" t="str">
        <f>TEXT(Tabela22345[[#This Row],[DATA]],"mmmm")</f>
        <v>janeiro</v>
      </c>
      <c r="C298" s="2"/>
      <c r="D298" s="2"/>
      <c r="E298" s="2"/>
      <c r="F298" s="2"/>
      <c r="G298" s="173"/>
      <c r="H298" s="174"/>
      <c r="I298" s="173" t="e">
        <f>Tabela22[[#This Row],[PESO TOTAL]]/Tabela22[[#This Row],[QUANTIDADE]]</f>
        <v>#DIV/0!</v>
      </c>
      <c r="J298" s="2"/>
      <c r="K298" s="193"/>
      <c r="L298" s="8"/>
      <c r="M298" s="8"/>
      <c r="N298" s="8"/>
      <c r="O298" s="194"/>
      <c r="P298" s="195"/>
    </row>
    <row r="299" spans="1:16">
      <c r="A299" s="3"/>
      <c r="B299" s="3" t="str">
        <f>TEXT(Tabela22345[[#This Row],[DATA]],"mmmm")</f>
        <v>janeiro</v>
      </c>
      <c r="C299" s="2"/>
      <c r="D299" s="2"/>
      <c r="E299" s="2"/>
      <c r="F299" s="2"/>
      <c r="G299" s="173"/>
      <c r="H299" s="174"/>
      <c r="I299" s="173" t="e">
        <f>Tabela22[[#This Row],[PESO TOTAL]]/Tabela22[[#This Row],[QUANTIDADE]]</f>
        <v>#DIV/0!</v>
      </c>
      <c r="J299" s="2"/>
      <c r="K299" s="193"/>
      <c r="L299" s="8"/>
      <c r="M299" s="8"/>
      <c r="N299" s="8"/>
      <c r="O299" s="194"/>
      <c r="P299" s="195"/>
    </row>
    <row r="300" spans="1:16">
      <c r="A300" s="3"/>
      <c r="B300" s="3" t="str">
        <f>TEXT(Tabela22345[[#This Row],[DATA]],"mmmm")</f>
        <v>janeiro</v>
      </c>
      <c r="C300" s="2"/>
      <c r="D300" s="2"/>
      <c r="E300" s="2"/>
      <c r="F300" s="2"/>
      <c r="G300" s="173"/>
      <c r="H300" s="174"/>
      <c r="I300" s="173" t="e">
        <f>Tabela22[[#This Row],[PESO TOTAL]]/Tabela22[[#This Row],[QUANTIDADE]]</f>
        <v>#DIV/0!</v>
      </c>
      <c r="J300" s="2"/>
      <c r="K300" s="193"/>
      <c r="L300" s="8"/>
      <c r="M300" s="8"/>
      <c r="N300" s="8"/>
      <c r="O300" s="194"/>
      <c r="P300" s="195"/>
    </row>
    <row r="301" spans="1:16">
      <c r="A301" s="3"/>
      <c r="B301" s="3" t="str">
        <f>TEXT(Tabela22345[[#This Row],[DATA]],"mmmm")</f>
        <v>janeiro</v>
      </c>
      <c r="C301" s="2"/>
      <c r="D301" s="2"/>
      <c r="E301" s="2"/>
      <c r="F301" s="2"/>
      <c r="G301" s="173"/>
      <c r="H301" s="174"/>
      <c r="I301" s="173" t="e">
        <f>Tabela22[[#This Row],[PESO TOTAL]]/Tabela22[[#This Row],[QUANTIDADE]]</f>
        <v>#DIV/0!</v>
      </c>
      <c r="J301" s="2"/>
      <c r="K301" s="193"/>
      <c r="L301" s="8"/>
      <c r="M301" s="8"/>
      <c r="N301" s="8"/>
      <c r="O301" s="194"/>
      <c r="P301" s="195"/>
    </row>
    <row r="302" spans="1:16">
      <c r="A302" s="3"/>
      <c r="B302" s="3" t="str">
        <f>TEXT(Tabela22345[[#This Row],[DATA]],"mmmm")</f>
        <v>janeiro</v>
      </c>
      <c r="C302" s="2"/>
      <c r="D302" s="2"/>
      <c r="E302" s="2"/>
      <c r="F302" s="2"/>
      <c r="G302" s="173"/>
      <c r="H302" s="174"/>
      <c r="I302" s="173" t="e">
        <f>Tabela22[[#This Row],[PESO TOTAL]]/Tabela22[[#This Row],[QUANTIDADE]]</f>
        <v>#DIV/0!</v>
      </c>
      <c r="J302" s="2"/>
      <c r="K302" s="193"/>
      <c r="L302" s="8"/>
      <c r="M302" s="8"/>
      <c r="N302" s="8"/>
      <c r="O302" s="194"/>
      <c r="P302" s="195"/>
    </row>
    <row r="303" spans="1:16">
      <c r="A303" s="3"/>
      <c r="B303" s="3" t="str">
        <f>TEXT(Tabela22345[[#This Row],[DATA]],"mmmm")</f>
        <v>janeiro</v>
      </c>
      <c r="C303" s="2"/>
      <c r="D303" s="2"/>
      <c r="E303" s="2"/>
      <c r="F303" s="2"/>
      <c r="G303" s="173"/>
      <c r="H303" s="174"/>
      <c r="I303" s="173" t="e">
        <f>Tabela22[[#This Row],[PESO TOTAL]]/Tabela22[[#This Row],[QUANTIDADE]]</f>
        <v>#DIV/0!</v>
      </c>
      <c r="J303" s="2"/>
      <c r="K303" s="193"/>
      <c r="L303" s="8"/>
      <c r="M303" s="8"/>
      <c r="N303" s="8"/>
      <c r="O303" s="194"/>
      <c r="P303" s="195"/>
    </row>
    <row r="304" spans="1:16">
      <c r="A304" s="3"/>
      <c r="B304" s="3" t="str">
        <f>TEXT(Tabela22345[[#This Row],[DATA]],"mmmm")</f>
        <v>janeiro</v>
      </c>
      <c r="C304" s="2"/>
      <c r="D304" s="2"/>
      <c r="E304" s="2"/>
      <c r="F304" s="2"/>
      <c r="G304" s="173"/>
      <c r="H304" s="174"/>
      <c r="I304" s="173" t="e">
        <f>Tabela22[[#This Row],[PESO TOTAL]]/Tabela22[[#This Row],[QUANTIDADE]]</f>
        <v>#DIV/0!</v>
      </c>
      <c r="J304" s="2"/>
      <c r="K304" s="193"/>
      <c r="L304" s="8"/>
      <c r="M304" s="8"/>
      <c r="N304" s="8"/>
      <c r="O304" s="194"/>
      <c r="P304" s="195"/>
    </row>
    <row r="305" spans="1:16">
      <c r="A305" s="3"/>
      <c r="B305" s="3" t="str">
        <f>TEXT(Tabela22345[[#This Row],[DATA]],"mmmm")</f>
        <v>janeiro</v>
      </c>
      <c r="C305" s="2"/>
      <c r="D305" s="2"/>
      <c r="E305" s="2"/>
      <c r="F305" s="2"/>
      <c r="G305" s="173"/>
      <c r="H305" s="174"/>
      <c r="I305" s="173" t="e">
        <f>Tabela22[[#This Row],[PESO TOTAL]]/Tabela22[[#This Row],[QUANTIDADE]]</f>
        <v>#DIV/0!</v>
      </c>
      <c r="J305" s="2"/>
      <c r="K305" s="193"/>
      <c r="L305" s="8"/>
      <c r="M305" s="8"/>
      <c r="N305" s="8"/>
      <c r="O305" s="194"/>
      <c r="P305" s="195"/>
    </row>
    <row r="306" spans="1:16">
      <c r="A306" s="3"/>
      <c r="B306" s="3" t="str">
        <f>TEXT(Tabela22345[[#This Row],[DATA]],"mmmm")</f>
        <v>janeiro</v>
      </c>
      <c r="C306" s="2"/>
      <c r="D306" s="2"/>
      <c r="E306" s="2"/>
      <c r="F306" s="2"/>
      <c r="G306" s="173"/>
      <c r="H306" s="174"/>
      <c r="I306" s="173" t="e">
        <f>Tabela22[[#This Row],[PESO TOTAL]]/Tabela22[[#This Row],[QUANTIDADE]]</f>
        <v>#DIV/0!</v>
      </c>
      <c r="J306" s="2"/>
      <c r="K306" s="193"/>
      <c r="L306" s="8"/>
      <c r="M306" s="8"/>
      <c r="N306" s="8"/>
      <c r="O306" s="194"/>
      <c r="P306" s="195"/>
    </row>
    <row r="307" spans="1:16">
      <c r="A307" s="3"/>
      <c r="B307" s="3" t="str">
        <f>TEXT(Tabela22345[[#This Row],[DATA]],"mmmm")</f>
        <v>janeiro</v>
      </c>
      <c r="C307" s="2"/>
      <c r="D307" s="2"/>
      <c r="E307" s="2"/>
      <c r="F307" s="2"/>
      <c r="G307" s="173"/>
      <c r="H307" s="174"/>
      <c r="I307" s="173" t="e">
        <f>Tabela22[[#This Row],[PESO TOTAL]]/Tabela22[[#This Row],[QUANTIDADE]]</f>
        <v>#DIV/0!</v>
      </c>
      <c r="J307" s="2"/>
      <c r="K307" s="193"/>
      <c r="L307" s="8"/>
      <c r="M307" s="8"/>
      <c r="N307" s="8"/>
      <c r="O307" s="194"/>
      <c r="P307" s="195"/>
    </row>
    <row r="308" spans="1:16">
      <c r="A308" s="3"/>
      <c r="B308" s="3" t="str">
        <f>TEXT(Tabela22345[[#This Row],[DATA]],"mmmm")</f>
        <v>janeiro</v>
      </c>
      <c r="C308" s="2"/>
      <c r="D308" s="2"/>
      <c r="E308" s="2"/>
      <c r="F308" s="2"/>
      <c r="G308" s="173"/>
      <c r="H308" s="174"/>
      <c r="I308" s="173" t="e">
        <f>Tabela22[[#This Row],[PESO TOTAL]]/Tabela22[[#This Row],[QUANTIDADE]]</f>
        <v>#DIV/0!</v>
      </c>
      <c r="J308" s="2"/>
      <c r="K308" s="193"/>
      <c r="L308" s="8"/>
      <c r="M308" s="8"/>
      <c r="N308" s="8"/>
      <c r="O308" s="194"/>
      <c r="P308" s="195"/>
    </row>
    <row r="309" spans="1:16">
      <c r="A309" s="3"/>
      <c r="B309" s="3" t="str">
        <f>TEXT(Tabela22345[[#This Row],[DATA]],"mmmm")</f>
        <v>janeiro</v>
      </c>
      <c r="C309" s="2"/>
      <c r="D309" s="2"/>
      <c r="E309" s="2"/>
      <c r="F309" s="2"/>
      <c r="G309" s="173"/>
      <c r="H309" s="174"/>
      <c r="I309" s="173" t="e">
        <f>Tabela22[[#This Row],[PESO TOTAL]]/Tabela22[[#This Row],[QUANTIDADE]]</f>
        <v>#DIV/0!</v>
      </c>
      <c r="J309" s="2"/>
      <c r="K309" s="193"/>
      <c r="L309" s="8"/>
      <c r="M309" s="8"/>
      <c r="N309" s="8"/>
      <c r="O309" s="194"/>
      <c r="P309" s="195"/>
    </row>
    <row r="310" spans="1:16">
      <c r="A310" s="3"/>
      <c r="B310" s="3" t="str">
        <f>TEXT(Tabela22345[[#This Row],[DATA]],"mmmm")</f>
        <v>janeiro</v>
      </c>
      <c r="C310" s="2"/>
      <c r="D310" s="2"/>
      <c r="E310" s="2"/>
      <c r="F310" s="2"/>
      <c r="G310" s="173"/>
      <c r="H310" s="174"/>
      <c r="I310" s="173" t="e">
        <f>Tabela22[[#This Row],[PESO TOTAL]]/Tabela22[[#This Row],[QUANTIDADE]]</f>
        <v>#DIV/0!</v>
      </c>
      <c r="J310" s="2"/>
      <c r="K310" s="193"/>
      <c r="L310" s="8"/>
      <c r="M310" s="8"/>
      <c r="N310" s="8"/>
      <c r="O310" s="194"/>
      <c r="P310" s="195"/>
    </row>
    <row r="311" spans="1:16">
      <c r="A311" s="3"/>
      <c r="B311" s="3" t="str">
        <f>TEXT(Tabela22345[[#This Row],[DATA]],"mmmm")</f>
        <v>janeiro</v>
      </c>
      <c r="C311" s="2"/>
      <c r="D311" s="2"/>
      <c r="E311" s="2"/>
      <c r="F311" s="2"/>
      <c r="G311" s="173"/>
      <c r="H311" s="174"/>
      <c r="I311" s="173" t="e">
        <f>Tabela22[[#This Row],[PESO TOTAL]]/Tabela22[[#This Row],[QUANTIDADE]]</f>
        <v>#DIV/0!</v>
      </c>
      <c r="J311" s="2"/>
      <c r="K311" s="193"/>
      <c r="L311" s="8"/>
      <c r="M311" s="8"/>
      <c r="N311" s="8"/>
      <c r="O311" s="194"/>
      <c r="P311" s="195"/>
    </row>
    <row r="312" spans="1:16">
      <c r="A312" s="3"/>
      <c r="B312" s="3" t="str">
        <f>TEXT(Tabela22345[[#This Row],[DATA]],"mmmm")</f>
        <v>janeiro</v>
      </c>
      <c r="C312" s="2"/>
      <c r="D312" s="2"/>
      <c r="E312" s="2"/>
      <c r="F312" s="2"/>
      <c r="G312" s="173"/>
      <c r="H312" s="174"/>
      <c r="I312" s="173" t="e">
        <f>Tabela22[[#This Row],[PESO TOTAL]]/Tabela22[[#This Row],[QUANTIDADE]]</f>
        <v>#DIV/0!</v>
      </c>
      <c r="J312" s="2"/>
      <c r="K312" s="193"/>
      <c r="L312" s="8"/>
      <c r="M312" s="8"/>
      <c r="N312" s="8"/>
      <c r="O312" s="194"/>
      <c r="P312" s="195"/>
    </row>
    <row r="313" spans="1:16">
      <c r="A313" s="3"/>
      <c r="B313" s="3" t="str">
        <f>TEXT(Tabela22345[[#This Row],[DATA]],"mmmm")</f>
        <v>janeiro</v>
      </c>
      <c r="C313" s="2"/>
      <c r="D313" s="2"/>
      <c r="E313" s="2"/>
      <c r="F313" s="2"/>
      <c r="G313" s="173"/>
      <c r="H313" s="174"/>
      <c r="I313" s="173" t="e">
        <f>Tabela22[[#This Row],[PESO TOTAL]]/Tabela22[[#This Row],[QUANTIDADE]]</f>
        <v>#DIV/0!</v>
      </c>
      <c r="J313" s="2"/>
      <c r="K313" s="193"/>
      <c r="L313" s="8"/>
      <c r="M313" s="8"/>
      <c r="N313" s="8"/>
      <c r="O313" s="194"/>
      <c r="P313" s="195"/>
    </row>
    <row r="314" spans="1:16">
      <c r="A314" s="3"/>
      <c r="B314" s="3" t="str">
        <f>TEXT(Tabela22345[[#This Row],[DATA]],"mmmm")</f>
        <v>janeiro</v>
      </c>
      <c r="C314" s="2"/>
      <c r="D314" s="2"/>
      <c r="E314" s="2"/>
      <c r="F314" s="2"/>
      <c r="G314" s="173"/>
      <c r="H314" s="174"/>
      <c r="I314" s="173" t="e">
        <f>Tabela22[[#This Row],[PESO TOTAL]]/Tabela22[[#This Row],[QUANTIDADE]]</f>
        <v>#DIV/0!</v>
      </c>
      <c r="J314" s="2"/>
      <c r="K314" s="193"/>
      <c r="L314" s="8"/>
      <c r="M314" s="8"/>
      <c r="N314" s="8"/>
      <c r="O314" s="194"/>
      <c r="P314" s="195"/>
    </row>
    <row r="315" spans="1:16">
      <c r="A315" s="3"/>
      <c r="B315" s="3" t="str">
        <f>TEXT(Tabela22345[[#This Row],[DATA]],"mmmm")</f>
        <v>janeiro</v>
      </c>
      <c r="C315" s="2"/>
      <c r="D315" s="2"/>
      <c r="E315" s="2"/>
      <c r="F315" s="2"/>
      <c r="G315" s="173"/>
      <c r="H315" s="174"/>
      <c r="I315" s="173" t="e">
        <f>Tabela22[[#This Row],[PESO TOTAL]]/Tabela22[[#This Row],[QUANTIDADE]]</f>
        <v>#DIV/0!</v>
      </c>
      <c r="J315" s="2"/>
      <c r="K315" s="193"/>
      <c r="L315" s="8"/>
      <c r="M315" s="8"/>
      <c r="N315" s="8"/>
      <c r="O315" s="194"/>
      <c r="P315" s="195"/>
    </row>
    <row r="316" spans="1:16">
      <c r="A316" s="3"/>
      <c r="B316" s="3" t="str">
        <f>TEXT(Tabela22345[[#This Row],[DATA]],"mmmm")</f>
        <v>janeiro</v>
      </c>
      <c r="C316" s="2"/>
      <c r="D316" s="2"/>
      <c r="E316" s="2"/>
      <c r="F316" s="2"/>
      <c r="G316" s="173"/>
      <c r="H316" s="174"/>
      <c r="I316" s="173" t="e">
        <f>Tabela22[[#This Row],[PESO TOTAL]]/Tabela22[[#This Row],[QUANTIDADE]]</f>
        <v>#DIV/0!</v>
      </c>
      <c r="J316" s="2"/>
      <c r="K316" s="193"/>
      <c r="L316" s="8"/>
      <c r="M316" s="8"/>
      <c r="N316" s="8"/>
      <c r="O316" s="194"/>
      <c r="P316" s="195"/>
    </row>
    <row r="317" spans="1:16">
      <c r="A317" s="3"/>
      <c r="B317" s="3" t="str">
        <f>TEXT(Tabela22345[[#This Row],[DATA]],"mmmm")</f>
        <v>janeiro</v>
      </c>
      <c r="C317" s="2"/>
      <c r="D317" s="2"/>
      <c r="E317" s="2"/>
      <c r="F317" s="2"/>
      <c r="G317" s="173"/>
      <c r="H317" s="174"/>
      <c r="I317" s="173" t="e">
        <f>Tabela22[[#This Row],[PESO TOTAL]]/Tabela22[[#This Row],[QUANTIDADE]]</f>
        <v>#DIV/0!</v>
      </c>
      <c r="J317" s="2"/>
      <c r="K317" s="193"/>
      <c r="L317" s="8"/>
      <c r="M317" s="8"/>
      <c r="N317" s="8"/>
      <c r="O317" s="194"/>
      <c r="P317" s="195"/>
    </row>
    <row r="318" spans="1:16">
      <c r="A318" s="3"/>
      <c r="B318" s="3" t="str">
        <f>TEXT(Tabela22345[[#This Row],[DATA]],"mmmm")</f>
        <v>janeiro</v>
      </c>
      <c r="C318" s="2"/>
      <c r="D318" s="2"/>
      <c r="E318" s="2"/>
      <c r="F318" s="2"/>
      <c r="G318" s="173"/>
      <c r="H318" s="174"/>
      <c r="I318" s="173" t="e">
        <f>Tabela22[[#This Row],[PESO TOTAL]]/Tabela22[[#This Row],[QUANTIDADE]]</f>
        <v>#DIV/0!</v>
      </c>
      <c r="J318" s="2"/>
      <c r="K318" s="193"/>
      <c r="L318" s="8"/>
      <c r="M318" s="8"/>
      <c r="N318" s="8"/>
      <c r="O318" s="194"/>
      <c r="P318" s="195"/>
    </row>
    <row r="319" spans="1:16">
      <c r="A319" s="3"/>
      <c r="B319" s="3" t="str">
        <f>TEXT(Tabela22345[[#This Row],[DATA]],"mmmm")</f>
        <v>janeiro</v>
      </c>
      <c r="C319" s="2"/>
      <c r="D319" s="2"/>
      <c r="E319" s="2"/>
      <c r="F319" s="2"/>
      <c r="G319" s="173"/>
      <c r="H319" s="174"/>
      <c r="I319" s="173" t="e">
        <f>Tabela22[[#This Row],[PESO TOTAL]]/Tabela22[[#This Row],[QUANTIDADE]]</f>
        <v>#DIV/0!</v>
      </c>
      <c r="J319" s="2"/>
      <c r="K319" s="193"/>
      <c r="L319" s="8"/>
      <c r="M319" s="8"/>
      <c r="N319" s="8"/>
      <c r="O319" s="194"/>
      <c r="P319" s="195"/>
    </row>
    <row r="320" spans="1:16">
      <c r="A320" s="3"/>
      <c r="B320" s="3" t="str">
        <f>TEXT(Tabela22345[[#This Row],[DATA]],"mmmm")</f>
        <v>janeiro</v>
      </c>
      <c r="C320" s="2"/>
      <c r="D320" s="2"/>
      <c r="E320" s="2"/>
      <c r="F320" s="2"/>
      <c r="G320" s="173"/>
      <c r="H320" s="174"/>
      <c r="I320" s="173" t="e">
        <f>Tabela22[[#This Row],[PESO TOTAL]]/Tabela22[[#This Row],[QUANTIDADE]]</f>
        <v>#DIV/0!</v>
      </c>
      <c r="J320" s="2"/>
      <c r="K320" s="193"/>
      <c r="L320" s="8"/>
      <c r="M320" s="8"/>
      <c r="N320" s="8"/>
      <c r="O320" s="194"/>
      <c r="P320" s="195"/>
    </row>
    <row r="321" spans="1:16">
      <c r="A321" s="3"/>
      <c r="B321" s="3" t="str">
        <f>TEXT(Tabela22345[[#This Row],[DATA]],"mmmm")</f>
        <v>janeiro</v>
      </c>
      <c r="C321" s="2"/>
      <c r="D321" s="2"/>
      <c r="E321" s="2"/>
      <c r="F321" s="2"/>
      <c r="G321" s="173"/>
      <c r="H321" s="174"/>
      <c r="I321" s="173" t="e">
        <f>Tabela22[[#This Row],[PESO TOTAL]]/Tabela22[[#This Row],[QUANTIDADE]]</f>
        <v>#DIV/0!</v>
      </c>
      <c r="J321" s="2"/>
      <c r="K321" s="193"/>
      <c r="L321" s="8"/>
      <c r="M321" s="8"/>
      <c r="N321" s="8"/>
      <c r="O321" s="194"/>
      <c r="P321" s="195"/>
    </row>
    <row r="322" spans="1:16">
      <c r="A322" s="3"/>
      <c r="B322" s="3" t="str">
        <f>TEXT(Tabela22345[[#This Row],[DATA]],"mmmm")</f>
        <v>janeiro</v>
      </c>
      <c r="C322" s="2"/>
      <c r="D322" s="2"/>
      <c r="E322" s="2"/>
      <c r="F322" s="2"/>
      <c r="G322" s="173"/>
      <c r="H322" s="174"/>
      <c r="I322" s="173" t="e">
        <f>Tabela22[[#This Row],[PESO TOTAL]]/Tabela22[[#This Row],[QUANTIDADE]]</f>
        <v>#DIV/0!</v>
      </c>
      <c r="J322" s="2"/>
      <c r="K322" s="193"/>
      <c r="L322" s="8"/>
      <c r="M322" s="8"/>
      <c r="N322" s="8"/>
      <c r="O322" s="194"/>
      <c r="P322" s="195"/>
    </row>
    <row r="323" spans="1:16">
      <c r="A323" s="3"/>
      <c r="B323" s="3" t="str">
        <f>TEXT(Tabela22345[[#This Row],[DATA]],"mmmm")</f>
        <v>janeiro</v>
      </c>
      <c r="C323" s="2"/>
      <c r="D323" s="2"/>
      <c r="E323" s="2"/>
      <c r="F323" s="2"/>
      <c r="G323" s="173"/>
      <c r="H323" s="174"/>
      <c r="I323" s="173" t="e">
        <f>Tabela22[[#This Row],[PESO TOTAL]]/Tabela22[[#This Row],[QUANTIDADE]]</f>
        <v>#DIV/0!</v>
      </c>
      <c r="J323" s="2"/>
      <c r="K323" s="193"/>
      <c r="L323" s="8"/>
      <c r="M323" s="8"/>
      <c r="N323" s="8"/>
      <c r="O323" s="194"/>
      <c r="P323" s="195"/>
    </row>
    <row r="324" spans="1:16">
      <c r="A324" s="3"/>
      <c r="B324" s="3" t="str">
        <f>TEXT(Tabela22345[[#This Row],[DATA]],"mmmm")</f>
        <v>janeiro</v>
      </c>
      <c r="C324" s="2"/>
      <c r="D324" s="2"/>
      <c r="E324" s="2"/>
      <c r="F324" s="2"/>
      <c r="G324" s="173"/>
      <c r="H324" s="174"/>
      <c r="I324" s="173" t="e">
        <f>Tabela22[[#This Row],[PESO TOTAL]]/Tabela22[[#This Row],[QUANTIDADE]]</f>
        <v>#DIV/0!</v>
      </c>
      <c r="J324" s="2"/>
      <c r="K324" s="193"/>
      <c r="L324" s="8"/>
      <c r="M324" s="8"/>
      <c r="N324" s="8"/>
      <c r="O324" s="194"/>
      <c r="P324" s="195"/>
    </row>
    <row r="325" spans="1:16">
      <c r="A325" s="3"/>
      <c r="B325" s="3" t="str">
        <f>TEXT(Tabela22345[[#This Row],[DATA]],"mmmm")</f>
        <v>janeiro</v>
      </c>
      <c r="C325" s="2"/>
      <c r="D325" s="2"/>
      <c r="E325" s="2"/>
      <c r="F325" s="2"/>
      <c r="G325" s="173"/>
      <c r="H325" s="174"/>
      <c r="I325" s="173" t="e">
        <f>Tabela22[[#This Row],[PESO TOTAL]]/Tabela22[[#This Row],[QUANTIDADE]]</f>
        <v>#DIV/0!</v>
      </c>
      <c r="J325" s="2"/>
      <c r="K325" s="193"/>
      <c r="L325" s="8"/>
      <c r="M325" s="8"/>
      <c r="N325" s="8"/>
      <c r="O325" s="194"/>
      <c r="P325" s="195"/>
    </row>
    <row r="326" spans="1:16">
      <c r="A326" s="3"/>
      <c r="B326" s="3" t="str">
        <f>TEXT(Tabela22345[[#This Row],[DATA]],"mmmm")</f>
        <v>janeiro</v>
      </c>
      <c r="C326" s="2"/>
      <c r="D326" s="2"/>
      <c r="E326" s="2"/>
      <c r="F326" s="2"/>
      <c r="G326" s="173"/>
      <c r="H326" s="174"/>
      <c r="I326" s="173" t="e">
        <f>Tabela22[[#This Row],[PESO TOTAL]]/Tabela22[[#This Row],[QUANTIDADE]]</f>
        <v>#DIV/0!</v>
      </c>
      <c r="J326" s="2"/>
      <c r="K326" s="193"/>
      <c r="L326" s="8"/>
      <c r="M326" s="8"/>
      <c r="N326" s="8"/>
      <c r="O326" s="194"/>
      <c r="P326" s="195"/>
    </row>
    <row r="327" spans="1:16">
      <c r="A327" s="3"/>
      <c r="B327" s="3" t="str">
        <f>TEXT(Tabela22345[[#This Row],[DATA]],"mmmm")</f>
        <v>janeiro</v>
      </c>
      <c r="C327" s="2"/>
      <c r="D327" s="2"/>
      <c r="E327" s="2"/>
      <c r="F327" s="2"/>
      <c r="G327" s="173"/>
      <c r="H327" s="174"/>
      <c r="I327" s="173" t="e">
        <f>Tabela22[[#This Row],[PESO TOTAL]]/Tabela22[[#This Row],[QUANTIDADE]]</f>
        <v>#DIV/0!</v>
      </c>
      <c r="J327" s="2"/>
      <c r="K327" s="193"/>
      <c r="L327" s="8"/>
      <c r="M327" s="8"/>
      <c r="N327" s="8"/>
      <c r="O327" s="194"/>
      <c r="P327" s="195"/>
    </row>
    <row r="328" spans="1:16">
      <c r="A328" s="3"/>
      <c r="B328" s="3" t="str">
        <f>TEXT(Tabela22345[[#This Row],[DATA]],"mmmm")</f>
        <v>janeiro</v>
      </c>
      <c r="C328" s="2"/>
      <c r="D328" s="2"/>
      <c r="E328" s="2"/>
      <c r="F328" s="2"/>
      <c r="G328" s="173"/>
      <c r="H328" s="174"/>
      <c r="I328" s="173" t="e">
        <f>Tabela22[[#This Row],[PESO TOTAL]]/Tabela22[[#This Row],[QUANTIDADE]]</f>
        <v>#DIV/0!</v>
      </c>
      <c r="J328" s="2"/>
      <c r="K328" s="193"/>
      <c r="L328" s="8"/>
      <c r="M328" s="8"/>
      <c r="N328" s="8"/>
      <c r="O328" s="194"/>
      <c r="P328" s="195"/>
    </row>
    <row r="329" spans="1:16">
      <c r="A329" s="3"/>
      <c r="B329" s="3" t="str">
        <f>TEXT(Tabela22345[[#This Row],[DATA]],"mmmm")</f>
        <v>janeiro</v>
      </c>
      <c r="C329" s="2"/>
      <c r="D329" s="2"/>
      <c r="E329" s="2"/>
      <c r="F329" s="2"/>
      <c r="G329" s="173"/>
      <c r="H329" s="174"/>
      <c r="I329" s="173" t="e">
        <f>Tabela22[[#This Row],[PESO TOTAL]]/Tabela22[[#This Row],[QUANTIDADE]]</f>
        <v>#DIV/0!</v>
      </c>
      <c r="J329" s="2"/>
      <c r="K329" s="193"/>
      <c r="L329" s="8"/>
      <c r="M329" s="8"/>
      <c r="N329" s="8"/>
      <c r="O329" s="194"/>
      <c r="P329" s="195"/>
    </row>
    <row r="330" spans="1:16">
      <c r="A330" s="3"/>
      <c r="B330" s="3" t="str">
        <f>TEXT(Tabela22345[[#This Row],[DATA]],"mmmm")</f>
        <v>janeiro</v>
      </c>
      <c r="C330" s="2"/>
      <c r="D330" s="2"/>
      <c r="E330" s="2"/>
      <c r="F330" s="2"/>
      <c r="G330" s="173"/>
      <c r="H330" s="174"/>
      <c r="I330" s="173" t="e">
        <f>Tabela22[[#This Row],[PESO TOTAL]]/Tabela22[[#This Row],[QUANTIDADE]]</f>
        <v>#DIV/0!</v>
      </c>
      <c r="J330" s="2"/>
      <c r="K330" s="193"/>
      <c r="L330" s="8"/>
      <c r="M330" s="8"/>
      <c r="N330" s="8"/>
      <c r="O330" s="194"/>
      <c r="P330" s="195"/>
    </row>
    <row r="331" spans="1:16">
      <c r="A331" s="3"/>
      <c r="B331" s="3" t="str">
        <f>TEXT(Tabela22345[[#This Row],[DATA]],"mmmm")</f>
        <v>janeiro</v>
      </c>
      <c r="C331" s="2"/>
      <c r="D331" s="2"/>
      <c r="E331" s="2"/>
      <c r="F331" s="2"/>
      <c r="G331" s="173"/>
      <c r="H331" s="174"/>
      <c r="I331" s="173" t="e">
        <f>Tabela22[[#This Row],[PESO TOTAL]]/Tabela22[[#This Row],[QUANTIDADE]]</f>
        <v>#DIV/0!</v>
      </c>
      <c r="J331" s="2"/>
      <c r="K331" s="193"/>
      <c r="L331" s="8"/>
      <c r="M331" s="8"/>
      <c r="N331" s="8"/>
      <c r="O331" s="194"/>
      <c r="P331" s="195"/>
    </row>
    <row r="332" spans="1:16">
      <c r="A332" s="3"/>
      <c r="B332" s="3" t="str">
        <f>TEXT(Tabela22345[[#This Row],[DATA]],"mmmm")</f>
        <v>janeiro</v>
      </c>
      <c r="C332" s="2"/>
      <c r="D332" s="2"/>
      <c r="E332" s="2"/>
      <c r="F332" s="2"/>
      <c r="G332" s="173"/>
      <c r="H332" s="174"/>
      <c r="I332" s="173" t="e">
        <f>Tabela22[[#This Row],[PESO TOTAL]]/Tabela22[[#This Row],[QUANTIDADE]]</f>
        <v>#DIV/0!</v>
      </c>
      <c r="J332" s="2"/>
      <c r="K332" s="193"/>
      <c r="L332" s="8"/>
      <c r="M332" s="8"/>
      <c r="N332" s="8"/>
      <c r="O332" s="194"/>
      <c r="P332" s="195"/>
    </row>
    <row r="333" spans="1:16">
      <c r="A333" s="3"/>
      <c r="B333" s="3" t="str">
        <f>TEXT(Tabela22345[[#This Row],[DATA]],"mmmm")</f>
        <v>janeiro</v>
      </c>
      <c r="C333" s="2"/>
      <c r="D333" s="2"/>
      <c r="E333" s="2"/>
      <c r="F333" s="2"/>
      <c r="G333" s="173"/>
      <c r="H333" s="174"/>
      <c r="I333" s="173" t="e">
        <f>Tabela22[[#This Row],[PESO TOTAL]]/Tabela22[[#This Row],[QUANTIDADE]]</f>
        <v>#DIV/0!</v>
      </c>
      <c r="J333" s="2"/>
      <c r="K333" s="193"/>
      <c r="L333" s="8"/>
      <c r="M333" s="8"/>
      <c r="N333" s="8"/>
      <c r="O333" s="194"/>
      <c r="P333" s="195"/>
    </row>
    <row r="334" spans="1:16">
      <c r="A334" s="3"/>
      <c r="B334" s="3" t="str">
        <f>TEXT(Tabela22345[[#This Row],[DATA]],"mmmm")</f>
        <v>janeiro</v>
      </c>
      <c r="C334" s="2"/>
      <c r="D334" s="2"/>
      <c r="E334" s="2"/>
      <c r="F334" s="2"/>
      <c r="G334" s="173"/>
      <c r="H334" s="174"/>
      <c r="I334" s="173" t="e">
        <f>Tabela22[[#This Row],[PESO TOTAL]]/Tabela22[[#This Row],[QUANTIDADE]]</f>
        <v>#DIV/0!</v>
      </c>
      <c r="J334" s="2"/>
      <c r="K334" s="193"/>
      <c r="L334" s="8"/>
      <c r="M334" s="8"/>
      <c r="N334" s="8"/>
      <c r="O334" s="194"/>
      <c r="P334" s="195"/>
    </row>
    <row r="335" spans="1:16">
      <c r="A335" s="3"/>
      <c r="B335" s="3" t="str">
        <f>TEXT(Tabela22345[[#This Row],[DATA]],"mmmm")</f>
        <v>janeiro</v>
      </c>
      <c r="C335" s="2"/>
      <c r="D335" s="2"/>
      <c r="E335" s="2"/>
      <c r="F335" s="2"/>
      <c r="G335" s="173"/>
      <c r="H335" s="174"/>
      <c r="I335" s="173" t="e">
        <f>Tabela22[[#This Row],[PESO TOTAL]]/Tabela22[[#This Row],[QUANTIDADE]]</f>
        <v>#DIV/0!</v>
      </c>
      <c r="J335" s="2"/>
      <c r="K335" s="193"/>
      <c r="L335" s="8"/>
      <c r="M335" s="8"/>
      <c r="N335" s="8"/>
      <c r="O335" s="194"/>
      <c r="P335" s="195"/>
    </row>
    <row r="336" spans="1:16">
      <c r="A336" s="3"/>
      <c r="B336" s="3" t="str">
        <f>TEXT(Tabela22345[[#This Row],[DATA]],"mmmm")</f>
        <v>janeiro</v>
      </c>
      <c r="C336" s="2"/>
      <c r="D336" s="2"/>
      <c r="E336" s="2"/>
      <c r="F336" s="2"/>
      <c r="G336" s="173"/>
      <c r="H336" s="174"/>
      <c r="I336" s="173" t="e">
        <f>Tabela22[[#This Row],[PESO TOTAL]]/Tabela22[[#This Row],[QUANTIDADE]]</f>
        <v>#DIV/0!</v>
      </c>
      <c r="J336" s="2"/>
      <c r="K336" s="193"/>
      <c r="L336" s="8"/>
      <c r="M336" s="8"/>
      <c r="N336" s="8"/>
      <c r="O336" s="194"/>
      <c r="P336" s="195"/>
    </row>
    <row r="337" spans="1:16">
      <c r="A337" s="3"/>
      <c r="B337" s="3" t="str">
        <f>TEXT(Tabela22345[[#This Row],[DATA]],"mmmm")</f>
        <v>janeiro</v>
      </c>
      <c r="C337" s="2"/>
      <c r="D337" s="2"/>
      <c r="E337" s="2"/>
      <c r="F337" s="2"/>
      <c r="G337" s="173"/>
      <c r="H337" s="174"/>
      <c r="I337" s="173" t="e">
        <f>Tabela22[[#This Row],[PESO TOTAL]]/Tabela22[[#This Row],[QUANTIDADE]]</f>
        <v>#DIV/0!</v>
      </c>
      <c r="J337" s="2"/>
      <c r="K337" s="193"/>
      <c r="L337" s="8"/>
      <c r="M337" s="8"/>
      <c r="N337" s="8"/>
      <c r="O337" s="194"/>
      <c r="P337" s="195"/>
    </row>
    <row r="338" spans="1:16">
      <c r="A338" s="3"/>
      <c r="B338" s="3" t="str">
        <f>TEXT(Tabela22345[[#This Row],[DATA]],"mmmm")</f>
        <v>janeiro</v>
      </c>
      <c r="C338" s="2"/>
      <c r="D338" s="2"/>
      <c r="E338" s="2"/>
      <c r="F338" s="2"/>
      <c r="G338" s="173"/>
      <c r="H338" s="174"/>
      <c r="I338" s="173" t="e">
        <f>Tabela22[[#This Row],[PESO TOTAL]]/Tabela22[[#This Row],[QUANTIDADE]]</f>
        <v>#DIV/0!</v>
      </c>
      <c r="J338" s="2"/>
      <c r="K338" s="193"/>
      <c r="L338" s="8"/>
      <c r="M338" s="8"/>
      <c r="N338" s="8"/>
      <c r="O338" s="194"/>
      <c r="P338" s="195"/>
    </row>
    <row r="339" spans="1:16">
      <c r="A339" s="3"/>
      <c r="B339" s="3" t="str">
        <f>TEXT(Tabela22345[[#This Row],[DATA]],"mmmm")</f>
        <v>janeiro</v>
      </c>
      <c r="C339" s="2"/>
      <c r="D339" s="2"/>
      <c r="E339" s="2"/>
      <c r="F339" s="2"/>
      <c r="G339" s="173"/>
      <c r="H339" s="174"/>
      <c r="I339" s="173" t="e">
        <f>Tabela22[[#This Row],[PESO TOTAL]]/Tabela22[[#This Row],[QUANTIDADE]]</f>
        <v>#DIV/0!</v>
      </c>
      <c r="J339" s="2"/>
      <c r="K339" s="193"/>
      <c r="L339" s="8"/>
      <c r="M339" s="8"/>
      <c r="N339" s="8"/>
      <c r="O339" s="194"/>
      <c r="P339" s="195"/>
    </row>
    <row r="340" spans="1:16">
      <c r="A340" s="3"/>
      <c r="B340" s="3" t="str">
        <f>TEXT(Tabela22345[[#This Row],[DATA]],"mmmm")</f>
        <v>janeiro</v>
      </c>
      <c r="C340" s="2"/>
      <c r="D340" s="2"/>
      <c r="E340" s="2"/>
      <c r="F340" s="2"/>
      <c r="G340" s="173"/>
      <c r="H340" s="174"/>
      <c r="I340" s="173" t="e">
        <f>Tabela22[[#This Row],[PESO TOTAL]]/Tabela22[[#This Row],[QUANTIDADE]]</f>
        <v>#DIV/0!</v>
      </c>
      <c r="J340" s="2"/>
      <c r="K340" s="193"/>
      <c r="L340" s="8"/>
      <c r="M340" s="8"/>
      <c r="N340" s="8"/>
      <c r="O340" s="194"/>
      <c r="P340" s="195"/>
    </row>
    <row r="341" spans="1:16">
      <c r="A341" s="3"/>
      <c r="B341" s="3" t="str">
        <f>TEXT(Tabela22345[[#This Row],[DATA]],"mmmm")</f>
        <v>janeiro</v>
      </c>
      <c r="C341" s="2"/>
      <c r="D341" s="2"/>
      <c r="E341" s="2"/>
      <c r="F341" s="2"/>
      <c r="G341" s="173"/>
      <c r="H341" s="174"/>
      <c r="I341" s="173" t="e">
        <f>Tabela22[[#This Row],[PESO TOTAL]]/Tabela22[[#This Row],[QUANTIDADE]]</f>
        <v>#DIV/0!</v>
      </c>
      <c r="J341" s="2"/>
      <c r="K341" s="193"/>
      <c r="L341" s="8"/>
      <c r="M341" s="8"/>
      <c r="N341" s="8"/>
      <c r="O341" s="194"/>
      <c r="P341" s="195"/>
    </row>
    <row r="342" spans="1:16">
      <c r="A342" s="3"/>
      <c r="B342" s="3" t="str">
        <f>TEXT(Tabela22345[[#This Row],[DATA]],"mmmm")</f>
        <v>janeiro</v>
      </c>
      <c r="C342" s="2"/>
      <c r="D342" s="2"/>
      <c r="E342" s="2"/>
      <c r="F342" s="2"/>
      <c r="G342" s="173"/>
      <c r="H342" s="174"/>
      <c r="I342" s="173" t="e">
        <f>Tabela22[[#This Row],[PESO TOTAL]]/Tabela22[[#This Row],[QUANTIDADE]]</f>
        <v>#DIV/0!</v>
      </c>
      <c r="J342" s="2"/>
      <c r="K342" s="193"/>
      <c r="L342" s="8"/>
      <c r="M342" s="8"/>
      <c r="N342" s="8"/>
      <c r="O342" s="194"/>
      <c r="P342" s="195"/>
    </row>
    <row r="343" spans="1:16">
      <c r="A343" s="3"/>
      <c r="B343" s="3" t="str">
        <f>TEXT(Tabela22345[[#This Row],[DATA]],"mmmm")</f>
        <v>janeiro</v>
      </c>
      <c r="C343" s="2"/>
      <c r="D343" s="2"/>
      <c r="E343" s="2"/>
      <c r="F343" s="2"/>
      <c r="G343" s="173"/>
      <c r="H343" s="174"/>
      <c r="I343" s="173" t="e">
        <f>Tabela22[[#This Row],[PESO TOTAL]]/Tabela22[[#This Row],[QUANTIDADE]]</f>
        <v>#DIV/0!</v>
      </c>
      <c r="J343" s="2"/>
      <c r="K343" s="193"/>
      <c r="L343" s="8"/>
      <c r="M343" s="8"/>
      <c r="N343" s="8"/>
      <c r="O343" s="194"/>
      <c r="P343" s="195"/>
    </row>
    <row r="344" spans="1:16">
      <c r="A344" s="3"/>
      <c r="B344" s="3" t="str">
        <f>TEXT(Tabela22345[[#This Row],[DATA]],"mmmm")</f>
        <v>janeiro</v>
      </c>
      <c r="C344" s="2"/>
      <c r="D344" s="2"/>
      <c r="E344" s="2"/>
      <c r="F344" s="2"/>
      <c r="G344" s="173"/>
      <c r="H344" s="174"/>
      <c r="I344" s="173" t="e">
        <f>Tabela22[[#This Row],[PESO TOTAL]]/Tabela22[[#This Row],[QUANTIDADE]]</f>
        <v>#DIV/0!</v>
      </c>
      <c r="J344" s="2"/>
      <c r="K344" s="193"/>
      <c r="L344" s="8"/>
      <c r="M344" s="8"/>
      <c r="N344" s="8"/>
      <c r="O344" s="194"/>
      <c r="P344" s="195"/>
    </row>
    <row r="345" spans="1:16">
      <c r="A345" s="3"/>
      <c r="B345" s="3" t="str">
        <f>TEXT(Tabela22345[[#This Row],[DATA]],"mmmm")</f>
        <v>janeiro</v>
      </c>
      <c r="C345" s="2"/>
      <c r="D345" s="2"/>
      <c r="E345" s="2"/>
      <c r="F345" s="2"/>
      <c r="G345" s="173"/>
      <c r="H345" s="174"/>
      <c r="I345" s="173" t="e">
        <f>Tabela22[[#This Row],[PESO TOTAL]]/Tabela22[[#This Row],[QUANTIDADE]]</f>
        <v>#DIV/0!</v>
      </c>
      <c r="J345" s="2"/>
      <c r="K345" s="193"/>
      <c r="L345" s="8"/>
      <c r="M345" s="8"/>
      <c r="N345" s="8"/>
      <c r="O345" s="194"/>
      <c r="P345" s="195"/>
    </row>
    <row r="346" spans="1:16">
      <c r="A346" s="3"/>
      <c r="B346" s="3" t="str">
        <f>TEXT(Tabela22345[[#This Row],[DATA]],"mmmm")</f>
        <v>janeiro</v>
      </c>
      <c r="C346" s="2"/>
      <c r="D346" s="2"/>
      <c r="E346" s="2"/>
      <c r="F346" s="2"/>
      <c r="G346" s="173"/>
      <c r="H346" s="174"/>
      <c r="I346" s="173" t="e">
        <f>Tabela22[[#This Row],[PESO TOTAL]]/Tabela22[[#This Row],[QUANTIDADE]]</f>
        <v>#DIV/0!</v>
      </c>
      <c r="J346" s="2"/>
      <c r="K346" s="193"/>
      <c r="L346" s="8"/>
      <c r="M346" s="8"/>
      <c r="N346" s="8"/>
      <c r="O346" s="194"/>
      <c r="P346" s="195"/>
    </row>
    <row r="347" spans="1:16">
      <c r="A347" s="3"/>
      <c r="B347" s="3" t="str">
        <f>TEXT(Tabela22345[[#This Row],[DATA]],"mmmm")</f>
        <v>janeiro</v>
      </c>
      <c r="C347" s="2"/>
      <c r="D347" s="2"/>
      <c r="E347" s="2"/>
      <c r="F347" s="2"/>
      <c r="G347" s="173"/>
      <c r="H347" s="174"/>
      <c r="I347" s="173" t="e">
        <f>Tabela22[[#This Row],[PESO TOTAL]]/Tabela22[[#This Row],[QUANTIDADE]]</f>
        <v>#DIV/0!</v>
      </c>
      <c r="J347" s="2"/>
      <c r="K347" s="193"/>
      <c r="L347" s="8"/>
      <c r="M347" s="8"/>
      <c r="N347" s="8"/>
      <c r="O347" s="194"/>
      <c r="P347" s="195"/>
    </row>
    <row r="348" spans="1:16">
      <c r="A348" s="3"/>
      <c r="B348" s="3" t="str">
        <f>TEXT(Tabela22345[[#This Row],[DATA]],"mmmm")</f>
        <v>janeiro</v>
      </c>
      <c r="C348" s="2"/>
      <c r="D348" s="2"/>
      <c r="E348" s="2"/>
      <c r="F348" s="2"/>
      <c r="G348" s="173"/>
      <c r="H348" s="174"/>
      <c r="I348" s="173" t="e">
        <f>Tabela22[[#This Row],[PESO TOTAL]]/Tabela22[[#This Row],[QUANTIDADE]]</f>
        <v>#DIV/0!</v>
      </c>
      <c r="J348" s="2"/>
      <c r="K348" s="193"/>
      <c r="L348" s="8"/>
      <c r="M348" s="8"/>
      <c r="N348" s="8"/>
      <c r="O348" s="194"/>
      <c r="P348" s="195"/>
    </row>
    <row r="349" spans="1:16">
      <c r="A349" s="3"/>
      <c r="B349" s="3" t="str">
        <f>TEXT(Tabela22345[[#This Row],[DATA]],"mmmm")</f>
        <v>janeiro</v>
      </c>
      <c r="C349" s="2"/>
      <c r="D349" s="2"/>
      <c r="E349" s="2"/>
      <c r="F349" s="2"/>
      <c r="G349" s="173"/>
      <c r="H349" s="174"/>
      <c r="I349" s="173" t="e">
        <f>Tabela22[[#This Row],[PESO TOTAL]]/Tabela22[[#This Row],[QUANTIDADE]]</f>
        <v>#DIV/0!</v>
      </c>
      <c r="J349" s="2"/>
      <c r="K349" s="193"/>
      <c r="L349" s="8"/>
      <c r="M349" s="8"/>
      <c r="N349" s="8"/>
      <c r="O349" s="194"/>
      <c r="P349" s="195"/>
    </row>
    <row r="350" spans="1:16">
      <c r="A350" s="3"/>
      <c r="B350" s="3" t="str">
        <f>TEXT(Tabela22345[[#This Row],[DATA]],"mmmm")</f>
        <v>janeiro</v>
      </c>
      <c r="C350" s="2"/>
      <c r="D350" s="2"/>
      <c r="E350" s="2"/>
      <c r="F350" s="2"/>
      <c r="G350" s="173"/>
      <c r="H350" s="174"/>
      <c r="I350" s="173" t="e">
        <f>Tabela22[[#This Row],[PESO TOTAL]]/Tabela22[[#This Row],[QUANTIDADE]]</f>
        <v>#DIV/0!</v>
      </c>
      <c r="J350" s="2"/>
      <c r="K350" s="193"/>
      <c r="L350" s="8"/>
      <c r="M350" s="8"/>
      <c r="N350" s="8"/>
      <c r="O350" s="194"/>
      <c r="P350" s="195"/>
    </row>
    <row r="351" spans="1:16">
      <c r="A351" s="3"/>
      <c r="B351" s="3" t="str">
        <f>TEXT(Tabela22345[[#This Row],[DATA]],"mmmm")</f>
        <v>janeiro</v>
      </c>
      <c r="C351" s="2"/>
      <c r="D351" s="2"/>
      <c r="E351" s="2"/>
      <c r="F351" s="2"/>
      <c r="G351" s="173"/>
      <c r="H351" s="174"/>
      <c r="I351" s="173" t="e">
        <f>Tabela22[[#This Row],[PESO TOTAL]]/Tabela22[[#This Row],[QUANTIDADE]]</f>
        <v>#DIV/0!</v>
      </c>
      <c r="J351" s="2"/>
      <c r="K351" s="193"/>
      <c r="L351" s="8"/>
      <c r="M351" s="8"/>
      <c r="N351" s="8"/>
      <c r="O351" s="194"/>
      <c r="P351" s="195"/>
    </row>
    <row r="352" spans="1:16">
      <c r="A352" s="3"/>
      <c r="B352" s="3" t="str">
        <f>TEXT(Tabela22345[[#This Row],[DATA]],"mmmm")</f>
        <v>janeiro</v>
      </c>
      <c r="C352" s="2"/>
      <c r="D352" s="2"/>
      <c r="E352" s="2"/>
      <c r="F352" s="2"/>
      <c r="G352" s="173"/>
      <c r="H352" s="174"/>
      <c r="I352" s="173" t="e">
        <f>Tabela22[[#This Row],[PESO TOTAL]]/Tabela22[[#This Row],[QUANTIDADE]]</f>
        <v>#DIV/0!</v>
      </c>
      <c r="J352" s="2"/>
      <c r="K352" s="193"/>
      <c r="L352" s="8"/>
      <c r="M352" s="8"/>
      <c r="N352" s="8"/>
      <c r="O352" s="194"/>
      <c r="P352" s="195"/>
    </row>
    <row r="353" spans="1:16">
      <c r="A353" s="3"/>
      <c r="B353" s="3" t="str">
        <f>TEXT(Tabela22345[[#This Row],[DATA]],"mmmm")</f>
        <v>janeiro</v>
      </c>
      <c r="C353" s="2"/>
      <c r="D353" s="2"/>
      <c r="E353" s="2"/>
      <c r="F353" s="2"/>
      <c r="G353" s="173"/>
      <c r="H353" s="174"/>
      <c r="I353" s="173" t="e">
        <f>Tabela22[[#This Row],[PESO TOTAL]]/Tabela22[[#This Row],[QUANTIDADE]]</f>
        <v>#DIV/0!</v>
      </c>
      <c r="J353" s="2"/>
      <c r="K353" s="193"/>
      <c r="L353" s="8"/>
      <c r="M353" s="8"/>
      <c r="N353" s="8"/>
      <c r="O353" s="194"/>
      <c r="P353" s="195"/>
    </row>
    <row r="354" spans="1:16">
      <c r="A354" s="3"/>
      <c r="B354" s="3" t="str">
        <f>TEXT(Tabela22345[[#This Row],[DATA]],"mmmm")</f>
        <v>janeiro</v>
      </c>
      <c r="C354" s="2"/>
      <c r="D354" s="2"/>
      <c r="E354" s="2"/>
      <c r="F354" s="2"/>
      <c r="G354" s="173"/>
      <c r="H354" s="174"/>
      <c r="I354" s="173" t="e">
        <f>Tabela22[[#This Row],[PESO TOTAL]]/Tabela22[[#This Row],[QUANTIDADE]]</f>
        <v>#DIV/0!</v>
      </c>
      <c r="J354" s="2"/>
      <c r="K354" s="193"/>
      <c r="L354" s="8"/>
      <c r="M354" s="8"/>
      <c r="N354" s="8"/>
      <c r="O354" s="194"/>
      <c r="P354" s="195"/>
    </row>
    <row r="355" spans="1:16">
      <c r="A355" s="3"/>
      <c r="B355" s="3" t="str">
        <f>TEXT(Tabela22345[[#This Row],[DATA]],"mmmm")</f>
        <v>janeiro</v>
      </c>
      <c r="C355" s="2"/>
      <c r="D355" s="2"/>
      <c r="E355" s="2"/>
      <c r="F355" s="2"/>
      <c r="G355" s="173"/>
      <c r="H355" s="174"/>
      <c r="I355" s="173" t="e">
        <f>Tabela22[[#This Row],[PESO TOTAL]]/Tabela22[[#This Row],[QUANTIDADE]]</f>
        <v>#DIV/0!</v>
      </c>
      <c r="J355" s="2"/>
      <c r="K355" s="193"/>
      <c r="L355" s="8"/>
      <c r="M355" s="8"/>
      <c r="N355" s="8"/>
      <c r="O355" s="194"/>
      <c r="P355" s="195"/>
    </row>
    <row r="356" spans="1:16">
      <c r="A356" s="3"/>
      <c r="B356" s="3" t="str">
        <f>TEXT(Tabela22345[[#This Row],[DATA]],"mmmm")</f>
        <v>janeiro</v>
      </c>
      <c r="C356" s="2"/>
      <c r="D356" s="2"/>
      <c r="E356" s="2"/>
      <c r="F356" s="2"/>
      <c r="G356" s="173"/>
      <c r="H356" s="174"/>
      <c r="I356" s="173" t="e">
        <f>Tabela22[[#This Row],[PESO TOTAL]]/Tabela22[[#This Row],[QUANTIDADE]]</f>
        <v>#DIV/0!</v>
      </c>
      <c r="J356" s="2"/>
      <c r="K356" s="193"/>
      <c r="L356" s="8"/>
      <c r="M356" s="8"/>
      <c r="N356" s="8"/>
      <c r="O356" s="194"/>
      <c r="P356" s="195"/>
    </row>
    <row r="357" spans="1:16">
      <c r="A357" s="3"/>
      <c r="B357" s="3" t="str">
        <f>TEXT(Tabela22345[[#This Row],[DATA]],"mmmm")</f>
        <v>janeiro</v>
      </c>
      <c r="C357" s="2"/>
      <c r="D357" s="2"/>
      <c r="E357" s="2"/>
      <c r="F357" s="2"/>
      <c r="G357" s="173"/>
      <c r="H357" s="174"/>
      <c r="I357" s="173" t="e">
        <f>Tabela22[[#This Row],[PESO TOTAL]]/Tabela22[[#This Row],[QUANTIDADE]]</f>
        <v>#DIV/0!</v>
      </c>
      <c r="J357" s="2"/>
      <c r="K357" s="193"/>
      <c r="L357" s="8"/>
      <c r="M357" s="8"/>
      <c r="N357" s="8"/>
      <c r="O357" s="194"/>
      <c r="P357" s="195"/>
    </row>
    <row r="358" spans="1:16">
      <c r="A358" s="3"/>
      <c r="B358" s="3" t="str">
        <f>TEXT(Tabela22345[[#This Row],[DATA]],"mmmm")</f>
        <v>janeiro</v>
      </c>
      <c r="C358" s="2"/>
      <c r="D358" s="2"/>
      <c r="E358" s="2"/>
      <c r="F358" s="2"/>
      <c r="G358" s="173"/>
      <c r="H358" s="174"/>
      <c r="I358" s="173" t="e">
        <f>Tabela22[[#This Row],[PESO TOTAL]]/Tabela22[[#This Row],[QUANTIDADE]]</f>
        <v>#DIV/0!</v>
      </c>
      <c r="J358" s="2"/>
      <c r="K358" s="193"/>
      <c r="L358" s="8"/>
      <c r="M358" s="8"/>
      <c r="N358" s="8"/>
      <c r="O358" s="194"/>
      <c r="P358" s="195"/>
    </row>
    <row r="359" spans="1:16">
      <c r="A359" s="3"/>
      <c r="B359" s="3" t="str">
        <f>TEXT(Tabela22345[[#This Row],[DATA]],"mmmm")</f>
        <v>janeiro</v>
      </c>
      <c r="C359" s="2"/>
      <c r="D359" s="2"/>
      <c r="E359" s="2"/>
      <c r="F359" s="2"/>
      <c r="G359" s="173"/>
      <c r="H359" s="174"/>
      <c r="I359" s="173" t="e">
        <f>Tabela22[[#This Row],[PESO TOTAL]]/Tabela22[[#This Row],[QUANTIDADE]]</f>
        <v>#DIV/0!</v>
      </c>
      <c r="J359" s="2"/>
      <c r="K359" s="193"/>
      <c r="L359" s="8"/>
      <c r="M359" s="8"/>
      <c r="N359" s="8"/>
      <c r="O359" s="194"/>
      <c r="P359" s="195"/>
    </row>
    <row r="360" spans="1:16">
      <c r="A360" s="3"/>
      <c r="B360" s="3" t="str">
        <f>TEXT(Tabela22345[[#This Row],[DATA]],"mmmm")</f>
        <v>janeiro</v>
      </c>
      <c r="C360" s="2"/>
      <c r="D360" s="2"/>
      <c r="E360" s="2"/>
      <c r="F360" s="2"/>
      <c r="G360" s="173"/>
      <c r="H360" s="174"/>
      <c r="I360" s="173" t="e">
        <f>Tabela22[[#This Row],[PESO TOTAL]]/Tabela22[[#This Row],[QUANTIDADE]]</f>
        <v>#DIV/0!</v>
      </c>
      <c r="J360" s="2"/>
      <c r="K360" s="193"/>
      <c r="L360" s="8"/>
      <c r="M360" s="8"/>
      <c r="N360" s="8"/>
      <c r="O360" s="194"/>
      <c r="P360" s="195"/>
    </row>
    <row r="361" spans="1:16">
      <c r="A361" s="3"/>
      <c r="B361" s="3" t="str">
        <f>TEXT(Tabela22345[[#This Row],[DATA]],"mmmm")</f>
        <v>janeiro</v>
      </c>
      <c r="C361" s="2"/>
      <c r="D361" s="2"/>
      <c r="E361" s="2"/>
      <c r="F361" s="2"/>
      <c r="G361" s="173"/>
      <c r="H361" s="174"/>
      <c r="I361" s="173" t="e">
        <f>Tabela22[[#This Row],[PESO TOTAL]]/Tabela22[[#This Row],[QUANTIDADE]]</f>
        <v>#DIV/0!</v>
      </c>
      <c r="J361" s="2"/>
      <c r="K361" s="193"/>
      <c r="L361" s="8"/>
      <c r="M361" s="8"/>
      <c r="N361" s="8"/>
      <c r="O361" s="194"/>
      <c r="P361" s="195"/>
    </row>
    <row r="362" spans="1:16">
      <c r="A362" s="3"/>
      <c r="B362" s="3" t="str">
        <f>TEXT(Tabela22345[[#This Row],[DATA]],"mmmm")</f>
        <v>janeiro</v>
      </c>
      <c r="C362" s="2"/>
      <c r="D362" s="2"/>
      <c r="E362" s="2"/>
      <c r="F362" s="2"/>
      <c r="G362" s="173"/>
      <c r="H362" s="174"/>
      <c r="I362" s="173" t="e">
        <f>Tabela22[[#This Row],[PESO TOTAL]]/Tabela22[[#This Row],[QUANTIDADE]]</f>
        <v>#DIV/0!</v>
      </c>
      <c r="J362" s="2"/>
      <c r="K362" s="193"/>
      <c r="L362" s="8"/>
      <c r="M362" s="8"/>
      <c r="N362" s="8"/>
      <c r="O362" s="194"/>
      <c r="P362" s="195"/>
    </row>
    <row r="363" spans="1:16">
      <c r="A363" s="3"/>
      <c r="B363" s="3" t="str">
        <f>TEXT(Tabela22345[[#This Row],[DATA]],"mmmm")</f>
        <v>janeiro</v>
      </c>
      <c r="C363" s="2"/>
      <c r="D363" s="2"/>
      <c r="E363" s="2"/>
      <c r="F363" s="2"/>
      <c r="G363" s="173"/>
      <c r="H363" s="174"/>
      <c r="I363" s="173" t="e">
        <f>Tabela22[[#This Row],[PESO TOTAL]]/Tabela22[[#This Row],[QUANTIDADE]]</f>
        <v>#DIV/0!</v>
      </c>
      <c r="J363" s="2"/>
      <c r="K363" s="193"/>
      <c r="L363" s="8"/>
      <c r="M363" s="8"/>
      <c r="N363" s="8"/>
      <c r="O363" s="194"/>
      <c r="P363" s="195"/>
    </row>
    <row r="364" spans="1:16">
      <c r="A364" s="3"/>
      <c r="B364" s="3" t="str">
        <f>TEXT(Tabela22345[[#This Row],[DATA]],"mmmm")</f>
        <v>janeiro</v>
      </c>
      <c r="C364" s="2"/>
      <c r="D364" s="2"/>
      <c r="E364" s="2"/>
      <c r="F364" s="2"/>
      <c r="G364" s="173"/>
      <c r="H364" s="174"/>
      <c r="I364" s="173" t="e">
        <f>Tabela22[[#This Row],[PESO TOTAL]]/Tabela22[[#This Row],[QUANTIDADE]]</f>
        <v>#DIV/0!</v>
      </c>
      <c r="J364" s="2"/>
      <c r="K364" s="193"/>
      <c r="L364" s="8"/>
      <c r="M364" s="8"/>
      <c r="N364" s="8"/>
      <c r="O364" s="194"/>
      <c r="P364" s="195"/>
    </row>
    <row r="365" spans="1:16">
      <c r="A365" s="3"/>
      <c r="B365" s="3" t="str">
        <f>TEXT(Tabela22345[[#This Row],[DATA]],"mmmm")</f>
        <v>janeiro</v>
      </c>
      <c r="C365" s="2"/>
      <c r="D365" s="2"/>
      <c r="E365" s="2"/>
      <c r="F365" s="2"/>
      <c r="G365" s="173"/>
      <c r="H365" s="174"/>
      <c r="I365" s="173" t="e">
        <f>Tabela22[[#This Row],[PESO TOTAL]]/Tabela22[[#This Row],[QUANTIDADE]]</f>
        <v>#DIV/0!</v>
      </c>
      <c r="J365" s="2"/>
      <c r="K365" s="193"/>
      <c r="L365" s="8"/>
      <c r="M365" s="8"/>
      <c r="N365" s="8"/>
      <c r="O365" s="194"/>
      <c r="P365" s="195"/>
    </row>
    <row r="366" spans="1:16">
      <c r="A366" s="3"/>
      <c r="B366" s="3" t="str">
        <f>TEXT(Tabela22345[[#This Row],[DATA]],"mmmm")</f>
        <v>janeiro</v>
      </c>
      <c r="C366" s="2"/>
      <c r="D366" s="2"/>
      <c r="E366" s="2"/>
      <c r="F366" s="2"/>
      <c r="G366" s="173"/>
      <c r="H366" s="174"/>
      <c r="I366" s="173" t="e">
        <f>Tabela22[[#This Row],[PESO TOTAL]]/Tabela22[[#This Row],[QUANTIDADE]]</f>
        <v>#DIV/0!</v>
      </c>
      <c r="J366" s="2"/>
      <c r="K366" s="193"/>
      <c r="L366" s="8"/>
      <c r="M366" s="8"/>
      <c r="N366" s="8"/>
      <c r="O366" s="194"/>
      <c r="P366" s="195"/>
    </row>
    <row r="367" spans="1:16">
      <c r="A367" s="3"/>
      <c r="B367" s="3" t="str">
        <f>TEXT(Tabela22345[[#This Row],[DATA]],"mmmm")</f>
        <v>janeiro</v>
      </c>
      <c r="C367" s="2"/>
      <c r="D367" s="2"/>
      <c r="E367" s="2"/>
      <c r="F367" s="2"/>
      <c r="G367" s="173"/>
      <c r="H367" s="174"/>
      <c r="I367" s="173" t="e">
        <f>Tabela22[[#This Row],[PESO TOTAL]]/Tabela22[[#This Row],[QUANTIDADE]]</f>
        <v>#DIV/0!</v>
      </c>
      <c r="J367" s="2"/>
      <c r="K367" s="193"/>
      <c r="L367" s="8"/>
      <c r="M367" s="8"/>
      <c r="N367" s="8"/>
      <c r="O367" s="194"/>
      <c r="P367" s="195"/>
    </row>
    <row r="368" spans="1:16">
      <c r="A368" s="3"/>
      <c r="B368" s="3" t="str">
        <f>TEXT(Tabela22345[[#This Row],[DATA]],"mmmm")</f>
        <v>janeiro</v>
      </c>
      <c r="C368" s="2"/>
      <c r="D368" s="2"/>
      <c r="E368" s="2"/>
      <c r="F368" s="2"/>
      <c r="G368" s="173"/>
      <c r="H368" s="174"/>
      <c r="I368" s="173" t="e">
        <f>Tabela22[[#This Row],[PESO TOTAL]]/Tabela22[[#This Row],[QUANTIDADE]]</f>
        <v>#DIV/0!</v>
      </c>
      <c r="J368" s="2"/>
      <c r="K368" s="193"/>
      <c r="L368" s="8"/>
      <c r="M368" s="8"/>
      <c r="N368" s="8"/>
      <c r="O368" s="194"/>
      <c r="P368" s="195"/>
    </row>
    <row r="369" spans="1:16">
      <c r="A369" s="3"/>
      <c r="B369" s="3" t="str">
        <f>TEXT(Tabela22345[[#This Row],[DATA]],"mmmm")</f>
        <v>janeiro</v>
      </c>
      <c r="C369" s="2"/>
      <c r="D369" s="2"/>
      <c r="E369" s="2"/>
      <c r="F369" s="2"/>
      <c r="G369" s="173"/>
      <c r="H369" s="174"/>
      <c r="I369" s="173" t="e">
        <f>Tabela22[[#This Row],[PESO TOTAL]]/Tabela22[[#This Row],[QUANTIDADE]]</f>
        <v>#DIV/0!</v>
      </c>
      <c r="J369" s="2"/>
      <c r="K369" s="193"/>
      <c r="L369" s="8"/>
      <c r="M369" s="8"/>
      <c r="N369" s="8"/>
      <c r="O369" s="194"/>
      <c r="P369" s="195"/>
    </row>
    <row r="370" spans="1:16">
      <c r="A370" s="3"/>
      <c r="B370" s="3" t="str">
        <f>TEXT(Tabela22345[[#This Row],[DATA]],"mmmm")</f>
        <v>janeiro</v>
      </c>
      <c r="C370" s="2"/>
      <c r="D370" s="2"/>
      <c r="E370" s="2"/>
      <c r="F370" s="2"/>
      <c r="G370" s="173"/>
      <c r="H370" s="174"/>
      <c r="I370" s="173" t="e">
        <f>Tabela22[[#This Row],[PESO TOTAL]]/Tabela22[[#This Row],[QUANTIDADE]]</f>
        <v>#DIV/0!</v>
      </c>
      <c r="J370" s="2"/>
      <c r="K370" s="193"/>
      <c r="L370" s="8"/>
      <c r="M370" s="8"/>
      <c r="N370" s="8"/>
      <c r="O370" s="194"/>
      <c r="P370" s="195"/>
    </row>
    <row r="371" spans="1:16">
      <c r="A371" s="3"/>
      <c r="B371" s="3" t="str">
        <f>TEXT(Tabela22345[[#This Row],[DATA]],"mmmm")</f>
        <v>janeiro</v>
      </c>
      <c r="C371" s="2"/>
      <c r="D371" s="2"/>
      <c r="E371" s="2"/>
      <c r="F371" s="2"/>
      <c r="G371" s="173"/>
      <c r="H371" s="174"/>
      <c r="I371" s="173" t="e">
        <f>Tabela22[[#This Row],[PESO TOTAL]]/Tabela22[[#This Row],[QUANTIDADE]]</f>
        <v>#DIV/0!</v>
      </c>
      <c r="J371" s="2"/>
      <c r="K371" s="193"/>
      <c r="L371" s="8"/>
      <c r="M371" s="8"/>
      <c r="N371" s="8"/>
      <c r="O371" s="194"/>
      <c r="P371" s="195"/>
    </row>
    <row r="372" spans="1:16">
      <c r="A372" s="3"/>
      <c r="B372" s="3" t="str">
        <f>TEXT(Tabela22345[[#This Row],[DATA]],"mmmm")</f>
        <v>janeiro</v>
      </c>
      <c r="C372" s="2"/>
      <c r="D372" s="2"/>
      <c r="E372" s="2"/>
      <c r="F372" s="2"/>
      <c r="G372" s="173"/>
      <c r="H372" s="174"/>
      <c r="I372" s="173" t="e">
        <f>Tabela22[[#This Row],[PESO TOTAL]]/Tabela22[[#This Row],[QUANTIDADE]]</f>
        <v>#DIV/0!</v>
      </c>
      <c r="J372" s="2"/>
      <c r="K372" s="193"/>
      <c r="L372" s="8"/>
      <c r="M372" s="8"/>
      <c r="N372" s="8"/>
      <c r="O372" s="194"/>
      <c r="P372" s="195"/>
    </row>
    <row r="373" spans="1:16">
      <c r="A373" s="3"/>
      <c r="B373" s="3" t="str">
        <f>TEXT(Tabela22345[[#This Row],[DATA]],"mmmm")</f>
        <v>janeiro</v>
      </c>
      <c r="C373" s="2"/>
      <c r="D373" s="2"/>
      <c r="E373" s="2"/>
      <c r="F373" s="2"/>
      <c r="G373" s="173"/>
      <c r="H373" s="174"/>
      <c r="I373" s="173" t="e">
        <f>Tabela22[[#This Row],[PESO TOTAL]]/Tabela22[[#This Row],[QUANTIDADE]]</f>
        <v>#DIV/0!</v>
      </c>
      <c r="J373" s="2"/>
      <c r="K373" s="193"/>
      <c r="L373" s="8"/>
      <c r="M373" s="8"/>
      <c r="N373" s="8"/>
      <c r="O373" s="194"/>
      <c r="P373" s="195"/>
    </row>
    <row r="374" spans="1:16">
      <c r="A374" s="3"/>
      <c r="B374" s="3" t="str">
        <f>TEXT(Tabela22345[[#This Row],[DATA]],"mmmm")</f>
        <v>janeiro</v>
      </c>
      <c r="C374" s="2"/>
      <c r="D374" s="2"/>
      <c r="E374" s="2"/>
      <c r="F374" s="2"/>
      <c r="G374" s="173"/>
      <c r="H374" s="174"/>
      <c r="I374" s="173" t="e">
        <f>Tabela22[[#This Row],[PESO TOTAL]]/Tabela22[[#This Row],[QUANTIDADE]]</f>
        <v>#DIV/0!</v>
      </c>
      <c r="J374" s="2"/>
      <c r="K374" s="193"/>
      <c r="L374" s="8"/>
      <c r="M374" s="8"/>
      <c r="N374" s="8"/>
      <c r="O374" s="194"/>
      <c r="P374" s="195"/>
    </row>
    <row r="375" spans="1:16">
      <c r="A375" s="3"/>
      <c r="B375" s="3" t="str">
        <f>TEXT(Tabela22345[[#This Row],[DATA]],"mmmm")</f>
        <v>janeiro</v>
      </c>
      <c r="C375" s="2"/>
      <c r="D375" s="2"/>
      <c r="E375" s="2"/>
      <c r="F375" s="2"/>
      <c r="G375" s="173"/>
      <c r="H375" s="174"/>
      <c r="I375" s="173" t="e">
        <f>Tabela22[[#This Row],[PESO TOTAL]]/Tabela22[[#This Row],[QUANTIDADE]]</f>
        <v>#DIV/0!</v>
      </c>
      <c r="J375" s="2"/>
      <c r="K375" s="193"/>
      <c r="L375" s="8"/>
      <c r="M375" s="8"/>
      <c r="N375" s="8"/>
      <c r="O375" s="194"/>
      <c r="P375" s="195"/>
    </row>
    <row r="376" spans="1:16">
      <c r="A376" s="3"/>
      <c r="B376" s="3" t="str">
        <f>TEXT(Tabela22345[[#This Row],[DATA]],"mmmm")</f>
        <v>janeiro</v>
      </c>
      <c r="C376" s="2"/>
      <c r="D376" s="2"/>
      <c r="E376" s="2"/>
      <c r="F376" s="2"/>
      <c r="G376" s="173"/>
      <c r="H376" s="174"/>
      <c r="I376" s="173" t="e">
        <f>Tabela22[[#This Row],[PESO TOTAL]]/Tabela22[[#This Row],[QUANTIDADE]]</f>
        <v>#DIV/0!</v>
      </c>
      <c r="J376" s="2"/>
      <c r="K376" s="193"/>
      <c r="L376" s="8"/>
      <c r="M376" s="8"/>
      <c r="N376" s="8"/>
      <c r="O376" s="194"/>
      <c r="P376" s="195"/>
    </row>
    <row r="377" spans="1:16">
      <c r="A377" s="3"/>
      <c r="B377" s="3" t="str">
        <f>TEXT(Tabela22345[[#This Row],[DATA]],"mmmm")</f>
        <v>janeiro</v>
      </c>
      <c r="C377" s="2"/>
      <c r="D377" s="2"/>
      <c r="E377" s="2"/>
      <c r="F377" s="2"/>
      <c r="G377" s="173"/>
      <c r="H377" s="174"/>
      <c r="I377" s="173" t="e">
        <f>Tabela22[[#This Row],[PESO TOTAL]]/Tabela22[[#This Row],[QUANTIDADE]]</f>
        <v>#DIV/0!</v>
      </c>
      <c r="J377" s="2"/>
      <c r="K377" s="193"/>
      <c r="L377" s="8"/>
      <c r="M377" s="8"/>
      <c r="N377" s="8"/>
      <c r="O377" s="194"/>
      <c r="P377" s="195"/>
    </row>
    <row r="378" spans="1:16">
      <c r="A378" s="3"/>
      <c r="B378" s="3" t="str">
        <f>TEXT(Tabela22345[[#This Row],[DATA]],"mmmm")</f>
        <v>janeiro</v>
      </c>
      <c r="C378" s="2"/>
      <c r="D378" s="2"/>
      <c r="E378" s="2"/>
      <c r="F378" s="2"/>
      <c r="G378" s="173"/>
      <c r="H378" s="174"/>
      <c r="I378" s="173" t="e">
        <f>Tabela22[[#This Row],[PESO TOTAL]]/Tabela22[[#This Row],[QUANTIDADE]]</f>
        <v>#DIV/0!</v>
      </c>
      <c r="J378" s="2"/>
      <c r="K378" s="193"/>
      <c r="L378" s="8"/>
      <c r="M378" s="8"/>
      <c r="N378" s="8"/>
      <c r="O378" s="194"/>
      <c r="P378" s="195"/>
    </row>
    <row r="379" spans="1:16">
      <c r="A379" s="3"/>
      <c r="B379" s="3" t="str">
        <f>TEXT(Tabela22345[[#This Row],[DATA]],"mmmm")</f>
        <v>janeiro</v>
      </c>
      <c r="C379" s="2"/>
      <c r="D379" s="2"/>
      <c r="E379" s="2"/>
      <c r="F379" s="2"/>
      <c r="G379" s="173"/>
      <c r="H379" s="174"/>
      <c r="I379" s="173" t="e">
        <f>Tabela22[[#This Row],[PESO TOTAL]]/Tabela22[[#This Row],[QUANTIDADE]]</f>
        <v>#DIV/0!</v>
      </c>
      <c r="J379" s="2"/>
      <c r="K379" s="193"/>
      <c r="L379" s="8"/>
      <c r="M379" s="8"/>
      <c r="N379" s="8"/>
      <c r="O379" s="194"/>
      <c r="P379" s="195"/>
    </row>
    <row r="380" spans="1:16">
      <c r="A380" s="3"/>
      <c r="B380" s="3" t="str">
        <f>TEXT(Tabela22345[[#This Row],[DATA]],"mmmm")</f>
        <v>janeiro</v>
      </c>
      <c r="C380" s="2"/>
      <c r="D380" s="2"/>
      <c r="E380" s="2"/>
      <c r="F380" s="2"/>
      <c r="G380" s="173"/>
      <c r="H380" s="174"/>
      <c r="I380" s="173" t="e">
        <f>Tabela22[[#This Row],[PESO TOTAL]]/Tabela22[[#This Row],[QUANTIDADE]]</f>
        <v>#DIV/0!</v>
      </c>
      <c r="J380" s="2"/>
      <c r="K380" s="193"/>
      <c r="L380" s="8"/>
      <c r="M380" s="8"/>
      <c r="N380" s="8"/>
      <c r="O380" s="194"/>
      <c r="P380" s="195"/>
    </row>
    <row r="381" spans="1:16">
      <c r="A381" s="3"/>
      <c r="B381" s="3" t="str">
        <f>TEXT(Tabela22345[[#This Row],[DATA]],"mmmm")</f>
        <v>janeiro</v>
      </c>
      <c r="C381" s="2"/>
      <c r="D381" s="2"/>
      <c r="E381" s="2"/>
      <c r="F381" s="2"/>
      <c r="G381" s="173"/>
      <c r="H381" s="174"/>
      <c r="I381" s="173" t="e">
        <f>Tabela22[[#This Row],[PESO TOTAL]]/Tabela22[[#This Row],[QUANTIDADE]]</f>
        <v>#DIV/0!</v>
      </c>
      <c r="J381" s="2"/>
      <c r="K381" s="193"/>
      <c r="L381" s="8"/>
      <c r="M381" s="8"/>
      <c r="N381" s="8"/>
      <c r="O381" s="194"/>
      <c r="P381" s="195"/>
    </row>
    <row r="382" spans="1:16">
      <c r="A382" s="3"/>
      <c r="B382" s="3" t="str">
        <f>TEXT(Tabela22345[[#This Row],[DATA]],"mmmm")</f>
        <v>janeiro</v>
      </c>
      <c r="C382" s="2"/>
      <c r="D382" s="2"/>
      <c r="E382" s="2"/>
      <c r="F382" s="2"/>
      <c r="G382" s="173"/>
      <c r="H382" s="174"/>
      <c r="I382" s="173" t="e">
        <f>Tabela22[[#This Row],[PESO TOTAL]]/Tabela22[[#This Row],[QUANTIDADE]]</f>
        <v>#DIV/0!</v>
      </c>
      <c r="J382" s="2"/>
      <c r="K382" s="193"/>
      <c r="L382" s="8"/>
      <c r="M382" s="8"/>
      <c r="N382" s="8"/>
      <c r="O382" s="194"/>
      <c r="P382" s="195"/>
    </row>
    <row r="383" spans="1:16">
      <c r="A383" s="3"/>
      <c r="B383" s="3" t="str">
        <f>TEXT(Tabela22345[[#This Row],[DATA]],"mmmm")</f>
        <v>janeiro</v>
      </c>
      <c r="C383" s="2"/>
      <c r="D383" s="2"/>
      <c r="E383" s="2"/>
      <c r="F383" s="2"/>
      <c r="G383" s="173"/>
      <c r="H383" s="174"/>
      <c r="I383" s="173" t="e">
        <f>Tabela22[[#This Row],[PESO TOTAL]]/Tabela22[[#This Row],[QUANTIDADE]]</f>
        <v>#DIV/0!</v>
      </c>
      <c r="J383" s="2"/>
      <c r="K383" s="193"/>
      <c r="L383" s="8"/>
      <c r="M383" s="8"/>
      <c r="N383" s="8"/>
      <c r="O383" s="194"/>
      <c r="P383" s="195"/>
    </row>
    <row r="384" spans="1:16">
      <c r="A384" s="3"/>
      <c r="B384" s="3" t="str">
        <f>TEXT(Tabela22345[[#This Row],[DATA]],"mmmm")</f>
        <v>janeiro</v>
      </c>
      <c r="C384" s="2"/>
      <c r="D384" s="2"/>
      <c r="E384" s="2"/>
      <c r="F384" s="2"/>
      <c r="G384" s="173"/>
      <c r="H384" s="174"/>
      <c r="I384" s="173" t="e">
        <f>Tabela22[[#This Row],[PESO TOTAL]]/Tabela22[[#This Row],[QUANTIDADE]]</f>
        <v>#DIV/0!</v>
      </c>
      <c r="J384" s="2"/>
      <c r="K384" s="193"/>
      <c r="L384" s="8"/>
      <c r="M384" s="8"/>
      <c r="N384" s="8"/>
      <c r="O384" s="194"/>
      <c r="P384" s="195"/>
    </row>
    <row r="385" spans="1:16">
      <c r="A385" s="3"/>
      <c r="B385" s="3" t="str">
        <f>TEXT(Tabela22345[[#This Row],[DATA]],"mmmm")</f>
        <v>janeiro</v>
      </c>
      <c r="C385" s="2"/>
      <c r="D385" s="2"/>
      <c r="E385" s="2"/>
      <c r="F385" s="2"/>
      <c r="G385" s="173"/>
      <c r="H385" s="174"/>
      <c r="I385" s="173" t="e">
        <f>Tabela22[[#This Row],[PESO TOTAL]]/Tabela22[[#This Row],[QUANTIDADE]]</f>
        <v>#DIV/0!</v>
      </c>
      <c r="J385" s="2"/>
      <c r="K385" s="193"/>
      <c r="L385" s="8"/>
      <c r="M385" s="8"/>
      <c r="N385" s="8"/>
      <c r="O385" s="194"/>
      <c r="P385" s="195"/>
    </row>
    <row r="386" spans="1:16">
      <c r="A386" s="3"/>
      <c r="B386" s="3" t="str">
        <f>TEXT(Tabela22345[[#This Row],[DATA]],"mmmm")</f>
        <v>janeiro</v>
      </c>
      <c r="C386" s="2"/>
      <c r="D386" s="2"/>
      <c r="E386" s="2"/>
      <c r="F386" s="2"/>
      <c r="G386" s="173"/>
      <c r="H386" s="174"/>
      <c r="I386" s="173" t="e">
        <f>Tabela22[[#This Row],[PESO TOTAL]]/Tabela22[[#This Row],[QUANTIDADE]]</f>
        <v>#DIV/0!</v>
      </c>
      <c r="J386" s="2"/>
      <c r="K386" s="193"/>
      <c r="L386" s="8"/>
      <c r="M386" s="8"/>
      <c r="N386" s="8"/>
      <c r="O386" s="194"/>
      <c r="P386" s="195"/>
    </row>
    <row r="387" spans="1:16">
      <c r="A387" s="3"/>
      <c r="B387" s="3" t="str">
        <f>TEXT(Tabela22345[[#This Row],[DATA]],"mmmm")</f>
        <v>janeiro</v>
      </c>
      <c r="C387" s="2"/>
      <c r="D387" s="2"/>
      <c r="E387" s="2"/>
      <c r="F387" s="2"/>
      <c r="G387" s="173"/>
      <c r="H387" s="174"/>
      <c r="I387" s="173" t="e">
        <f>Tabela22[[#This Row],[PESO TOTAL]]/Tabela22[[#This Row],[QUANTIDADE]]</f>
        <v>#DIV/0!</v>
      </c>
      <c r="J387" s="2"/>
      <c r="K387" s="193"/>
      <c r="L387" s="8"/>
      <c r="M387" s="8"/>
      <c r="N387" s="8"/>
      <c r="O387" s="194"/>
      <c r="P387" s="195"/>
    </row>
    <row r="388" spans="1:16">
      <c r="A388" s="3"/>
      <c r="B388" s="3" t="str">
        <f>TEXT(Tabela22345[[#This Row],[DATA]],"mmmm")</f>
        <v>janeiro</v>
      </c>
      <c r="C388" s="2"/>
      <c r="D388" s="2"/>
      <c r="E388" s="2"/>
      <c r="F388" s="2"/>
      <c r="G388" s="173"/>
      <c r="H388" s="174"/>
      <c r="I388" s="173" t="e">
        <f>Tabela22[[#This Row],[PESO TOTAL]]/Tabela22[[#This Row],[QUANTIDADE]]</f>
        <v>#DIV/0!</v>
      </c>
      <c r="J388" s="2"/>
      <c r="K388" s="193"/>
      <c r="L388" s="8"/>
      <c r="M388" s="8"/>
      <c r="N388" s="8"/>
      <c r="O388" s="194"/>
      <c r="P388" s="195"/>
    </row>
    <row r="389" spans="1:16">
      <c r="A389" s="3"/>
      <c r="B389" s="3" t="str">
        <f>TEXT(Tabela22345[[#This Row],[DATA]],"mmmm")</f>
        <v>janeiro</v>
      </c>
      <c r="C389" s="2"/>
      <c r="D389" s="2"/>
      <c r="E389" s="2"/>
      <c r="F389" s="2"/>
      <c r="G389" s="173"/>
      <c r="H389" s="174"/>
      <c r="I389" s="173" t="e">
        <f>Tabela22[[#This Row],[PESO TOTAL]]/Tabela22[[#This Row],[QUANTIDADE]]</f>
        <v>#DIV/0!</v>
      </c>
      <c r="J389" s="2"/>
      <c r="K389" s="193"/>
      <c r="L389" s="8"/>
      <c r="M389" s="8"/>
      <c r="N389" s="8"/>
      <c r="O389" s="194"/>
      <c r="P389" s="195"/>
    </row>
    <row r="390" spans="1:16">
      <c r="A390" s="3"/>
      <c r="B390" s="3" t="str">
        <f>TEXT(Tabela22345[[#This Row],[DATA]],"mmmm")</f>
        <v>janeiro</v>
      </c>
      <c r="C390" s="2"/>
      <c r="D390" s="2"/>
      <c r="E390" s="2"/>
      <c r="F390" s="2"/>
      <c r="G390" s="173"/>
      <c r="H390" s="174"/>
      <c r="I390" s="173" t="e">
        <f>Tabela22[[#This Row],[PESO TOTAL]]/Tabela22[[#This Row],[QUANTIDADE]]</f>
        <v>#DIV/0!</v>
      </c>
      <c r="J390" s="2"/>
      <c r="K390" s="193"/>
      <c r="L390" s="8"/>
      <c r="M390" s="8"/>
      <c r="N390" s="8"/>
      <c r="O390" s="194"/>
      <c r="P390" s="195"/>
    </row>
    <row r="391" spans="1:16">
      <c r="A391" s="3"/>
      <c r="B391" s="3" t="str">
        <f>TEXT(Tabela22345[[#This Row],[DATA]],"mmmm")</f>
        <v>janeiro</v>
      </c>
      <c r="C391" s="2"/>
      <c r="D391" s="2"/>
      <c r="E391" s="2"/>
      <c r="F391" s="2"/>
      <c r="G391" s="173"/>
      <c r="H391" s="174"/>
      <c r="I391" s="173" t="e">
        <f>Tabela22[[#This Row],[PESO TOTAL]]/Tabela22[[#This Row],[QUANTIDADE]]</f>
        <v>#DIV/0!</v>
      </c>
      <c r="J391" s="2"/>
      <c r="K391" s="193"/>
      <c r="L391" s="8"/>
      <c r="M391" s="8"/>
      <c r="N391" s="8"/>
      <c r="O391" s="194"/>
      <c r="P391" s="195"/>
    </row>
    <row r="392" spans="1:16">
      <c r="A392" s="3"/>
      <c r="B392" s="3" t="str">
        <f>TEXT(Tabela22345[[#This Row],[DATA]],"mmmm")</f>
        <v>janeiro</v>
      </c>
      <c r="C392" s="2"/>
      <c r="D392" s="2"/>
      <c r="E392" s="2"/>
      <c r="F392" s="2"/>
      <c r="G392" s="173"/>
      <c r="H392" s="174"/>
      <c r="I392" s="173" t="e">
        <f>Tabela22[[#This Row],[PESO TOTAL]]/Tabela22[[#This Row],[QUANTIDADE]]</f>
        <v>#DIV/0!</v>
      </c>
      <c r="J392" s="2"/>
      <c r="K392" s="193"/>
      <c r="L392" s="8"/>
      <c r="M392" s="8"/>
      <c r="N392" s="8"/>
      <c r="O392" s="194"/>
      <c r="P392" s="195"/>
    </row>
    <row r="393" spans="1:16">
      <c r="A393" s="3"/>
      <c r="B393" s="3" t="str">
        <f>TEXT(Tabela22345[[#This Row],[DATA]],"mmmm")</f>
        <v>janeiro</v>
      </c>
      <c r="C393" s="2"/>
      <c r="D393" s="2"/>
      <c r="E393" s="2"/>
      <c r="F393" s="2"/>
      <c r="G393" s="173"/>
      <c r="H393" s="174"/>
      <c r="I393" s="173" t="e">
        <f>Tabela22[[#This Row],[PESO TOTAL]]/Tabela22[[#This Row],[QUANTIDADE]]</f>
        <v>#DIV/0!</v>
      </c>
      <c r="J393" s="2"/>
      <c r="K393" s="193"/>
      <c r="L393" s="8"/>
      <c r="M393" s="8"/>
      <c r="N393" s="8"/>
      <c r="O393" s="194"/>
      <c r="P393" s="195"/>
    </row>
    <row r="394" spans="1:16">
      <c r="A394" s="3"/>
      <c r="B394" s="3" t="str">
        <f>TEXT(Tabela22345[[#This Row],[DATA]],"mmmm")</f>
        <v>janeiro</v>
      </c>
      <c r="C394" s="2"/>
      <c r="D394" s="2"/>
      <c r="E394" s="2"/>
      <c r="F394" s="2"/>
      <c r="G394" s="173"/>
      <c r="H394" s="174"/>
      <c r="I394" s="173" t="e">
        <f>Tabela22[[#This Row],[PESO TOTAL]]/Tabela22[[#This Row],[QUANTIDADE]]</f>
        <v>#DIV/0!</v>
      </c>
      <c r="J394" s="2"/>
      <c r="K394" s="193"/>
      <c r="L394" s="8"/>
      <c r="M394" s="8"/>
      <c r="N394" s="8"/>
      <c r="O394" s="194"/>
      <c r="P394" s="195"/>
    </row>
    <row r="395" spans="1:16">
      <c r="A395" s="3"/>
      <c r="B395" s="3" t="str">
        <f>TEXT(Tabela22345[[#This Row],[DATA]],"mmmm")</f>
        <v>janeiro</v>
      </c>
      <c r="C395" s="2"/>
      <c r="D395" s="2"/>
      <c r="E395" s="2"/>
      <c r="F395" s="2"/>
      <c r="G395" s="173"/>
      <c r="H395" s="174"/>
      <c r="I395" s="173" t="e">
        <f>Tabela22[[#This Row],[PESO TOTAL]]/Tabela22[[#This Row],[QUANTIDADE]]</f>
        <v>#DIV/0!</v>
      </c>
      <c r="J395" s="2"/>
      <c r="K395" s="193"/>
      <c r="L395" s="8"/>
      <c r="M395" s="8"/>
      <c r="N395" s="8"/>
      <c r="O395" s="194"/>
      <c r="P395" s="195"/>
    </row>
    <row r="396" spans="1:16">
      <c r="A396" s="3"/>
      <c r="B396" s="3" t="str">
        <f>TEXT(Tabela22345[[#This Row],[DATA]],"mmmm")</f>
        <v>janeiro</v>
      </c>
      <c r="C396" s="2"/>
      <c r="D396" s="2"/>
      <c r="E396" s="2"/>
      <c r="F396" s="2"/>
      <c r="G396" s="173"/>
      <c r="H396" s="174"/>
      <c r="I396" s="173" t="e">
        <f>Tabela22[[#This Row],[PESO TOTAL]]/Tabela22[[#This Row],[QUANTIDADE]]</f>
        <v>#DIV/0!</v>
      </c>
      <c r="J396" s="2"/>
      <c r="K396" s="193"/>
      <c r="L396" s="8"/>
      <c r="M396" s="8"/>
      <c r="N396" s="8"/>
      <c r="O396" s="194"/>
      <c r="P396" s="195"/>
    </row>
    <row r="397" spans="1:16">
      <c r="A397" s="3"/>
      <c r="B397" s="3" t="str">
        <f>TEXT(Tabela22345[[#This Row],[DATA]],"mmmm")</f>
        <v>janeiro</v>
      </c>
      <c r="C397" s="2"/>
      <c r="D397" s="2"/>
      <c r="E397" s="2"/>
      <c r="F397" s="2"/>
      <c r="G397" s="173"/>
      <c r="H397" s="174"/>
      <c r="I397" s="173" t="e">
        <f>Tabela22[[#This Row],[PESO TOTAL]]/Tabela22[[#This Row],[QUANTIDADE]]</f>
        <v>#DIV/0!</v>
      </c>
      <c r="J397" s="2"/>
      <c r="K397" s="193"/>
      <c r="L397" s="8"/>
      <c r="M397" s="8"/>
      <c r="N397" s="8"/>
      <c r="O397" s="194"/>
      <c r="P397" s="195"/>
    </row>
    <row r="398" spans="1:16">
      <c r="A398" s="3"/>
      <c r="B398" s="3" t="str">
        <f>TEXT(Tabela22345[[#This Row],[DATA]],"mmmm")</f>
        <v>janeiro</v>
      </c>
      <c r="C398" s="2"/>
      <c r="D398" s="2"/>
      <c r="E398" s="2"/>
      <c r="F398" s="2"/>
      <c r="G398" s="173"/>
      <c r="H398" s="174"/>
      <c r="I398" s="173" t="e">
        <f>Tabela22[[#This Row],[PESO TOTAL]]/Tabela22[[#This Row],[QUANTIDADE]]</f>
        <v>#DIV/0!</v>
      </c>
      <c r="J398" s="2"/>
      <c r="K398" s="193"/>
      <c r="L398" s="8"/>
      <c r="M398" s="8"/>
      <c r="N398" s="8"/>
      <c r="O398" s="194"/>
      <c r="P398" s="195"/>
    </row>
    <row r="399" spans="1:16">
      <c r="A399" s="3"/>
      <c r="B399" s="3" t="str">
        <f>TEXT(Tabela22345[[#This Row],[DATA]],"mmmm")</f>
        <v>janeiro</v>
      </c>
      <c r="C399" s="2"/>
      <c r="D399" s="2"/>
      <c r="E399" s="2"/>
      <c r="F399" s="2"/>
      <c r="G399" s="173"/>
      <c r="H399" s="174"/>
      <c r="I399" s="173" t="e">
        <f>Tabela22[[#This Row],[PESO TOTAL]]/Tabela22[[#This Row],[QUANTIDADE]]</f>
        <v>#DIV/0!</v>
      </c>
      <c r="J399" s="2"/>
      <c r="K399" s="193"/>
      <c r="L399" s="8"/>
      <c r="M399" s="8"/>
      <c r="N399" s="8"/>
      <c r="O399" s="194"/>
      <c r="P399" s="195"/>
    </row>
    <row r="400" spans="1:16">
      <c r="A400" s="3"/>
      <c r="B400" s="3" t="str">
        <f>TEXT(Tabela22345[[#This Row],[DATA]],"mmmm")</f>
        <v>janeiro</v>
      </c>
      <c r="C400" s="2"/>
      <c r="D400" s="2"/>
      <c r="E400" s="2"/>
      <c r="F400" s="2"/>
      <c r="G400" s="173"/>
      <c r="H400" s="174"/>
      <c r="I400" s="173" t="e">
        <f>Tabela22[[#This Row],[PESO TOTAL]]/Tabela22[[#This Row],[QUANTIDADE]]</f>
        <v>#DIV/0!</v>
      </c>
      <c r="J400" s="2"/>
      <c r="K400" s="193"/>
      <c r="L400" s="8"/>
      <c r="M400" s="8"/>
      <c r="N400" s="8"/>
      <c r="O400" s="194"/>
      <c r="P400" s="195"/>
    </row>
    <row r="401" spans="1:16">
      <c r="A401" s="3"/>
      <c r="B401" s="3" t="str">
        <f>TEXT(Tabela22345[[#This Row],[DATA]],"mmmm")</f>
        <v>janeiro</v>
      </c>
      <c r="C401" s="2"/>
      <c r="D401" s="2"/>
      <c r="E401" s="2"/>
      <c r="F401" s="2"/>
      <c r="G401" s="173"/>
      <c r="H401" s="174"/>
      <c r="I401" s="173" t="e">
        <f>Tabela22[[#This Row],[PESO TOTAL]]/Tabela22[[#This Row],[QUANTIDADE]]</f>
        <v>#DIV/0!</v>
      </c>
      <c r="J401" s="2"/>
      <c r="K401" s="193"/>
      <c r="L401" s="8"/>
      <c r="M401" s="8"/>
      <c r="N401" s="8"/>
      <c r="O401" s="194"/>
      <c r="P401" s="195"/>
    </row>
    <row r="402" spans="1:16">
      <c r="A402" s="3"/>
      <c r="B402" s="3" t="str">
        <f>TEXT(Tabela22345[[#This Row],[DATA]],"mmmm")</f>
        <v>janeiro</v>
      </c>
      <c r="C402" s="2"/>
      <c r="D402" s="2"/>
      <c r="E402" s="2"/>
      <c r="F402" s="2"/>
      <c r="G402" s="173"/>
      <c r="H402" s="174"/>
      <c r="I402" s="173" t="e">
        <f>Tabela22[[#This Row],[PESO TOTAL]]/Tabela22[[#This Row],[QUANTIDADE]]</f>
        <v>#DIV/0!</v>
      </c>
      <c r="J402" s="2"/>
      <c r="K402" s="193"/>
      <c r="L402" s="8"/>
      <c r="M402" s="8"/>
      <c r="N402" s="8"/>
      <c r="O402" s="194"/>
      <c r="P402" s="195"/>
    </row>
    <row r="403" spans="1:16">
      <c r="A403" s="3"/>
      <c r="B403" s="3" t="str">
        <f>TEXT(Tabela22345[[#This Row],[DATA]],"mmmm")</f>
        <v>janeiro</v>
      </c>
      <c r="C403" s="2"/>
      <c r="D403" s="2"/>
      <c r="E403" s="2"/>
      <c r="F403" s="2"/>
      <c r="G403" s="173"/>
      <c r="H403" s="174"/>
      <c r="I403" s="173" t="e">
        <f>Tabela22[[#This Row],[PESO TOTAL]]/Tabela22[[#This Row],[QUANTIDADE]]</f>
        <v>#DIV/0!</v>
      </c>
      <c r="J403" s="2"/>
      <c r="K403" s="193"/>
      <c r="L403" s="8"/>
      <c r="M403" s="8"/>
      <c r="N403" s="8"/>
      <c r="O403" s="194"/>
      <c r="P403" s="195"/>
    </row>
    <row r="404" spans="1:16">
      <c r="A404" s="3"/>
      <c r="B404" s="3" t="str">
        <f>TEXT(Tabela22345[[#This Row],[DATA]],"mmmm")</f>
        <v>janeiro</v>
      </c>
      <c r="C404" s="2"/>
      <c r="D404" s="2"/>
      <c r="E404" s="2"/>
      <c r="F404" s="2"/>
      <c r="G404" s="173"/>
      <c r="H404" s="174"/>
      <c r="I404" s="173" t="e">
        <f>Tabela22[[#This Row],[PESO TOTAL]]/Tabela22[[#This Row],[QUANTIDADE]]</f>
        <v>#DIV/0!</v>
      </c>
      <c r="J404" s="2"/>
      <c r="K404" s="193"/>
      <c r="L404" s="8"/>
      <c r="M404" s="8"/>
      <c r="N404" s="8"/>
      <c r="O404" s="194"/>
      <c r="P404" s="195"/>
    </row>
    <row r="405" spans="1:16">
      <c r="A405" s="3"/>
      <c r="B405" s="3" t="str">
        <f>TEXT(Tabela22345[[#This Row],[DATA]],"mmmm")</f>
        <v>janeiro</v>
      </c>
      <c r="C405" s="2"/>
      <c r="D405" s="2"/>
      <c r="E405" s="2"/>
      <c r="F405" s="2"/>
      <c r="G405" s="173"/>
      <c r="H405" s="174"/>
      <c r="I405" s="173" t="e">
        <f>Tabela22[[#This Row],[PESO TOTAL]]/Tabela22[[#This Row],[QUANTIDADE]]</f>
        <v>#DIV/0!</v>
      </c>
      <c r="J405" s="2"/>
      <c r="K405" s="193"/>
      <c r="L405" s="8"/>
      <c r="M405" s="8"/>
      <c r="N405" s="8"/>
      <c r="O405" s="194"/>
      <c r="P405" s="195"/>
    </row>
    <row r="406" spans="1:16">
      <c r="A406" s="3"/>
      <c r="B406" s="3" t="str">
        <f>TEXT(Tabela22345[[#This Row],[DATA]],"mmmm")</f>
        <v>janeiro</v>
      </c>
      <c r="C406" s="2"/>
      <c r="D406" s="2"/>
      <c r="E406" s="2"/>
      <c r="F406" s="2"/>
      <c r="G406" s="173"/>
      <c r="H406" s="174"/>
      <c r="I406" s="173" t="e">
        <f>Tabela22[[#This Row],[PESO TOTAL]]/Tabela22[[#This Row],[QUANTIDADE]]</f>
        <v>#DIV/0!</v>
      </c>
      <c r="J406" s="2"/>
      <c r="K406" s="193"/>
      <c r="L406" s="8"/>
      <c r="M406" s="8"/>
      <c r="N406" s="8"/>
      <c r="O406" s="194"/>
      <c r="P406" s="195"/>
    </row>
    <row r="407" spans="1:16">
      <c r="A407" s="3"/>
      <c r="B407" s="3" t="str">
        <f>TEXT(Tabela22345[[#This Row],[DATA]],"mmmm")</f>
        <v>janeiro</v>
      </c>
      <c r="C407" s="2"/>
      <c r="D407" s="2"/>
      <c r="E407" s="2"/>
      <c r="F407" s="2"/>
      <c r="G407" s="173"/>
      <c r="H407" s="174"/>
      <c r="I407" s="173" t="e">
        <f>Tabela22[[#This Row],[PESO TOTAL]]/Tabela22[[#This Row],[QUANTIDADE]]</f>
        <v>#DIV/0!</v>
      </c>
      <c r="J407" s="2"/>
      <c r="K407" s="193"/>
      <c r="L407" s="8"/>
      <c r="M407" s="8"/>
      <c r="N407" s="8"/>
      <c r="O407" s="194"/>
      <c r="P407" s="195"/>
    </row>
    <row r="408" spans="1:16">
      <c r="A408" s="3"/>
      <c r="B408" s="3" t="str">
        <f>TEXT(Tabela22345[[#This Row],[DATA]],"mmmm")</f>
        <v>janeiro</v>
      </c>
      <c r="C408" s="2"/>
      <c r="D408" s="2"/>
      <c r="E408" s="2"/>
      <c r="F408" s="2"/>
      <c r="G408" s="173"/>
      <c r="H408" s="174"/>
      <c r="I408" s="173" t="e">
        <f>Tabela22[[#This Row],[PESO TOTAL]]/Tabela22[[#This Row],[QUANTIDADE]]</f>
        <v>#DIV/0!</v>
      </c>
      <c r="J408" s="2"/>
      <c r="K408" s="193"/>
      <c r="L408" s="8"/>
      <c r="M408" s="8"/>
      <c r="N408" s="8"/>
      <c r="O408" s="194"/>
      <c r="P408" s="195"/>
    </row>
    <row r="409" spans="1:16">
      <c r="A409" s="3"/>
      <c r="B409" s="3" t="str">
        <f>TEXT(Tabela22345[[#This Row],[DATA]],"mmmm")</f>
        <v>janeiro</v>
      </c>
      <c r="C409" s="2"/>
      <c r="D409" s="2"/>
      <c r="E409" s="2"/>
      <c r="F409" s="2"/>
      <c r="G409" s="173"/>
      <c r="H409" s="174"/>
      <c r="I409" s="173" t="e">
        <f>Tabela22[[#This Row],[PESO TOTAL]]/Tabela22[[#This Row],[QUANTIDADE]]</f>
        <v>#DIV/0!</v>
      </c>
      <c r="J409" s="2"/>
      <c r="K409" s="193"/>
      <c r="L409" s="8"/>
      <c r="M409" s="8"/>
      <c r="N409" s="8"/>
      <c r="O409" s="194"/>
      <c r="P409" s="195"/>
    </row>
    <row r="410" spans="1:16">
      <c r="A410" s="3"/>
      <c r="B410" s="3" t="str">
        <f>TEXT(Tabela22345[[#This Row],[DATA]],"mmmm")</f>
        <v>janeiro</v>
      </c>
      <c r="C410" s="2"/>
      <c r="D410" s="2"/>
      <c r="E410" s="2"/>
      <c r="F410" s="2"/>
      <c r="G410" s="173"/>
      <c r="H410" s="174"/>
      <c r="I410" s="173" t="e">
        <f>Tabela22[[#This Row],[PESO TOTAL]]/Tabela22[[#This Row],[QUANTIDADE]]</f>
        <v>#DIV/0!</v>
      </c>
      <c r="J410" s="2"/>
      <c r="K410" s="193"/>
      <c r="L410" s="8"/>
      <c r="M410" s="8"/>
      <c r="N410" s="8"/>
      <c r="O410" s="194"/>
      <c r="P410" s="195"/>
    </row>
    <row r="411" spans="1:16">
      <c r="A411" s="3"/>
      <c r="B411" s="3" t="str">
        <f>TEXT(Tabela22345[[#This Row],[DATA]],"mmmm")</f>
        <v>janeiro</v>
      </c>
      <c r="C411" s="2"/>
      <c r="D411" s="2"/>
      <c r="E411" s="2"/>
      <c r="F411" s="2"/>
      <c r="G411" s="173"/>
      <c r="H411" s="174"/>
      <c r="I411" s="173" t="e">
        <f>Tabela22[[#This Row],[PESO TOTAL]]/Tabela22[[#This Row],[QUANTIDADE]]</f>
        <v>#DIV/0!</v>
      </c>
      <c r="J411" s="2"/>
      <c r="K411" s="193"/>
      <c r="L411" s="8"/>
      <c r="M411" s="8"/>
      <c r="N411" s="8"/>
      <c r="O411" s="194"/>
      <c r="P411" s="195"/>
    </row>
    <row r="412" spans="1:16">
      <c r="A412" s="3"/>
      <c r="B412" s="3" t="str">
        <f>TEXT(Tabela22345[[#This Row],[DATA]],"mmmm")</f>
        <v>janeiro</v>
      </c>
      <c r="C412" s="2"/>
      <c r="D412" s="2"/>
      <c r="E412" s="2"/>
      <c r="F412" s="2"/>
      <c r="G412" s="173"/>
      <c r="H412" s="174"/>
      <c r="I412" s="173" t="e">
        <f>Tabela22[[#This Row],[PESO TOTAL]]/Tabela22[[#This Row],[QUANTIDADE]]</f>
        <v>#DIV/0!</v>
      </c>
      <c r="J412" s="2"/>
      <c r="K412" s="193"/>
      <c r="L412" s="8"/>
      <c r="M412" s="8"/>
      <c r="N412" s="8"/>
      <c r="O412" s="194"/>
      <c r="P412" s="195"/>
    </row>
    <row r="413" spans="1:16">
      <c r="A413" s="3"/>
      <c r="B413" s="3" t="str">
        <f>TEXT(Tabela22345[[#This Row],[DATA]],"mmmm")</f>
        <v>janeiro</v>
      </c>
      <c r="C413" s="2"/>
      <c r="D413" s="2"/>
      <c r="E413" s="2"/>
      <c r="F413" s="2"/>
      <c r="G413" s="173"/>
      <c r="H413" s="174"/>
      <c r="I413" s="173" t="e">
        <f>Tabela22[[#This Row],[PESO TOTAL]]/Tabela22[[#This Row],[QUANTIDADE]]</f>
        <v>#DIV/0!</v>
      </c>
      <c r="J413" s="2"/>
      <c r="K413" s="193"/>
      <c r="L413" s="8"/>
      <c r="M413" s="8"/>
      <c r="N413" s="8"/>
      <c r="O413" s="194"/>
      <c r="P413" s="195"/>
    </row>
    <row r="414" spans="1:16">
      <c r="A414" s="3"/>
      <c r="B414" s="3" t="str">
        <f>TEXT(Tabela22345[[#This Row],[DATA]],"mmmm")</f>
        <v>janeiro</v>
      </c>
      <c r="C414" s="2"/>
      <c r="D414" s="2"/>
      <c r="E414" s="2"/>
      <c r="F414" s="2"/>
      <c r="G414" s="173"/>
      <c r="H414" s="174"/>
      <c r="I414" s="173" t="e">
        <f>Tabela22[[#This Row],[PESO TOTAL]]/Tabela22[[#This Row],[QUANTIDADE]]</f>
        <v>#DIV/0!</v>
      </c>
      <c r="J414" s="2"/>
      <c r="K414" s="193"/>
      <c r="L414" s="8"/>
      <c r="M414" s="8"/>
      <c r="N414" s="8"/>
      <c r="O414" s="194"/>
      <c r="P414" s="195"/>
    </row>
    <row r="415" spans="1:16">
      <c r="A415" s="3"/>
      <c r="B415" s="3" t="str">
        <f>TEXT(Tabela22345[[#This Row],[DATA]],"mmmm")</f>
        <v>janeiro</v>
      </c>
      <c r="C415" s="2"/>
      <c r="D415" s="2"/>
      <c r="E415" s="2"/>
      <c r="F415" s="2"/>
      <c r="G415" s="173"/>
      <c r="H415" s="174"/>
      <c r="I415" s="173" t="e">
        <f>Tabela22[[#This Row],[PESO TOTAL]]/Tabela22[[#This Row],[QUANTIDADE]]</f>
        <v>#DIV/0!</v>
      </c>
      <c r="J415" s="2"/>
      <c r="K415" s="193"/>
      <c r="L415" s="8"/>
      <c r="M415" s="8"/>
      <c r="N415" s="8"/>
      <c r="O415" s="194"/>
      <c r="P415" s="195"/>
    </row>
    <row r="416" spans="1:16">
      <c r="A416" s="3"/>
      <c r="B416" s="3" t="str">
        <f>TEXT(Tabela22345[[#This Row],[DATA]],"mmmm")</f>
        <v>janeiro</v>
      </c>
      <c r="C416" s="2"/>
      <c r="D416" s="2"/>
      <c r="E416" s="2"/>
      <c r="F416" s="2"/>
      <c r="G416" s="173"/>
      <c r="H416" s="174"/>
      <c r="I416" s="173" t="e">
        <f>Tabela22[[#This Row],[PESO TOTAL]]/Tabela22[[#This Row],[QUANTIDADE]]</f>
        <v>#DIV/0!</v>
      </c>
      <c r="J416" s="2"/>
      <c r="K416" s="193"/>
      <c r="L416" s="8"/>
      <c r="M416" s="8"/>
      <c r="N416" s="8"/>
      <c r="O416" s="194"/>
      <c r="P416" s="195"/>
    </row>
    <row r="417" spans="1:16">
      <c r="A417" s="3"/>
      <c r="B417" s="3" t="str">
        <f>TEXT(Tabela22345[[#This Row],[DATA]],"mmmm")</f>
        <v>janeiro</v>
      </c>
      <c r="C417" s="2"/>
      <c r="D417" s="2"/>
      <c r="E417" s="2"/>
      <c r="F417" s="2"/>
      <c r="G417" s="173"/>
      <c r="H417" s="174"/>
      <c r="I417" s="173" t="e">
        <f>Tabela22[[#This Row],[PESO TOTAL]]/Tabela22[[#This Row],[QUANTIDADE]]</f>
        <v>#DIV/0!</v>
      </c>
      <c r="J417" s="2"/>
      <c r="K417" s="193"/>
      <c r="L417" s="8"/>
      <c r="M417" s="8"/>
      <c r="N417" s="8"/>
      <c r="O417" s="194"/>
      <c r="P417" s="195"/>
    </row>
    <row r="418" spans="1:16">
      <c r="A418" s="3"/>
      <c r="B418" s="3" t="str">
        <f>TEXT(Tabela22345[[#This Row],[DATA]],"mmmm")</f>
        <v>janeiro</v>
      </c>
      <c r="C418" s="2"/>
      <c r="D418" s="2"/>
      <c r="E418" s="2"/>
      <c r="F418" s="2"/>
      <c r="G418" s="173"/>
      <c r="H418" s="174"/>
      <c r="I418" s="173" t="e">
        <f>Tabela22[[#This Row],[PESO TOTAL]]/Tabela22[[#This Row],[QUANTIDADE]]</f>
        <v>#DIV/0!</v>
      </c>
      <c r="J418" s="2"/>
      <c r="K418" s="193"/>
      <c r="L418" s="8"/>
      <c r="M418" s="8"/>
      <c r="N418" s="8"/>
      <c r="O418" s="194"/>
      <c r="P418" s="195"/>
    </row>
    <row r="419" spans="1:16">
      <c r="A419" s="3"/>
      <c r="B419" s="3" t="str">
        <f>TEXT(Tabela22345[[#This Row],[DATA]],"mmmm")</f>
        <v>janeiro</v>
      </c>
      <c r="C419" s="2"/>
      <c r="D419" s="2"/>
      <c r="E419" s="2"/>
      <c r="F419" s="2"/>
      <c r="G419" s="173"/>
      <c r="H419" s="174"/>
      <c r="I419" s="173" t="e">
        <f>Tabela22[[#This Row],[PESO TOTAL]]/Tabela22[[#This Row],[QUANTIDADE]]</f>
        <v>#DIV/0!</v>
      </c>
      <c r="J419" s="2"/>
      <c r="K419" s="193"/>
      <c r="L419" s="8"/>
      <c r="M419" s="8"/>
      <c r="N419" s="8"/>
      <c r="O419" s="194"/>
      <c r="P419" s="195"/>
    </row>
    <row r="420" spans="1:16">
      <c r="A420" s="3"/>
      <c r="B420" s="3" t="str">
        <f>TEXT(Tabela22345[[#This Row],[DATA]],"mmmm")</f>
        <v>janeiro</v>
      </c>
      <c r="C420" s="2"/>
      <c r="D420" s="2"/>
      <c r="E420" s="2"/>
      <c r="F420" s="2"/>
      <c r="G420" s="173"/>
      <c r="H420" s="174"/>
      <c r="I420" s="173" t="e">
        <f>Tabela22[[#This Row],[PESO TOTAL]]/Tabela22[[#This Row],[QUANTIDADE]]</f>
        <v>#DIV/0!</v>
      </c>
      <c r="J420" s="2"/>
      <c r="K420" s="193"/>
      <c r="L420" s="8"/>
      <c r="M420" s="8"/>
      <c r="N420" s="8"/>
      <c r="O420" s="194"/>
      <c r="P420" s="195"/>
    </row>
    <row r="421" spans="1:16">
      <c r="A421" s="3"/>
      <c r="B421" s="3" t="str">
        <f>TEXT(Tabela22345[[#This Row],[DATA]],"mmmm")</f>
        <v>janeiro</v>
      </c>
      <c r="C421" s="2"/>
      <c r="D421" s="2"/>
      <c r="E421" s="2"/>
      <c r="F421" s="2"/>
      <c r="G421" s="173"/>
      <c r="H421" s="174"/>
      <c r="I421" s="173" t="e">
        <f>Tabela22[[#This Row],[PESO TOTAL]]/Tabela22[[#This Row],[QUANTIDADE]]</f>
        <v>#DIV/0!</v>
      </c>
      <c r="J421" s="2"/>
      <c r="K421" s="193"/>
      <c r="L421" s="8"/>
      <c r="M421" s="8"/>
      <c r="N421" s="8"/>
      <c r="O421" s="194"/>
      <c r="P421" s="195"/>
    </row>
    <row r="422" spans="1:16">
      <c r="A422" s="3"/>
      <c r="B422" s="3" t="str">
        <f>TEXT(Tabela22345[[#This Row],[DATA]],"mmmm")</f>
        <v>janeiro</v>
      </c>
      <c r="C422" s="2"/>
      <c r="D422" s="2"/>
      <c r="E422" s="2"/>
      <c r="F422" s="2"/>
      <c r="G422" s="173"/>
      <c r="H422" s="174"/>
      <c r="I422" s="173" t="e">
        <f>Tabela22[[#This Row],[PESO TOTAL]]/Tabela22[[#This Row],[QUANTIDADE]]</f>
        <v>#DIV/0!</v>
      </c>
      <c r="J422" s="2"/>
      <c r="K422" s="193"/>
      <c r="L422" s="8"/>
      <c r="M422" s="8"/>
      <c r="N422" s="8"/>
      <c r="O422" s="194"/>
      <c r="P422" s="195"/>
    </row>
    <row r="423" spans="1:16">
      <c r="A423" s="3"/>
      <c r="B423" s="3" t="str">
        <f>TEXT(Tabela22345[[#This Row],[DATA]],"mmmm")</f>
        <v>janeiro</v>
      </c>
      <c r="C423" s="2"/>
      <c r="D423" s="2"/>
      <c r="E423" s="2"/>
      <c r="F423" s="2"/>
      <c r="G423" s="173"/>
      <c r="H423" s="174"/>
      <c r="I423" s="173" t="e">
        <f>Tabela22[[#This Row],[PESO TOTAL]]/Tabela22[[#This Row],[QUANTIDADE]]</f>
        <v>#DIV/0!</v>
      </c>
      <c r="J423" s="2"/>
      <c r="K423" s="193"/>
      <c r="L423" s="8"/>
      <c r="M423" s="8"/>
      <c r="N423" s="8"/>
      <c r="O423" s="194"/>
      <c r="P423" s="195"/>
    </row>
    <row r="424" spans="1:16">
      <c r="A424" s="3"/>
      <c r="B424" s="3" t="str">
        <f>TEXT(Tabela22345[[#This Row],[DATA]],"mmmm")</f>
        <v>janeiro</v>
      </c>
      <c r="C424" s="2"/>
      <c r="D424" s="2"/>
      <c r="E424" s="2"/>
      <c r="F424" s="2"/>
      <c r="G424" s="173"/>
      <c r="H424" s="174"/>
      <c r="I424" s="173" t="e">
        <f>Tabela22[[#This Row],[PESO TOTAL]]/Tabela22[[#This Row],[QUANTIDADE]]</f>
        <v>#DIV/0!</v>
      </c>
      <c r="J424" s="2"/>
      <c r="K424" s="193"/>
      <c r="L424" s="8"/>
      <c r="M424" s="8"/>
      <c r="N424" s="8"/>
      <c r="O424" s="194"/>
      <c r="P424" s="195"/>
    </row>
    <row r="425" spans="1:16">
      <c r="A425" s="3"/>
      <c r="B425" s="3" t="str">
        <f>TEXT(Tabela22345[[#This Row],[DATA]],"mmmm")</f>
        <v>janeiro</v>
      </c>
      <c r="C425" s="2"/>
      <c r="D425" s="2"/>
      <c r="E425" s="2"/>
      <c r="F425" s="2"/>
      <c r="G425" s="173"/>
      <c r="H425" s="174"/>
      <c r="I425" s="173" t="e">
        <f>Tabela22[[#This Row],[PESO TOTAL]]/Tabela22[[#This Row],[QUANTIDADE]]</f>
        <v>#DIV/0!</v>
      </c>
      <c r="J425" s="2"/>
      <c r="K425" s="193"/>
      <c r="L425" s="8"/>
      <c r="M425" s="8"/>
      <c r="N425" s="8"/>
      <c r="O425" s="194"/>
      <c r="P425" s="195"/>
    </row>
    <row r="426" spans="1:16">
      <c r="A426" s="3"/>
      <c r="B426" s="3" t="str">
        <f>TEXT(Tabela22345[[#This Row],[DATA]],"mmmm")</f>
        <v>janeiro</v>
      </c>
      <c r="C426" s="2"/>
      <c r="D426" s="2"/>
      <c r="E426" s="2"/>
      <c r="F426" s="2"/>
      <c r="G426" s="173"/>
      <c r="H426" s="174"/>
      <c r="I426" s="173" t="e">
        <f>Tabela22[[#This Row],[PESO TOTAL]]/Tabela22[[#This Row],[QUANTIDADE]]</f>
        <v>#DIV/0!</v>
      </c>
      <c r="J426" s="2"/>
      <c r="K426" s="193"/>
      <c r="L426" s="8"/>
      <c r="M426" s="8"/>
      <c r="N426" s="8"/>
      <c r="O426" s="194"/>
      <c r="P426" s="195"/>
    </row>
    <row r="427" spans="1:16">
      <c r="A427" s="3"/>
      <c r="B427" s="3" t="str">
        <f>TEXT(Tabela22345[[#This Row],[DATA]],"mmmm")</f>
        <v>janeiro</v>
      </c>
      <c r="C427" s="2"/>
      <c r="D427" s="2"/>
      <c r="E427" s="2"/>
      <c r="F427" s="2"/>
      <c r="G427" s="173"/>
      <c r="H427" s="174"/>
      <c r="I427" s="173" t="e">
        <f>Tabela22[[#This Row],[PESO TOTAL]]/Tabela22[[#This Row],[QUANTIDADE]]</f>
        <v>#DIV/0!</v>
      </c>
      <c r="J427" s="2"/>
      <c r="K427" s="193"/>
      <c r="L427" s="8"/>
      <c r="M427" s="8"/>
      <c r="N427" s="8"/>
      <c r="O427" s="194"/>
      <c r="P427" s="195"/>
    </row>
    <row r="428" spans="1:16">
      <c r="A428" s="3"/>
      <c r="B428" s="3" t="str">
        <f>TEXT(Tabela22345[[#This Row],[DATA]],"mmmm")</f>
        <v>janeiro</v>
      </c>
      <c r="C428" s="2"/>
      <c r="D428" s="2"/>
      <c r="E428" s="2"/>
      <c r="F428" s="2"/>
      <c r="G428" s="173"/>
      <c r="H428" s="174"/>
      <c r="I428" s="173" t="e">
        <f>Tabela22[[#This Row],[PESO TOTAL]]/Tabela22[[#This Row],[QUANTIDADE]]</f>
        <v>#DIV/0!</v>
      </c>
      <c r="J428" s="2"/>
      <c r="K428" s="193"/>
      <c r="L428" s="8"/>
      <c r="M428" s="8"/>
      <c r="N428" s="8"/>
      <c r="O428" s="194"/>
      <c r="P428" s="195"/>
    </row>
    <row r="429" spans="1:16">
      <c r="A429" s="3"/>
      <c r="B429" s="3" t="str">
        <f>TEXT(Tabela22345[[#This Row],[DATA]],"mmmm")</f>
        <v>janeiro</v>
      </c>
      <c r="C429" s="2"/>
      <c r="D429" s="2"/>
      <c r="E429" s="2"/>
      <c r="F429" s="2"/>
      <c r="G429" s="173"/>
      <c r="H429" s="174"/>
      <c r="I429" s="173" t="e">
        <f>Tabela22[[#This Row],[PESO TOTAL]]/Tabela22[[#This Row],[QUANTIDADE]]</f>
        <v>#DIV/0!</v>
      </c>
      <c r="J429" s="2"/>
      <c r="K429" s="193"/>
      <c r="L429" s="8"/>
      <c r="M429" s="8"/>
      <c r="N429" s="8"/>
      <c r="O429" s="194"/>
      <c r="P429" s="195"/>
    </row>
    <row r="430" spans="1:16">
      <c r="A430" s="3"/>
      <c r="B430" s="3" t="str">
        <f>TEXT(Tabela22345[[#This Row],[DATA]],"mmmm")</f>
        <v>janeiro</v>
      </c>
      <c r="C430" s="2"/>
      <c r="D430" s="2"/>
      <c r="E430" s="2"/>
      <c r="F430" s="2"/>
      <c r="G430" s="173"/>
      <c r="H430" s="174"/>
      <c r="I430" s="173" t="e">
        <f>Tabela22[[#This Row],[PESO TOTAL]]/Tabela22[[#This Row],[QUANTIDADE]]</f>
        <v>#DIV/0!</v>
      </c>
      <c r="J430" s="2"/>
      <c r="K430" s="193"/>
      <c r="L430" s="8"/>
      <c r="M430" s="8"/>
      <c r="N430" s="8"/>
      <c r="O430" s="194"/>
      <c r="P430" s="195"/>
    </row>
    <row r="431" spans="1:16">
      <c r="A431" s="3"/>
      <c r="B431" s="3" t="str">
        <f>TEXT(Tabela22345[[#This Row],[DATA]],"mmmm")</f>
        <v>janeiro</v>
      </c>
      <c r="C431" s="2"/>
      <c r="D431" s="2"/>
      <c r="E431" s="2"/>
      <c r="F431" s="2"/>
      <c r="G431" s="173"/>
      <c r="H431" s="174"/>
      <c r="I431" s="173" t="e">
        <f>Tabela22[[#This Row],[PESO TOTAL]]/Tabela22[[#This Row],[QUANTIDADE]]</f>
        <v>#DIV/0!</v>
      </c>
      <c r="J431" s="2"/>
      <c r="K431" s="193"/>
      <c r="L431" s="8"/>
      <c r="M431" s="8"/>
      <c r="N431" s="8"/>
      <c r="O431" s="194"/>
      <c r="P431" s="195"/>
    </row>
    <row r="432" spans="1:16">
      <c r="A432" s="3"/>
      <c r="B432" s="3" t="str">
        <f>TEXT(Tabela22345[[#This Row],[DATA]],"mmmm")</f>
        <v>janeiro</v>
      </c>
      <c r="C432" s="2"/>
      <c r="D432" s="2"/>
      <c r="E432" s="2"/>
      <c r="F432" s="2"/>
      <c r="G432" s="173"/>
      <c r="H432" s="174"/>
      <c r="I432" s="173" t="e">
        <f>Tabela22[[#This Row],[PESO TOTAL]]/Tabela22[[#This Row],[QUANTIDADE]]</f>
        <v>#DIV/0!</v>
      </c>
      <c r="J432" s="2"/>
      <c r="K432" s="193"/>
      <c r="L432" s="8"/>
      <c r="M432" s="8"/>
      <c r="N432" s="8"/>
      <c r="O432" s="194"/>
      <c r="P432" s="195"/>
    </row>
    <row r="433" spans="1:16">
      <c r="A433" s="3"/>
      <c r="B433" s="3" t="str">
        <f>TEXT(Tabela22345[[#This Row],[DATA]],"mmmm")</f>
        <v>janeiro</v>
      </c>
      <c r="C433" s="2"/>
      <c r="D433" s="2"/>
      <c r="E433" s="2"/>
      <c r="F433" s="2"/>
      <c r="G433" s="173"/>
      <c r="H433" s="174"/>
      <c r="I433" s="173" t="e">
        <f>Tabela22[[#This Row],[PESO TOTAL]]/Tabela22[[#This Row],[QUANTIDADE]]</f>
        <v>#DIV/0!</v>
      </c>
      <c r="J433" s="2"/>
      <c r="K433" s="193"/>
      <c r="L433" s="8"/>
      <c r="M433" s="8"/>
      <c r="N433" s="8"/>
      <c r="O433" s="194"/>
      <c r="P433" s="195"/>
    </row>
    <row r="434" spans="1:16">
      <c r="A434" s="3"/>
      <c r="B434" s="3" t="str">
        <f>TEXT(Tabela22345[[#This Row],[DATA]],"mmmm")</f>
        <v>janeiro</v>
      </c>
      <c r="C434" s="2"/>
      <c r="D434" s="2"/>
      <c r="E434" s="2"/>
      <c r="F434" s="2"/>
      <c r="G434" s="173"/>
      <c r="H434" s="174"/>
      <c r="I434" s="173" t="e">
        <f>Tabela22[[#This Row],[PESO TOTAL]]/Tabela22[[#This Row],[QUANTIDADE]]</f>
        <v>#DIV/0!</v>
      </c>
      <c r="J434" s="2"/>
      <c r="K434" s="193"/>
      <c r="L434" s="8"/>
      <c r="M434" s="8"/>
      <c r="N434" s="8"/>
      <c r="O434" s="194"/>
      <c r="P434" s="195"/>
    </row>
    <row r="435" spans="1:16">
      <c r="A435" s="3"/>
      <c r="B435" s="3" t="str">
        <f>TEXT(Tabela22345[[#This Row],[DATA]],"mmmm")</f>
        <v>janeiro</v>
      </c>
      <c r="C435" s="2"/>
      <c r="D435" s="2"/>
      <c r="E435" s="2"/>
      <c r="F435" s="2"/>
      <c r="G435" s="173"/>
      <c r="H435" s="174"/>
      <c r="I435" s="173" t="e">
        <f>Tabela22[[#This Row],[PESO TOTAL]]/Tabela22[[#This Row],[QUANTIDADE]]</f>
        <v>#DIV/0!</v>
      </c>
      <c r="J435" s="2"/>
      <c r="K435" s="193"/>
      <c r="L435" s="8"/>
      <c r="M435" s="8"/>
      <c r="N435" s="8"/>
      <c r="O435" s="194"/>
      <c r="P435" s="195"/>
    </row>
    <row r="436" spans="1:16">
      <c r="A436" s="3"/>
      <c r="B436" s="3" t="str">
        <f>TEXT(Tabela22345[[#This Row],[DATA]],"mmmm")</f>
        <v>janeiro</v>
      </c>
      <c r="C436" s="2"/>
      <c r="D436" s="2"/>
      <c r="E436" s="2"/>
      <c r="F436" s="2"/>
      <c r="G436" s="173"/>
      <c r="H436" s="174"/>
      <c r="I436" s="173" t="e">
        <f>Tabela22[[#This Row],[PESO TOTAL]]/Tabela22[[#This Row],[QUANTIDADE]]</f>
        <v>#DIV/0!</v>
      </c>
      <c r="J436" s="2"/>
      <c r="K436" s="193"/>
      <c r="L436" s="8"/>
      <c r="M436" s="8"/>
      <c r="N436" s="8"/>
      <c r="O436" s="194"/>
      <c r="P436" s="195"/>
    </row>
    <row r="437" spans="1:16">
      <c r="A437" s="3"/>
      <c r="B437" s="3" t="str">
        <f>TEXT(Tabela22345[[#This Row],[DATA]],"mmmm")</f>
        <v>janeiro</v>
      </c>
      <c r="C437" s="2"/>
      <c r="D437" s="2"/>
      <c r="E437" s="2"/>
      <c r="F437" s="2"/>
      <c r="G437" s="173"/>
      <c r="H437" s="174"/>
      <c r="I437" s="173" t="e">
        <f>Tabela22[[#This Row],[PESO TOTAL]]/Tabela22[[#This Row],[QUANTIDADE]]</f>
        <v>#DIV/0!</v>
      </c>
      <c r="J437" s="2"/>
      <c r="K437" s="193"/>
      <c r="L437" s="8"/>
      <c r="M437" s="8"/>
      <c r="N437" s="8"/>
      <c r="O437" s="194"/>
      <c r="P437" s="195"/>
    </row>
    <row r="438" spans="1:16">
      <c r="A438" s="3"/>
      <c r="B438" s="3" t="str">
        <f>TEXT(Tabela22345[[#This Row],[DATA]],"mmmm")</f>
        <v>janeiro</v>
      </c>
      <c r="C438" s="2"/>
      <c r="D438" s="2"/>
      <c r="E438" s="2"/>
      <c r="F438" s="2"/>
      <c r="G438" s="173"/>
      <c r="H438" s="174"/>
      <c r="I438" s="173" t="e">
        <f>Tabela22[[#This Row],[PESO TOTAL]]/Tabela22[[#This Row],[QUANTIDADE]]</f>
        <v>#DIV/0!</v>
      </c>
      <c r="J438" s="2"/>
      <c r="K438" s="193"/>
      <c r="L438" s="8"/>
      <c r="M438" s="8"/>
      <c r="N438" s="8"/>
      <c r="O438" s="194"/>
      <c r="P438" s="195"/>
    </row>
    <row r="439" spans="1:16">
      <c r="A439" s="3"/>
      <c r="B439" s="3" t="str">
        <f>TEXT(Tabela22345[[#This Row],[DATA]],"mmmm")</f>
        <v>janeiro</v>
      </c>
      <c r="C439" s="2"/>
      <c r="D439" s="2"/>
      <c r="E439" s="2"/>
      <c r="F439" s="2"/>
      <c r="G439" s="173"/>
      <c r="H439" s="174"/>
      <c r="I439" s="173" t="e">
        <f>Tabela22[[#This Row],[PESO TOTAL]]/Tabela22[[#This Row],[QUANTIDADE]]</f>
        <v>#DIV/0!</v>
      </c>
      <c r="J439" s="2"/>
      <c r="K439" s="193"/>
      <c r="L439" s="8"/>
      <c r="M439" s="8"/>
      <c r="N439" s="8"/>
      <c r="O439" s="194"/>
      <c r="P439" s="195"/>
    </row>
    <row r="440" spans="1:16">
      <c r="A440" s="3"/>
      <c r="B440" s="3" t="str">
        <f>TEXT(Tabela22345[[#This Row],[DATA]],"mmmm")</f>
        <v>janeiro</v>
      </c>
      <c r="C440" s="2"/>
      <c r="D440" s="2"/>
      <c r="E440" s="2"/>
      <c r="F440" s="2"/>
      <c r="G440" s="173"/>
      <c r="H440" s="174"/>
      <c r="I440" s="173" t="e">
        <f>Tabela22[[#This Row],[PESO TOTAL]]/Tabela22[[#This Row],[QUANTIDADE]]</f>
        <v>#DIV/0!</v>
      </c>
      <c r="J440" s="2"/>
      <c r="K440" s="193"/>
      <c r="L440" s="8"/>
      <c r="M440" s="8"/>
      <c r="N440" s="8"/>
      <c r="O440" s="194"/>
      <c r="P440" s="195"/>
    </row>
    <row r="441" spans="1:16">
      <c r="A441" s="3"/>
      <c r="B441" s="3" t="str">
        <f>TEXT(Tabela22345[[#This Row],[DATA]],"mmmm")</f>
        <v>janeiro</v>
      </c>
      <c r="C441" s="2"/>
      <c r="D441" s="2"/>
      <c r="E441" s="2"/>
      <c r="F441" s="2"/>
      <c r="G441" s="173"/>
      <c r="H441" s="174"/>
      <c r="I441" s="173" t="e">
        <f>Tabela22[[#This Row],[PESO TOTAL]]/Tabela22[[#This Row],[QUANTIDADE]]</f>
        <v>#DIV/0!</v>
      </c>
      <c r="J441" s="2"/>
      <c r="K441" s="193"/>
      <c r="L441" s="8"/>
      <c r="M441" s="8"/>
      <c r="N441" s="8"/>
      <c r="O441" s="194"/>
      <c r="P441" s="195"/>
    </row>
    <row r="442" spans="1:16">
      <c r="A442" s="3"/>
      <c r="B442" s="3" t="str">
        <f>TEXT(Tabela22345[[#This Row],[DATA]],"mmmm")</f>
        <v>janeiro</v>
      </c>
      <c r="C442" s="2"/>
      <c r="D442" s="2"/>
      <c r="E442" s="2"/>
      <c r="F442" s="2"/>
      <c r="G442" s="173"/>
      <c r="H442" s="174"/>
      <c r="I442" s="173" t="e">
        <f>Tabela22[[#This Row],[PESO TOTAL]]/Tabela22[[#This Row],[QUANTIDADE]]</f>
        <v>#DIV/0!</v>
      </c>
      <c r="J442" s="2"/>
      <c r="K442" s="193"/>
      <c r="L442" s="8"/>
      <c r="M442" s="8"/>
      <c r="N442" s="8"/>
      <c r="O442" s="194"/>
      <c r="P442" s="195"/>
    </row>
    <row r="443" spans="1:16">
      <c r="A443" s="3"/>
      <c r="B443" s="3" t="str">
        <f>TEXT(Tabela22345[[#This Row],[DATA]],"mmmm")</f>
        <v>janeiro</v>
      </c>
      <c r="C443" s="2"/>
      <c r="D443" s="2"/>
      <c r="E443" s="2"/>
      <c r="F443" s="2"/>
      <c r="G443" s="173"/>
      <c r="H443" s="174"/>
      <c r="I443" s="173" t="e">
        <f>Tabela22[[#This Row],[PESO TOTAL]]/Tabela22[[#This Row],[QUANTIDADE]]</f>
        <v>#DIV/0!</v>
      </c>
      <c r="J443" s="2"/>
      <c r="K443" s="193"/>
      <c r="L443" s="8"/>
      <c r="M443" s="8"/>
      <c r="N443" s="8"/>
      <c r="O443" s="194"/>
      <c r="P443" s="195"/>
    </row>
    <row r="444" spans="1:16">
      <c r="A444" s="3"/>
      <c r="B444" s="3" t="str">
        <f>TEXT(Tabela22345[[#This Row],[DATA]],"mmmm")</f>
        <v>janeiro</v>
      </c>
      <c r="C444" s="2"/>
      <c r="D444" s="2"/>
      <c r="E444" s="2"/>
      <c r="F444" s="2"/>
      <c r="G444" s="173"/>
      <c r="H444" s="174"/>
      <c r="I444" s="173" t="e">
        <f>Tabela22[[#This Row],[PESO TOTAL]]/Tabela22[[#This Row],[QUANTIDADE]]</f>
        <v>#DIV/0!</v>
      </c>
      <c r="J444" s="2"/>
      <c r="K444" s="193"/>
      <c r="L444" s="8"/>
      <c r="M444" s="8"/>
      <c r="N444" s="8"/>
      <c r="O444" s="194"/>
      <c r="P444" s="195"/>
    </row>
    <row r="445" spans="1:16">
      <c r="A445" s="3"/>
      <c r="B445" s="3" t="str">
        <f>TEXT(Tabela22345[[#This Row],[DATA]],"mmmm")</f>
        <v>janeiro</v>
      </c>
      <c r="C445" s="2"/>
      <c r="D445" s="2"/>
      <c r="E445" s="2"/>
      <c r="F445" s="2"/>
      <c r="G445" s="173"/>
      <c r="H445" s="174"/>
      <c r="I445" s="173" t="e">
        <f>Tabela22[[#This Row],[PESO TOTAL]]/Tabela22[[#This Row],[QUANTIDADE]]</f>
        <v>#DIV/0!</v>
      </c>
      <c r="J445" s="2"/>
      <c r="K445" s="193"/>
      <c r="L445" s="8"/>
      <c r="M445" s="8"/>
      <c r="N445" s="8"/>
      <c r="O445" s="194"/>
      <c r="P445" s="195"/>
    </row>
    <row r="446" spans="1:16">
      <c r="A446" s="3"/>
      <c r="B446" s="3" t="str">
        <f>TEXT(Tabela22345[[#This Row],[DATA]],"mmmm")</f>
        <v>janeiro</v>
      </c>
      <c r="C446" s="2"/>
      <c r="D446" s="2"/>
      <c r="E446" s="2"/>
      <c r="F446" s="2"/>
      <c r="G446" s="173"/>
      <c r="H446" s="174"/>
      <c r="I446" s="173" t="e">
        <f>Tabela22[[#This Row],[PESO TOTAL]]/Tabela22[[#This Row],[QUANTIDADE]]</f>
        <v>#DIV/0!</v>
      </c>
      <c r="J446" s="2"/>
      <c r="K446" s="193"/>
      <c r="L446" s="8"/>
      <c r="M446" s="8"/>
      <c r="N446" s="8"/>
      <c r="O446" s="194"/>
      <c r="P446" s="195"/>
    </row>
    <row r="447" spans="1:16">
      <c r="A447" s="3"/>
      <c r="B447" s="3" t="str">
        <f>TEXT(Tabela22345[[#This Row],[DATA]],"mmmm")</f>
        <v>janeiro</v>
      </c>
      <c r="C447" s="2"/>
      <c r="D447" s="2"/>
      <c r="E447" s="2"/>
      <c r="F447" s="2"/>
      <c r="G447" s="173"/>
      <c r="H447" s="174"/>
      <c r="I447" s="173" t="e">
        <f>Tabela22[[#This Row],[PESO TOTAL]]/Tabela22[[#This Row],[QUANTIDADE]]</f>
        <v>#DIV/0!</v>
      </c>
      <c r="J447" s="2"/>
      <c r="K447" s="193"/>
      <c r="L447" s="8"/>
      <c r="M447" s="8"/>
      <c r="N447" s="8"/>
      <c r="O447" s="194"/>
      <c r="P447" s="195"/>
    </row>
    <row r="448" spans="1:16">
      <c r="A448" s="3"/>
      <c r="B448" s="3" t="str">
        <f>TEXT(Tabela22345[[#This Row],[DATA]],"mmmm")</f>
        <v>janeiro</v>
      </c>
      <c r="C448" s="2"/>
      <c r="D448" s="2"/>
      <c r="E448" s="2"/>
      <c r="F448" s="2"/>
      <c r="G448" s="173"/>
      <c r="H448" s="174"/>
      <c r="I448" s="173" t="e">
        <f>Tabela22[[#This Row],[PESO TOTAL]]/Tabela22[[#This Row],[QUANTIDADE]]</f>
        <v>#DIV/0!</v>
      </c>
      <c r="J448" s="2"/>
      <c r="K448" s="193"/>
      <c r="L448" s="8"/>
      <c r="M448" s="8"/>
      <c r="N448" s="8"/>
      <c r="O448" s="194"/>
      <c r="P448" s="195"/>
    </row>
    <row r="449" spans="1:16">
      <c r="A449" s="3"/>
      <c r="B449" s="3" t="str">
        <f>TEXT(Tabela22345[[#This Row],[DATA]],"mmmm")</f>
        <v>janeiro</v>
      </c>
      <c r="C449" s="2"/>
      <c r="D449" s="2"/>
      <c r="E449" s="2"/>
      <c r="F449" s="2"/>
      <c r="G449" s="173"/>
      <c r="H449" s="174"/>
      <c r="I449" s="173" t="e">
        <f>Tabela22[[#This Row],[PESO TOTAL]]/Tabela22[[#This Row],[QUANTIDADE]]</f>
        <v>#DIV/0!</v>
      </c>
      <c r="J449" s="2"/>
      <c r="K449" s="193"/>
      <c r="L449" s="8"/>
      <c r="M449" s="8"/>
      <c r="N449" s="8"/>
      <c r="O449" s="194"/>
      <c r="P449" s="195"/>
    </row>
    <row r="450" spans="1:16">
      <c r="A450" s="3"/>
      <c r="B450" s="3" t="str">
        <f>TEXT(Tabela22345[[#This Row],[DATA]],"mmmm")</f>
        <v>janeiro</v>
      </c>
      <c r="C450" s="2"/>
      <c r="D450" s="2"/>
      <c r="E450" s="2"/>
      <c r="F450" s="2"/>
      <c r="G450" s="173"/>
      <c r="H450" s="174"/>
      <c r="I450" s="173" t="e">
        <f>Tabela22[[#This Row],[PESO TOTAL]]/Tabela22[[#This Row],[QUANTIDADE]]</f>
        <v>#DIV/0!</v>
      </c>
      <c r="J450" s="2"/>
      <c r="K450" s="193"/>
      <c r="L450" s="8"/>
      <c r="M450" s="8"/>
      <c r="N450" s="8"/>
      <c r="O450" s="194"/>
      <c r="P450" s="195"/>
    </row>
    <row r="451" spans="1:16">
      <c r="A451" s="3"/>
      <c r="B451" s="3" t="str">
        <f>TEXT(Tabela22345[[#This Row],[DATA]],"mmmm")</f>
        <v>janeiro</v>
      </c>
      <c r="C451" s="2"/>
      <c r="D451" s="2"/>
      <c r="E451" s="2"/>
      <c r="F451" s="2"/>
      <c r="G451" s="173"/>
      <c r="H451" s="174"/>
      <c r="I451" s="173" t="e">
        <f>Tabela22[[#This Row],[PESO TOTAL]]/Tabela22[[#This Row],[QUANTIDADE]]</f>
        <v>#DIV/0!</v>
      </c>
      <c r="J451" s="2"/>
      <c r="K451" s="193"/>
      <c r="L451" s="8"/>
      <c r="M451" s="8"/>
      <c r="N451" s="8"/>
      <c r="O451" s="194"/>
      <c r="P451" s="195"/>
    </row>
    <row r="452" spans="1:16">
      <c r="A452" s="3"/>
      <c r="B452" s="3" t="str">
        <f>TEXT(Tabela22345[[#This Row],[DATA]],"mmmm")</f>
        <v>janeiro</v>
      </c>
      <c r="C452" s="2"/>
      <c r="D452" s="2"/>
      <c r="E452" s="2"/>
      <c r="F452" s="2"/>
      <c r="G452" s="173"/>
      <c r="H452" s="174"/>
      <c r="I452" s="173" t="e">
        <f>Tabela22[[#This Row],[PESO TOTAL]]/Tabela22[[#This Row],[QUANTIDADE]]</f>
        <v>#DIV/0!</v>
      </c>
      <c r="J452" s="2"/>
      <c r="K452" s="193"/>
      <c r="L452" s="8"/>
      <c r="M452" s="8"/>
      <c r="N452" s="8"/>
      <c r="O452" s="194"/>
      <c r="P452" s="195"/>
    </row>
    <row r="453" spans="1:16">
      <c r="A453" s="3"/>
      <c r="B453" s="3" t="str">
        <f>TEXT(Tabela22345[[#This Row],[DATA]],"mmmm")</f>
        <v>janeiro</v>
      </c>
      <c r="C453" s="2"/>
      <c r="D453" s="2"/>
      <c r="E453" s="2"/>
      <c r="F453" s="2"/>
      <c r="G453" s="173"/>
      <c r="H453" s="174"/>
      <c r="I453" s="173" t="e">
        <f>Tabela22[[#This Row],[PESO TOTAL]]/Tabela22[[#This Row],[QUANTIDADE]]</f>
        <v>#DIV/0!</v>
      </c>
      <c r="J453" s="2"/>
      <c r="K453" s="193"/>
      <c r="L453" s="8"/>
      <c r="M453" s="8"/>
      <c r="N453" s="8"/>
      <c r="O453" s="194"/>
      <c r="P453" s="195"/>
    </row>
    <row r="454" spans="1:16">
      <c r="A454" s="3"/>
      <c r="B454" s="3" t="str">
        <f>TEXT(Tabela22345[[#This Row],[DATA]],"mmmm")</f>
        <v>janeiro</v>
      </c>
      <c r="C454" s="2"/>
      <c r="D454" s="2"/>
      <c r="E454" s="2"/>
      <c r="F454" s="2"/>
      <c r="G454" s="173"/>
      <c r="H454" s="174"/>
      <c r="I454" s="173" t="e">
        <f>Tabela22[[#This Row],[PESO TOTAL]]/Tabela22[[#This Row],[QUANTIDADE]]</f>
        <v>#DIV/0!</v>
      </c>
      <c r="J454" s="2"/>
      <c r="K454" s="193"/>
      <c r="L454" s="8"/>
      <c r="M454" s="8"/>
      <c r="N454" s="8"/>
      <c r="O454" s="194"/>
      <c r="P454" s="195"/>
    </row>
    <row r="455" spans="1:16">
      <c r="A455" s="3"/>
      <c r="B455" s="3" t="str">
        <f>TEXT(Tabela22345[[#This Row],[DATA]],"mmmm")</f>
        <v>janeiro</v>
      </c>
      <c r="C455" s="2"/>
      <c r="D455" s="2"/>
      <c r="E455" s="2"/>
      <c r="F455" s="2"/>
      <c r="G455" s="173"/>
      <c r="H455" s="174"/>
      <c r="I455" s="173" t="e">
        <f>Tabela22[[#This Row],[PESO TOTAL]]/Tabela22[[#This Row],[QUANTIDADE]]</f>
        <v>#DIV/0!</v>
      </c>
      <c r="J455" s="2"/>
      <c r="K455" s="193"/>
      <c r="L455" s="8"/>
      <c r="M455" s="8"/>
      <c r="N455" s="8"/>
      <c r="O455" s="194"/>
      <c r="P455" s="195"/>
    </row>
    <row r="456" spans="1:16">
      <c r="A456" s="3"/>
      <c r="B456" s="3" t="str">
        <f>TEXT(Tabela22345[[#This Row],[DATA]],"mmmm")</f>
        <v>janeiro</v>
      </c>
      <c r="C456" s="2"/>
      <c r="D456" s="2"/>
      <c r="E456" s="2"/>
      <c r="F456" s="2"/>
      <c r="G456" s="173"/>
      <c r="H456" s="174"/>
      <c r="I456" s="173" t="e">
        <f>Tabela22[[#This Row],[PESO TOTAL]]/Tabela22[[#This Row],[QUANTIDADE]]</f>
        <v>#DIV/0!</v>
      </c>
      <c r="J456" s="2"/>
      <c r="K456" s="193"/>
      <c r="L456" s="8"/>
      <c r="M456" s="8"/>
      <c r="N456" s="8"/>
      <c r="O456" s="194"/>
      <c r="P456" s="195"/>
    </row>
    <row r="457" spans="1:16">
      <c r="A457" s="3"/>
      <c r="B457" s="3" t="str">
        <f>TEXT(Tabela22345[[#This Row],[DATA]],"mmmm")</f>
        <v>janeiro</v>
      </c>
      <c r="C457" s="2"/>
      <c r="D457" s="2"/>
      <c r="E457" s="2"/>
      <c r="F457" s="2"/>
      <c r="G457" s="173"/>
      <c r="H457" s="174"/>
      <c r="I457" s="173" t="e">
        <f>Tabela22[[#This Row],[PESO TOTAL]]/Tabela22[[#This Row],[QUANTIDADE]]</f>
        <v>#DIV/0!</v>
      </c>
      <c r="J457" s="2"/>
      <c r="K457" s="193"/>
      <c r="L457" s="8"/>
      <c r="M457" s="8"/>
      <c r="N457" s="8"/>
      <c r="O457" s="194"/>
      <c r="P457" s="195"/>
    </row>
    <row r="458" spans="1:16">
      <c r="A458" s="3"/>
      <c r="B458" s="3" t="str">
        <f>TEXT(Tabela22345[[#This Row],[DATA]],"mmmm")</f>
        <v>janeiro</v>
      </c>
      <c r="C458" s="2"/>
      <c r="D458" s="2"/>
      <c r="E458" s="2"/>
      <c r="F458" s="2"/>
      <c r="G458" s="173"/>
      <c r="H458" s="174"/>
      <c r="I458" s="173" t="e">
        <f>Tabela22[[#This Row],[PESO TOTAL]]/Tabela22[[#This Row],[QUANTIDADE]]</f>
        <v>#DIV/0!</v>
      </c>
      <c r="J458" s="2"/>
      <c r="K458" s="193"/>
      <c r="L458" s="8"/>
      <c r="M458" s="8"/>
      <c r="N458" s="8"/>
      <c r="O458" s="194"/>
      <c r="P458" s="195"/>
    </row>
    <row r="459" spans="1:16">
      <c r="A459" s="3"/>
      <c r="B459" s="3" t="str">
        <f>TEXT(Tabela22345[[#This Row],[DATA]],"mmmm")</f>
        <v>janeiro</v>
      </c>
      <c r="C459" s="2"/>
      <c r="D459" s="2"/>
      <c r="E459" s="2"/>
      <c r="F459" s="2"/>
      <c r="G459" s="173"/>
      <c r="H459" s="174"/>
      <c r="I459" s="173" t="e">
        <f>Tabela22[[#This Row],[PESO TOTAL]]/Tabela22[[#This Row],[QUANTIDADE]]</f>
        <v>#DIV/0!</v>
      </c>
      <c r="J459" s="2"/>
      <c r="K459" s="193"/>
      <c r="L459" s="8"/>
      <c r="M459" s="8"/>
      <c r="N459" s="8"/>
      <c r="O459" s="194"/>
      <c r="P459" s="195"/>
    </row>
    <row r="460" spans="1:16">
      <c r="A460" s="3"/>
      <c r="B460" s="3" t="str">
        <f>TEXT(Tabela22345[[#This Row],[DATA]],"mmmm")</f>
        <v>janeiro</v>
      </c>
      <c r="C460" s="2"/>
      <c r="D460" s="2"/>
      <c r="E460" s="2"/>
      <c r="F460" s="2"/>
      <c r="G460" s="173"/>
      <c r="H460" s="174"/>
      <c r="I460" s="173" t="e">
        <f>Tabela22[[#This Row],[PESO TOTAL]]/Tabela22[[#This Row],[QUANTIDADE]]</f>
        <v>#DIV/0!</v>
      </c>
      <c r="J460" s="2"/>
      <c r="K460" s="193"/>
      <c r="L460" s="8"/>
      <c r="M460" s="8"/>
      <c r="N460" s="8"/>
      <c r="O460" s="194"/>
      <c r="P460" s="195"/>
    </row>
    <row r="461" spans="1:16">
      <c r="A461" s="3"/>
      <c r="B461" s="3" t="str">
        <f>TEXT(Tabela22345[[#This Row],[DATA]],"mmmm")</f>
        <v>janeiro</v>
      </c>
      <c r="C461" s="2"/>
      <c r="D461" s="2"/>
      <c r="E461" s="2"/>
      <c r="F461" s="2"/>
      <c r="G461" s="173"/>
      <c r="H461" s="174"/>
      <c r="I461" s="173" t="e">
        <f>Tabela22[[#This Row],[PESO TOTAL]]/Tabela22[[#This Row],[QUANTIDADE]]</f>
        <v>#DIV/0!</v>
      </c>
      <c r="J461" s="2"/>
      <c r="K461" s="193"/>
      <c r="L461" s="8"/>
      <c r="M461" s="8"/>
      <c r="N461" s="8"/>
      <c r="O461" s="194"/>
      <c r="P461" s="195"/>
    </row>
    <row r="462" spans="1:16">
      <c r="A462" s="3"/>
      <c r="B462" s="3" t="str">
        <f>TEXT(Tabela22345[[#This Row],[DATA]],"mmmm")</f>
        <v>janeiro</v>
      </c>
      <c r="C462" s="2"/>
      <c r="D462" s="2"/>
      <c r="E462" s="2"/>
      <c r="F462" s="2"/>
      <c r="G462" s="173"/>
      <c r="H462" s="174"/>
      <c r="I462" s="173" t="e">
        <f>Tabela22[[#This Row],[PESO TOTAL]]/Tabela22[[#This Row],[QUANTIDADE]]</f>
        <v>#DIV/0!</v>
      </c>
      <c r="J462" s="2"/>
      <c r="K462" s="193"/>
      <c r="L462" s="8"/>
      <c r="M462" s="8"/>
      <c r="N462" s="8"/>
      <c r="O462" s="194"/>
      <c r="P462" s="195"/>
    </row>
    <row r="463" spans="1:16">
      <c r="A463" s="3"/>
      <c r="B463" s="3" t="str">
        <f>TEXT(Tabela22345[[#This Row],[DATA]],"mmmm")</f>
        <v>janeiro</v>
      </c>
      <c r="C463" s="2"/>
      <c r="D463" s="2"/>
      <c r="E463" s="2"/>
      <c r="F463" s="2"/>
      <c r="G463" s="173"/>
      <c r="H463" s="174"/>
      <c r="I463" s="173" t="e">
        <f>Tabela22[[#This Row],[PESO TOTAL]]/Tabela22[[#This Row],[QUANTIDADE]]</f>
        <v>#DIV/0!</v>
      </c>
      <c r="J463" s="2"/>
      <c r="K463" s="193"/>
      <c r="L463" s="8"/>
      <c r="M463" s="8"/>
      <c r="N463" s="8"/>
      <c r="O463" s="194"/>
      <c r="P463" s="195"/>
    </row>
    <row r="464" spans="1:16">
      <c r="A464" s="3"/>
      <c r="B464" s="3" t="str">
        <f>TEXT(Tabela22345[[#This Row],[DATA]],"mmmm")</f>
        <v>janeiro</v>
      </c>
      <c r="C464" s="2"/>
      <c r="D464" s="2"/>
      <c r="E464" s="2"/>
      <c r="F464" s="2"/>
      <c r="G464" s="173"/>
      <c r="H464" s="174"/>
      <c r="I464" s="173" t="e">
        <f>Tabela22[[#This Row],[PESO TOTAL]]/Tabela22[[#This Row],[QUANTIDADE]]</f>
        <v>#DIV/0!</v>
      </c>
      <c r="J464" s="2"/>
      <c r="K464" s="193"/>
      <c r="L464" s="8"/>
      <c r="M464" s="8"/>
      <c r="N464" s="8"/>
      <c r="O464" s="194"/>
      <c r="P464" s="195"/>
    </row>
    <row r="465" spans="1:16">
      <c r="A465" s="3"/>
      <c r="B465" s="3" t="str">
        <f>TEXT(Tabela22345[[#This Row],[DATA]],"mmmm")</f>
        <v>janeiro</v>
      </c>
      <c r="C465" s="2"/>
      <c r="D465" s="2"/>
      <c r="E465" s="2"/>
      <c r="F465" s="2"/>
      <c r="G465" s="173"/>
      <c r="H465" s="174"/>
      <c r="I465" s="173" t="e">
        <f>Tabela22[[#This Row],[PESO TOTAL]]/Tabela22[[#This Row],[QUANTIDADE]]</f>
        <v>#DIV/0!</v>
      </c>
      <c r="J465" s="2"/>
      <c r="K465" s="193"/>
      <c r="L465" s="8"/>
      <c r="M465" s="8"/>
      <c r="N465" s="8"/>
      <c r="O465" s="194"/>
      <c r="P465" s="195"/>
    </row>
    <row r="466" spans="1:16">
      <c r="A466" s="3"/>
      <c r="B466" s="3" t="str">
        <f>TEXT(Tabela22345[[#This Row],[DATA]],"mmmm")</f>
        <v>janeiro</v>
      </c>
      <c r="C466" s="2"/>
      <c r="D466" s="2"/>
      <c r="E466" s="2"/>
      <c r="F466" s="2"/>
      <c r="G466" s="173"/>
      <c r="H466" s="174"/>
      <c r="I466" s="173" t="e">
        <f>Tabela22[[#This Row],[PESO TOTAL]]/Tabela22[[#This Row],[QUANTIDADE]]</f>
        <v>#DIV/0!</v>
      </c>
      <c r="J466" s="2"/>
      <c r="K466" s="193"/>
      <c r="L466" s="8"/>
      <c r="M466" s="8"/>
      <c r="N466" s="8"/>
      <c r="O466" s="194"/>
      <c r="P466" s="195"/>
    </row>
    <row r="467" spans="1:16">
      <c r="A467" s="3"/>
      <c r="B467" s="3" t="str">
        <f>TEXT(Tabela22345[[#This Row],[DATA]],"mmmm")</f>
        <v>janeiro</v>
      </c>
      <c r="C467" s="2"/>
      <c r="D467" s="2"/>
      <c r="E467" s="2"/>
      <c r="F467" s="2"/>
      <c r="G467" s="173"/>
      <c r="H467" s="174"/>
      <c r="I467" s="173" t="e">
        <f>Tabela22[[#This Row],[PESO TOTAL]]/Tabela22[[#This Row],[QUANTIDADE]]</f>
        <v>#DIV/0!</v>
      </c>
      <c r="J467" s="2"/>
      <c r="K467" s="193"/>
      <c r="L467" s="8"/>
      <c r="M467" s="8"/>
      <c r="N467" s="8"/>
      <c r="O467" s="194"/>
      <c r="P467" s="195"/>
    </row>
    <row r="468" spans="1:16">
      <c r="A468" s="3"/>
      <c r="B468" s="3" t="str">
        <f>TEXT(Tabela22345[[#This Row],[DATA]],"mmmm")</f>
        <v>janeiro</v>
      </c>
      <c r="C468" s="2"/>
      <c r="D468" s="2"/>
      <c r="E468" s="2"/>
      <c r="F468" s="2"/>
      <c r="G468" s="173"/>
      <c r="H468" s="174"/>
      <c r="I468" s="173" t="e">
        <f>Tabela22[[#This Row],[PESO TOTAL]]/Tabela22[[#This Row],[QUANTIDADE]]</f>
        <v>#DIV/0!</v>
      </c>
      <c r="J468" s="2"/>
      <c r="K468" s="193"/>
      <c r="L468" s="8"/>
      <c r="M468" s="8"/>
      <c r="N468" s="8"/>
      <c r="O468" s="194"/>
      <c r="P468" s="195"/>
    </row>
    <row r="469" spans="1:16">
      <c r="A469" s="3"/>
      <c r="B469" s="3" t="str">
        <f>TEXT(Tabela22345[[#This Row],[DATA]],"mmmm")</f>
        <v>janeiro</v>
      </c>
      <c r="C469" s="2"/>
      <c r="D469" s="2"/>
      <c r="E469" s="2"/>
      <c r="F469" s="2"/>
      <c r="G469" s="173"/>
      <c r="H469" s="174"/>
      <c r="I469" s="173" t="e">
        <f>Tabela22[[#This Row],[PESO TOTAL]]/Tabela22[[#This Row],[QUANTIDADE]]</f>
        <v>#DIV/0!</v>
      </c>
      <c r="J469" s="2"/>
      <c r="K469" s="193"/>
      <c r="L469" s="8"/>
      <c r="M469" s="8"/>
      <c r="N469" s="8"/>
      <c r="O469" s="194"/>
      <c r="P469" s="195"/>
    </row>
    <row r="470" spans="1:16">
      <c r="A470" s="3"/>
      <c r="B470" s="3" t="str">
        <f>TEXT(Tabela22345[[#This Row],[DATA]],"mmmm")</f>
        <v>janeiro</v>
      </c>
      <c r="C470" s="2"/>
      <c r="D470" s="2"/>
      <c r="E470" s="2"/>
      <c r="F470" s="2"/>
      <c r="G470" s="173"/>
      <c r="H470" s="174"/>
      <c r="I470" s="173" t="e">
        <f>Tabela22[[#This Row],[PESO TOTAL]]/Tabela22[[#This Row],[QUANTIDADE]]</f>
        <v>#DIV/0!</v>
      </c>
      <c r="J470" s="2"/>
      <c r="K470" s="193"/>
      <c r="L470" s="8"/>
      <c r="M470" s="8"/>
      <c r="N470" s="8"/>
      <c r="O470" s="194"/>
      <c r="P470" s="195"/>
    </row>
    <row r="471" spans="1:16">
      <c r="A471" s="3"/>
      <c r="B471" s="3" t="str">
        <f>TEXT(Tabela22345[[#This Row],[DATA]],"mmmm")</f>
        <v>janeiro</v>
      </c>
      <c r="C471" s="2"/>
      <c r="D471" s="2"/>
      <c r="E471" s="2"/>
      <c r="F471" s="2"/>
      <c r="G471" s="173"/>
      <c r="H471" s="174"/>
      <c r="I471" s="173" t="e">
        <f>Tabela22[[#This Row],[PESO TOTAL]]/Tabela22[[#This Row],[QUANTIDADE]]</f>
        <v>#DIV/0!</v>
      </c>
      <c r="J471" s="2"/>
      <c r="K471" s="193"/>
      <c r="L471" s="8"/>
      <c r="M471" s="8"/>
      <c r="N471" s="8"/>
      <c r="O471" s="194"/>
      <c r="P471" s="195"/>
    </row>
    <row r="472" spans="1:16">
      <c r="A472" s="3"/>
      <c r="B472" s="3" t="str">
        <f>TEXT(Tabela22345[[#This Row],[DATA]],"mmmm")</f>
        <v>janeiro</v>
      </c>
      <c r="C472" s="2"/>
      <c r="D472" s="2"/>
      <c r="E472" s="2"/>
      <c r="F472" s="2"/>
      <c r="G472" s="173"/>
      <c r="H472" s="174"/>
      <c r="I472" s="173" t="e">
        <f>Tabela22[[#This Row],[PESO TOTAL]]/Tabela22[[#This Row],[QUANTIDADE]]</f>
        <v>#DIV/0!</v>
      </c>
      <c r="J472" s="2"/>
      <c r="K472" s="193"/>
      <c r="L472" s="8"/>
      <c r="M472" s="8"/>
      <c r="N472" s="8"/>
      <c r="O472" s="194"/>
      <c r="P472" s="195"/>
    </row>
    <row r="473" spans="1:16">
      <c r="A473" s="3"/>
      <c r="B473" s="3" t="str">
        <f>TEXT(Tabela22345[[#This Row],[DATA]],"mmmm")</f>
        <v>janeiro</v>
      </c>
      <c r="C473" s="2"/>
      <c r="D473" s="2"/>
      <c r="E473" s="2"/>
      <c r="F473" s="2"/>
      <c r="G473" s="173"/>
      <c r="H473" s="174"/>
      <c r="I473" s="173" t="e">
        <f>Tabela22[[#This Row],[PESO TOTAL]]/Tabela22[[#This Row],[QUANTIDADE]]</f>
        <v>#DIV/0!</v>
      </c>
      <c r="J473" s="2"/>
      <c r="K473" s="193"/>
      <c r="L473" s="8"/>
      <c r="M473" s="8"/>
      <c r="N473" s="8"/>
      <c r="O473" s="194"/>
      <c r="P473" s="195"/>
    </row>
    <row r="474" spans="1:16">
      <c r="A474" s="3"/>
      <c r="B474" s="3" t="str">
        <f>TEXT(Tabela22345[[#This Row],[DATA]],"mmmm")</f>
        <v>janeiro</v>
      </c>
      <c r="C474" s="2"/>
      <c r="D474" s="2"/>
      <c r="E474" s="2"/>
      <c r="F474" s="2"/>
      <c r="G474" s="173"/>
      <c r="H474" s="174"/>
      <c r="I474" s="173" t="e">
        <f>Tabela22[[#This Row],[PESO TOTAL]]/Tabela22[[#This Row],[QUANTIDADE]]</f>
        <v>#DIV/0!</v>
      </c>
      <c r="J474" s="2"/>
      <c r="K474" s="193"/>
      <c r="L474" s="8"/>
      <c r="M474" s="8"/>
      <c r="N474" s="8"/>
      <c r="O474" s="194"/>
      <c r="P474" s="195"/>
    </row>
    <row r="475" spans="1:16">
      <c r="A475" s="3"/>
      <c r="B475" s="3" t="str">
        <f>TEXT(Tabela22345[[#This Row],[DATA]],"mmmm")</f>
        <v>janeiro</v>
      </c>
      <c r="C475" s="2"/>
      <c r="D475" s="2"/>
      <c r="E475" s="2"/>
      <c r="F475" s="2"/>
      <c r="G475" s="173"/>
      <c r="H475" s="174"/>
      <c r="I475" s="173" t="e">
        <f>Tabela22[[#This Row],[PESO TOTAL]]/Tabela22[[#This Row],[QUANTIDADE]]</f>
        <v>#DIV/0!</v>
      </c>
      <c r="J475" s="2"/>
      <c r="K475" s="193"/>
      <c r="L475" s="8"/>
      <c r="M475" s="8"/>
      <c r="N475" s="8"/>
      <c r="O475" s="194"/>
      <c r="P475" s="195"/>
    </row>
    <row r="476" spans="1:16">
      <c r="A476" s="3"/>
      <c r="B476" s="3" t="str">
        <f>TEXT(Tabela22345[[#This Row],[DATA]],"mmmm")</f>
        <v>janeiro</v>
      </c>
      <c r="C476" s="2"/>
      <c r="D476" s="2"/>
      <c r="E476" s="2"/>
      <c r="F476" s="2"/>
      <c r="G476" s="173"/>
      <c r="H476" s="174"/>
      <c r="I476" s="173" t="e">
        <f>Tabela22[[#This Row],[PESO TOTAL]]/Tabela22[[#This Row],[QUANTIDADE]]</f>
        <v>#DIV/0!</v>
      </c>
      <c r="J476" s="2"/>
      <c r="K476" s="193"/>
      <c r="L476" s="8"/>
      <c r="M476" s="8"/>
      <c r="N476" s="8"/>
      <c r="O476" s="194"/>
      <c r="P476" s="195"/>
    </row>
    <row r="477" spans="1:16">
      <c r="A477" s="3"/>
      <c r="B477" s="3" t="str">
        <f>TEXT(Tabela22345[[#This Row],[DATA]],"mmmm")</f>
        <v>janeiro</v>
      </c>
      <c r="C477" s="2"/>
      <c r="D477" s="2"/>
      <c r="E477" s="2"/>
      <c r="F477" s="2"/>
      <c r="G477" s="173"/>
      <c r="H477" s="174"/>
      <c r="I477" s="173" t="e">
        <f>Tabela22[[#This Row],[PESO TOTAL]]/Tabela22[[#This Row],[QUANTIDADE]]</f>
        <v>#DIV/0!</v>
      </c>
      <c r="J477" s="2"/>
      <c r="K477" s="193"/>
      <c r="L477" s="8"/>
      <c r="M477" s="8"/>
      <c r="N477" s="8"/>
      <c r="O477" s="194"/>
      <c r="P477" s="195"/>
    </row>
    <row r="478" spans="1:16">
      <c r="A478" s="3"/>
      <c r="B478" s="3" t="str">
        <f>TEXT(Tabela22345[[#This Row],[DATA]],"mmmm")</f>
        <v>janeiro</v>
      </c>
      <c r="C478" s="2"/>
      <c r="D478" s="2"/>
      <c r="E478" s="2"/>
      <c r="F478" s="2"/>
      <c r="G478" s="173"/>
      <c r="H478" s="174"/>
      <c r="I478" s="173" t="e">
        <f>Tabela22[[#This Row],[PESO TOTAL]]/Tabela22[[#This Row],[QUANTIDADE]]</f>
        <v>#DIV/0!</v>
      </c>
      <c r="J478" s="2"/>
      <c r="K478" s="193"/>
      <c r="L478" s="8"/>
      <c r="M478" s="8"/>
      <c r="N478" s="8"/>
      <c r="O478" s="194"/>
      <c r="P478" s="195"/>
    </row>
    <row r="479" spans="1:16">
      <c r="A479" s="3"/>
      <c r="B479" s="3" t="str">
        <f>TEXT(Tabela22345[[#This Row],[DATA]],"mmmm")</f>
        <v>janeiro</v>
      </c>
      <c r="C479" s="2"/>
      <c r="D479" s="2"/>
      <c r="E479" s="2"/>
      <c r="F479" s="2"/>
      <c r="G479" s="173"/>
      <c r="H479" s="174"/>
      <c r="I479" s="173" t="e">
        <f>Tabela22[[#This Row],[PESO TOTAL]]/Tabela22[[#This Row],[QUANTIDADE]]</f>
        <v>#DIV/0!</v>
      </c>
      <c r="J479" s="2"/>
      <c r="K479" s="193"/>
      <c r="L479" s="8"/>
      <c r="M479" s="8"/>
      <c r="N479" s="8"/>
      <c r="O479" s="194"/>
      <c r="P479" s="195"/>
    </row>
    <row r="480" spans="1:16">
      <c r="A480" s="3"/>
      <c r="B480" s="3" t="str">
        <f>TEXT(Tabela22345[[#This Row],[DATA]],"mmmm")</f>
        <v>janeiro</v>
      </c>
      <c r="C480" s="2"/>
      <c r="D480" s="2"/>
      <c r="E480" s="2"/>
      <c r="F480" s="2"/>
      <c r="G480" s="173"/>
      <c r="H480" s="174"/>
      <c r="I480" s="173" t="e">
        <f>Tabela22[[#This Row],[PESO TOTAL]]/Tabela22[[#This Row],[QUANTIDADE]]</f>
        <v>#DIV/0!</v>
      </c>
      <c r="J480" s="2"/>
      <c r="K480" s="193"/>
      <c r="L480" s="8"/>
      <c r="M480" s="8"/>
      <c r="N480" s="8"/>
      <c r="O480" s="194"/>
      <c r="P480" s="195"/>
    </row>
    <row r="481" spans="1:16">
      <c r="A481" s="3"/>
      <c r="B481" s="3" t="str">
        <f>TEXT(Tabela22345[[#This Row],[DATA]],"mmmm")</f>
        <v>janeiro</v>
      </c>
      <c r="C481" s="2"/>
      <c r="D481" s="2"/>
      <c r="E481" s="2"/>
      <c r="F481" s="2"/>
      <c r="G481" s="173"/>
      <c r="H481" s="174"/>
      <c r="I481" s="173" t="e">
        <f>Tabela22[[#This Row],[PESO TOTAL]]/Tabela22[[#This Row],[QUANTIDADE]]</f>
        <v>#DIV/0!</v>
      </c>
      <c r="J481" s="2"/>
      <c r="K481" s="193"/>
      <c r="L481" s="8"/>
      <c r="M481" s="8"/>
      <c r="N481" s="8"/>
      <c r="O481" s="194"/>
      <c r="P481" s="195"/>
    </row>
    <row r="482" spans="1:16">
      <c r="A482" s="3"/>
      <c r="B482" s="3" t="str">
        <f>TEXT(Tabela22345[[#This Row],[DATA]],"mmmm")</f>
        <v>janeiro</v>
      </c>
      <c r="C482" s="2"/>
      <c r="D482" s="2"/>
      <c r="E482" s="2"/>
      <c r="F482" s="2"/>
      <c r="G482" s="173"/>
      <c r="H482" s="174"/>
      <c r="I482" s="173" t="e">
        <f>Tabela22[[#This Row],[PESO TOTAL]]/Tabela22[[#This Row],[QUANTIDADE]]</f>
        <v>#DIV/0!</v>
      </c>
      <c r="J482" s="2"/>
      <c r="K482" s="193"/>
      <c r="L482" s="8"/>
      <c r="M482" s="8"/>
      <c r="N482" s="8"/>
      <c r="O482" s="194"/>
      <c r="P482" s="195"/>
    </row>
    <row r="483" spans="1:16">
      <c r="A483" s="3"/>
      <c r="B483" s="3" t="str">
        <f>TEXT(Tabela22345[[#This Row],[DATA]],"mmmm")</f>
        <v>janeiro</v>
      </c>
      <c r="C483" s="2"/>
      <c r="D483" s="2"/>
      <c r="E483" s="2"/>
      <c r="F483" s="2"/>
      <c r="G483" s="173"/>
      <c r="H483" s="174"/>
      <c r="I483" s="173" t="e">
        <f>Tabela22[[#This Row],[PESO TOTAL]]/Tabela22[[#This Row],[QUANTIDADE]]</f>
        <v>#DIV/0!</v>
      </c>
      <c r="J483" s="2"/>
      <c r="K483" s="193"/>
      <c r="L483" s="8"/>
      <c r="M483" s="8"/>
      <c r="N483" s="8"/>
      <c r="O483" s="194"/>
      <c r="P483" s="195"/>
    </row>
    <row r="484" spans="1:16">
      <c r="A484" s="3"/>
      <c r="B484" s="3" t="str">
        <f>TEXT(Tabela22345[[#This Row],[DATA]],"mmmm")</f>
        <v>janeiro</v>
      </c>
      <c r="C484" s="2"/>
      <c r="D484" s="2"/>
      <c r="E484" s="2"/>
      <c r="F484" s="2"/>
      <c r="G484" s="173"/>
      <c r="H484" s="174"/>
      <c r="I484" s="173" t="e">
        <f>Tabela22[[#This Row],[PESO TOTAL]]/Tabela22[[#This Row],[QUANTIDADE]]</f>
        <v>#DIV/0!</v>
      </c>
      <c r="J484" s="2"/>
      <c r="K484" s="193"/>
      <c r="L484" s="8"/>
      <c r="M484" s="8"/>
      <c r="N484" s="8"/>
      <c r="O484" s="194"/>
      <c r="P484" s="195"/>
    </row>
    <row r="485" spans="1:16">
      <c r="A485" s="3"/>
      <c r="B485" s="3" t="str">
        <f>TEXT(Tabela22345[[#This Row],[DATA]],"mmmm")</f>
        <v>janeiro</v>
      </c>
      <c r="C485" s="2"/>
      <c r="D485" s="2"/>
      <c r="E485" s="2"/>
      <c r="F485" s="2"/>
      <c r="G485" s="173"/>
      <c r="H485" s="174"/>
      <c r="I485" s="173" t="e">
        <f>Tabela22[[#This Row],[PESO TOTAL]]/Tabela22[[#This Row],[QUANTIDADE]]</f>
        <v>#DIV/0!</v>
      </c>
      <c r="J485" s="2"/>
      <c r="K485" s="193"/>
      <c r="L485" s="8"/>
      <c r="M485" s="8"/>
      <c r="N485" s="8"/>
      <c r="O485" s="194"/>
      <c r="P485" s="195"/>
    </row>
    <row r="486" spans="1:16">
      <c r="A486" s="3"/>
      <c r="B486" s="3" t="str">
        <f>TEXT(Tabela22345[[#This Row],[DATA]],"mmmm")</f>
        <v>janeiro</v>
      </c>
      <c r="C486" s="2"/>
      <c r="D486" s="2"/>
      <c r="E486" s="2"/>
      <c r="F486" s="2"/>
      <c r="G486" s="173"/>
      <c r="H486" s="174"/>
      <c r="I486" s="173" t="e">
        <f>Tabela22[[#This Row],[PESO TOTAL]]/Tabela22[[#This Row],[QUANTIDADE]]</f>
        <v>#DIV/0!</v>
      </c>
      <c r="J486" s="2"/>
      <c r="K486" s="193"/>
      <c r="L486" s="8"/>
      <c r="M486" s="8"/>
      <c r="N486" s="8"/>
      <c r="O486" s="194"/>
      <c r="P486" s="195"/>
    </row>
    <row r="487" spans="1:16">
      <c r="A487" s="3"/>
      <c r="B487" s="3" t="str">
        <f>TEXT(Tabela22345[[#This Row],[DATA]],"mmmm")</f>
        <v>janeiro</v>
      </c>
      <c r="C487" s="2"/>
      <c r="D487" s="2"/>
      <c r="E487" s="2"/>
      <c r="F487" s="2"/>
      <c r="G487" s="173"/>
      <c r="H487" s="174"/>
      <c r="I487" s="173" t="e">
        <f>Tabela22[[#This Row],[PESO TOTAL]]/Tabela22[[#This Row],[QUANTIDADE]]</f>
        <v>#DIV/0!</v>
      </c>
      <c r="J487" s="2"/>
      <c r="K487" s="193"/>
      <c r="L487" s="8"/>
      <c r="M487" s="8"/>
      <c r="N487" s="8"/>
      <c r="O487" s="194"/>
      <c r="P487" s="195"/>
    </row>
    <row r="488" spans="1:16">
      <c r="A488" s="3"/>
      <c r="B488" s="3" t="str">
        <f>TEXT(Tabela22345[[#This Row],[DATA]],"mmmm")</f>
        <v>janeiro</v>
      </c>
      <c r="C488" s="2"/>
      <c r="D488" s="2"/>
      <c r="E488" s="2"/>
      <c r="F488" s="2"/>
      <c r="G488" s="173"/>
      <c r="H488" s="174"/>
      <c r="I488" s="173" t="e">
        <f>Tabela22[[#This Row],[PESO TOTAL]]/Tabela22[[#This Row],[QUANTIDADE]]</f>
        <v>#DIV/0!</v>
      </c>
      <c r="J488" s="2"/>
      <c r="K488" s="193"/>
      <c r="L488" s="8"/>
      <c r="M488" s="8"/>
      <c r="N488" s="8"/>
      <c r="O488" s="194"/>
      <c r="P488" s="195"/>
    </row>
    <row r="489" spans="1:16">
      <c r="A489" s="3"/>
      <c r="B489" s="3" t="str">
        <f>TEXT(Tabela22345[[#This Row],[DATA]],"mmmm")</f>
        <v>janeiro</v>
      </c>
      <c r="C489" s="2"/>
      <c r="D489" s="2"/>
      <c r="E489" s="2"/>
      <c r="F489" s="2"/>
      <c r="G489" s="173"/>
      <c r="H489" s="174"/>
      <c r="I489" s="173" t="e">
        <f>Tabela22[[#This Row],[PESO TOTAL]]/Tabela22[[#This Row],[QUANTIDADE]]</f>
        <v>#DIV/0!</v>
      </c>
      <c r="J489" s="2"/>
      <c r="K489" s="193"/>
      <c r="L489" s="8"/>
      <c r="M489" s="8"/>
      <c r="N489" s="8"/>
      <c r="O489" s="194"/>
      <c r="P489" s="195"/>
    </row>
    <row r="490" spans="1:16">
      <c r="A490" s="3"/>
      <c r="B490" s="3" t="str">
        <f>TEXT(Tabela22345[[#This Row],[DATA]],"mmmm")</f>
        <v>janeiro</v>
      </c>
      <c r="C490" s="2"/>
      <c r="D490" s="2"/>
      <c r="E490" s="2"/>
      <c r="F490" s="2"/>
      <c r="G490" s="173"/>
      <c r="H490" s="174"/>
      <c r="I490" s="173" t="e">
        <f>Tabela22[[#This Row],[PESO TOTAL]]/Tabela22[[#This Row],[QUANTIDADE]]</f>
        <v>#DIV/0!</v>
      </c>
      <c r="J490" s="2"/>
      <c r="K490" s="193"/>
      <c r="L490" s="8"/>
      <c r="M490" s="8"/>
      <c r="N490" s="8"/>
      <c r="O490" s="194"/>
      <c r="P490" s="195"/>
    </row>
    <row r="491" spans="1:16">
      <c r="A491" s="3"/>
      <c r="B491" s="3" t="str">
        <f>TEXT(Tabela22345[[#This Row],[DATA]],"mmmm")</f>
        <v>janeiro</v>
      </c>
      <c r="C491" s="2"/>
      <c r="D491" s="2"/>
      <c r="E491" s="2"/>
      <c r="F491" s="2"/>
      <c r="G491" s="173"/>
      <c r="H491" s="174"/>
      <c r="I491" s="173" t="e">
        <f>Tabela22[[#This Row],[PESO TOTAL]]/Tabela22[[#This Row],[QUANTIDADE]]</f>
        <v>#DIV/0!</v>
      </c>
      <c r="J491" s="2"/>
      <c r="K491" s="193"/>
      <c r="L491" s="8"/>
      <c r="M491" s="8"/>
      <c r="N491" s="8"/>
      <c r="O491" s="194"/>
      <c r="P491" s="195"/>
    </row>
    <row r="492" spans="1:16">
      <c r="A492" s="3"/>
      <c r="B492" s="3" t="str">
        <f>TEXT(Tabela22345[[#This Row],[DATA]],"mmmm")</f>
        <v>janeiro</v>
      </c>
      <c r="C492" s="2"/>
      <c r="D492" s="2"/>
      <c r="E492" s="2"/>
      <c r="F492" s="2"/>
      <c r="G492" s="173"/>
      <c r="H492" s="174"/>
      <c r="I492" s="173" t="e">
        <f>Tabela22[[#This Row],[PESO TOTAL]]/Tabela22[[#This Row],[QUANTIDADE]]</f>
        <v>#DIV/0!</v>
      </c>
      <c r="J492" s="2"/>
      <c r="K492" s="193"/>
      <c r="L492" s="8"/>
      <c r="M492" s="8"/>
      <c r="N492" s="8"/>
      <c r="O492" s="194"/>
      <c r="P492" s="195"/>
    </row>
    <row r="493" spans="1:16">
      <c r="A493" s="3"/>
      <c r="B493" s="3" t="str">
        <f>TEXT(Tabela22345[[#This Row],[DATA]],"mmmm")</f>
        <v>janeiro</v>
      </c>
      <c r="C493" s="2"/>
      <c r="D493" s="2"/>
      <c r="E493" s="2"/>
      <c r="F493" s="2"/>
      <c r="G493" s="173"/>
      <c r="H493" s="174"/>
      <c r="I493" s="173" t="e">
        <f>Tabela22[[#This Row],[PESO TOTAL]]/Tabela22[[#This Row],[QUANTIDADE]]</f>
        <v>#DIV/0!</v>
      </c>
      <c r="J493" s="2"/>
      <c r="K493" s="193"/>
      <c r="L493" s="8"/>
      <c r="M493" s="8"/>
      <c r="N493" s="8"/>
      <c r="O493" s="194"/>
      <c r="P493" s="195"/>
    </row>
    <row r="494" spans="1:16">
      <c r="A494" s="3"/>
      <c r="B494" s="3" t="str">
        <f>TEXT(Tabela22345[[#This Row],[DATA]],"mmmm")</f>
        <v>janeiro</v>
      </c>
      <c r="C494" s="2"/>
      <c r="D494" s="2"/>
      <c r="E494" s="2"/>
      <c r="F494" s="2"/>
      <c r="G494" s="173"/>
      <c r="H494" s="174"/>
      <c r="I494" s="173" t="e">
        <f>Tabela22[[#This Row],[PESO TOTAL]]/Tabela22[[#This Row],[QUANTIDADE]]</f>
        <v>#DIV/0!</v>
      </c>
      <c r="J494" s="2"/>
      <c r="K494" s="193"/>
      <c r="L494" s="8"/>
      <c r="M494" s="8"/>
      <c r="N494" s="8"/>
      <c r="O494" s="194"/>
      <c r="P494" s="195"/>
    </row>
    <row r="495" spans="1:16">
      <c r="A495" s="3"/>
      <c r="B495" s="3" t="str">
        <f>TEXT(Tabela22345[[#This Row],[DATA]],"mmmm")</f>
        <v>janeiro</v>
      </c>
      <c r="C495" s="2"/>
      <c r="D495" s="2"/>
      <c r="E495" s="2"/>
      <c r="F495" s="2"/>
      <c r="G495" s="173"/>
      <c r="H495" s="174"/>
      <c r="I495" s="173" t="e">
        <f>Tabela22[[#This Row],[PESO TOTAL]]/Tabela22[[#This Row],[QUANTIDADE]]</f>
        <v>#DIV/0!</v>
      </c>
      <c r="J495" s="2"/>
      <c r="K495" s="193"/>
      <c r="L495" s="8"/>
      <c r="M495" s="8"/>
      <c r="N495" s="8"/>
      <c r="O495" s="194"/>
      <c r="P495" s="195"/>
    </row>
    <row r="496" spans="1:16">
      <c r="A496" s="3"/>
      <c r="B496" s="3" t="str">
        <f>TEXT(Tabela22345[[#This Row],[DATA]],"mmmm")</f>
        <v>janeiro</v>
      </c>
      <c r="C496" s="2"/>
      <c r="D496" s="2"/>
      <c r="E496" s="2"/>
      <c r="F496" s="2"/>
      <c r="G496" s="173"/>
      <c r="H496" s="174"/>
      <c r="I496" s="173" t="e">
        <f>Tabela22[[#This Row],[PESO TOTAL]]/Tabela22[[#This Row],[QUANTIDADE]]</f>
        <v>#DIV/0!</v>
      </c>
      <c r="J496" s="2"/>
      <c r="K496" s="193"/>
      <c r="L496" s="8"/>
      <c r="M496" s="8"/>
      <c r="N496" s="8"/>
      <c r="O496" s="194"/>
      <c r="P496" s="195"/>
    </row>
    <row r="497" spans="1:16">
      <c r="A497" s="3"/>
      <c r="B497" s="3" t="str">
        <f>TEXT(Tabela22345[[#This Row],[DATA]],"mmmm")</f>
        <v>janeiro</v>
      </c>
      <c r="C497" s="2"/>
      <c r="D497" s="2"/>
      <c r="E497" s="2"/>
      <c r="F497" s="2"/>
      <c r="G497" s="173"/>
      <c r="H497" s="174"/>
      <c r="I497" s="173" t="e">
        <f>Tabela22[[#This Row],[PESO TOTAL]]/Tabela22[[#This Row],[QUANTIDADE]]</f>
        <v>#DIV/0!</v>
      </c>
      <c r="J497" s="2"/>
      <c r="K497" s="193"/>
      <c r="L497" s="8"/>
      <c r="M497" s="8"/>
      <c r="N497" s="8"/>
      <c r="O497" s="194"/>
      <c r="P497" s="195"/>
    </row>
    <row r="498" spans="1:16">
      <c r="A498" s="3"/>
      <c r="B498" s="3" t="str">
        <f>TEXT(Tabela22345[[#This Row],[DATA]],"mmmm")</f>
        <v>janeiro</v>
      </c>
      <c r="C498" s="2"/>
      <c r="D498" s="2"/>
      <c r="E498" s="2"/>
      <c r="F498" s="2"/>
      <c r="G498" s="173"/>
      <c r="H498" s="174"/>
      <c r="I498" s="173" t="e">
        <f>Tabela22[[#This Row],[PESO TOTAL]]/Tabela22[[#This Row],[QUANTIDADE]]</f>
        <v>#DIV/0!</v>
      </c>
      <c r="J498" s="2"/>
      <c r="K498" s="193"/>
      <c r="L498" s="8"/>
      <c r="M498" s="8"/>
      <c r="N498" s="8"/>
      <c r="O498" s="194"/>
      <c r="P498" s="195"/>
    </row>
    <row r="499" spans="1:16">
      <c r="A499" s="3"/>
      <c r="B499" s="3" t="str">
        <f>TEXT(Tabela22345[[#This Row],[DATA]],"mmmm")</f>
        <v>janeiro</v>
      </c>
      <c r="C499" s="2"/>
      <c r="D499" s="2"/>
      <c r="E499" s="2"/>
      <c r="F499" s="2"/>
      <c r="G499" s="173"/>
      <c r="H499" s="174"/>
      <c r="I499" s="173" t="e">
        <f>Tabela22[[#This Row],[PESO TOTAL]]/Tabela22[[#This Row],[QUANTIDADE]]</f>
        <v>#DIV/0!</v>
      </c>
      <c r="J499" s="2"/>
      <c r="K499" s="193"/>
      <c r="L499" s="8"/>
      <c r="M499" s="8"/>
      <c r="N499" s="8"/>
      <c r="O499" s="194"/>
      <c r="P499" s="195"/>
    </row>
    <row r="500" spans="1:16">
      <c r="A500" s="3"/>
      <c r="B500" s="3" t="str">
        <f>TEXT(Tabela22345[[#This Row],[DATA]],"mmmm")</f>
        <v>janeiro</v>
      </c>
      <c r="C500" s="2"/>
      <c r="D500" s="2"/>
      <c r="E500" s="2"/>
      <c r="F500" s="2"/>
      <c r="G500" s="173"/>
      <c r="H500" s="174"/>
      <c r="I500" s="173" t="e">
        <f>Tabela22[[#This Row],[PESO TOTAL]]/Tabela22[[#This Row],[QUANTIDADE]]</f>
        <v>#DIV/0!</v>
      </c>
      <c r="J500" s="2"/>
      <c r="K500" s="193"/>
      <c r="L500" s="8"/>
      <c r="M500" s="8"/>
      <c r="N500" s="8"/>
      <c r="O500" s="194"/>
      <c r="P500" s="195"/>
    </row>
    <row r="501" spans="1:16">
      <c r="A501" s="3"/>
      <c r="B501" s="3" t="str">
        <f>TEXT(Tabela22345[[#This Row],[DATA]],"mmmm")</f>
        <v>janeiro</v>
      </c>
      <c r="C501" s="2"/>
      <c r="D501" s="2"/>
      <c r="E501" s="2"/>
      <c r="F501" s="2"/>
      <c r="G501" s="173"/>
      <c r="H501" s="174"/>
      <c r="I501" s="173" t="e">
        <f>Tabela22[[#This Row],[PESO TOTAL]]/Tabela22[[#This Row],[QUANTIDADE]]</f>
        <v>#DIV/0!</v>
      </c>
      <c r="J501" s="2"/>
      <c r="K501" s="193"/>
      <c r="L501" s="8"/>
      <c r="M501" s="8"/>
      <c r="N501" s="8"/>
      <c r="O501" s="194"/>
      <c r="P501" s="195"/>
    </row>
    <row r="502" spans="1:16">
      <c r="A502" s="3"/>
      <c r="B502" s="3" t="str">
        <f>TEXT(Tabela22345[[#This Row],[DATA]],"mmmm")</f>
        <v>janeiro</v>
      </c>
      <c r="C502" s="2"/>
      <c r="D502" s="2"/>
      <c r="E502" s="2"/>
      <c r="F502" s="2"/>
      <c r="G502" s="173"/>
      <c r="H502" s="174"/>
      <c r="I502" s="173" t="e">
        <f>Tabela22[[#This Row],[PESO TOTAL]]/Tabela22[[#This Row],[QUANTIDADE]]</f>
        <v>#DIV/0!</v>
      </c>
      <c r="J502" s="2"/>
      <c r="K502" s="193"/>
      <c r="L502" s="8"/>
      <c r="M502" s="8"/>
      <c r="N502" s="8"/>
      <c r="O502" s="194"/>
      <c r="P502" s="195"/>
    </row>
    <row r="503" spans="1:16">
      <c r="A503" s="3"/>
      <c r="B503" s="3" t="str">
        <f>TEXT(Tabela22345[[#This Row],[DATA]],"mmmm")</f>
        <v>janeiro</v>
      </c>
      <c r="C503" s="2"/>
      <c r="D503" s="2"/>
      <c r="E503" s="2"/>
      <c r="F503" s="2"/>
      <c r="G503" s="173"/>
      <c r="H503" s="174"/>
      <c r="I503" s="173" t="e">
        <f>Tabela22[[#This Row],[PESO TOTAL]]/Tabela22[[#This Row],[QUANTIDADE]]</f>
        <v>#DIV/0!</v>
      </c>
      <c r="J503" s="2"/>
      <c r="K503" s="193"/>
      <c r="L503" s="8"/>
      <c r="M503" s="8"/>
      <c r="N503" s="8"/>
      <c r="O503" s="194"/>
      <c r="P503" s="195"/>
    </row>
    <row r="504" spans="1:16">
      <c r="A504" s="3"/>
      <c r="B504" s="3" t="str">
        <f>TEXT(Tabela22345[[#This Row],[DATA]],"mmmm")</f>
        <v>janeiro</v>
      </c>
      <c r="C504" s="2"/>
      <c r="D504" s="2"/>
      <c r="E504" s="2"/>
      <c r="F504" s="2"/>
      <c r="G504" s="173"/>
      <c r="H504" s="174"/>
      <c r="I504" s="173" t="e">
        <f>Tabela22[[#This Row],[PESO TOTAL]]/Tabela22[[#This Row],[QUANTIDADE]]</f>
        <v>#DIV/0!</v>
      </c>
      <c r="J504" s="2"/>
      <c r="K504" s="193"/>
      <c r="L504" s="8"/>
      <c r="M504" s="8"/>
      <c r="N504" s="8"/>
      <c r="O504" s="194"/>
      <c r="P504" s="195"/>
    </row>
    <row r="505" spans="1:16">
      <c r="A505" s="3"/>
      <c r="B505" s="3" t="str">
        <f>TEXT(Tabela22345[[#This Row],[DATA]],"mmmm")</f>
        <v>janeiro</v>
      </c>
      <c r="C505" s="2"/>
      <c r="D505" s="2"/>
      <c r="E505" s="2"/>
      <c r="F505" s="2"/>
      <c r="G505" s="173"/>
      <c r="H505" s="174"/>
      <c r="I505" s="173" t="e">
        <f>Tabela22[[#This Row],[PESO TOTAL]]/Tabela22[[#This Row],[QUANTIDADE]]</f>
        <v>#DIV/0!</v>
      </c>
      <c r="J505" s="2"/>
      <c r="K505" s="193"/>
      <c r="L505" s="8"/>
      <c r="M505" s="8"/>
      <c r="N505" s="8"/>
      <c r="O505" s="194"/>
      <c r="P505" s="195"/>
    </row>
    <row r="506" spans="1:16">
      <c r="A506" s="3"/>
      <c r="B506" s="3" t="str">
        <f>TEXT(Tabela22345[[#This Row],[DATA]],"mmmm")</f>
        <v>janeiro</v>
      </c>
      <c r="C506" s="2"/>
      <c r="D506" s="2"/>
      <c r="E506" s="2"/>
      <c r="F506" s="2"/>
      <c r="G506" s="173"/>
      <c r="H506" s="174"/>
      <c r="I506" s="173" t="e">
        <f>Tabela22[[#This Row],[PESO TOTAL]]/Tabela22[[#This Row],[QUANTIDADE]]</f>
        <v>#DIV/0!</v>
      </c>
      <c r="J506" s="2"/>
      <c r="K506" s="193"/>
      <c r="L506" s="8"/>
      <c r="M506" s="8"/>
      <c r="N506" s="8"/>
      <c r="O506" s="194"/>
      <c r="P506" s="195"/>
    </row>
    <row r="507" spans="1:16">
      <c r="A507" s="3"/>
      <c r="B507" s="3" t="str">
        <f>TEXT(Tabela22345[[#This Row],[DATA]],"mmmm")</f>
        <v>janeiro</v>
      </c>
      <c r="C507" s="2"/>
      <c r="D507" s="2"/>
      <c r="E507" s="2"/>
      <c r="F507" s="2"/>
      <c r="G507" s="173"/>
      <c r="H507" s="174"/>
      <c r="I507" s="173" t="e">
        <f>Tabela22[[#This Row],[PESO TOTAL]]/Tabela22[[#This Row],[QUANTIDADE]]</f>
        <v>#DIV/0!</v>
      </c>
      <c r="J507" s="2"/>
      <c r="K507" s="193"/>
      <c r="L507" s="8"/>
      <c r="M507" s="8"/>
      <c r="N507" s="8"/>
      <c r="O507" s="194"/>
      <c r="P507" s="195"/>
    </row>
    <row r="508" spans="1:16">
      <c r="A508" s="3"/>
      <c r="B508" s="3" t="str">
        <f>TEXT(Tabela22345[[#This Row],[DATA]],"mmmm")</f>
        <v>janeiro</v>
      </c>
      <c r="C508" s="2"/>
      <c r="D508" s="2"/>
      <c r="E508" s="2"/>
      <c r="F508" s="2"/>
      <c r="G508" s="173"/>
      <c r="H508" s="174"/>
      <c r="I508" s="173" t="e">
        <f>Tabela22[[#This Row],[PESO TOTAL]]/Tabela22[[#This Row],[QUANTIDADE]]</f>
        <v>#DIV/0!</v>
      </c>
      <c r="J508" s="2"/>
      <c r="K508" s="193"/>
      <c r="L508" s="8"/>
      <c r="M508" s="8"/>
      <c r="N508" s="8"/>
      <c r="O508" s="194"/>
      <c r="P508" s="195"/>
    </row>
    <row r="509" spans="1:16">
      <c r="A509" s="3"/>
      <c r="B509" s="3" t="str">
        <f>TEXT(Tabela22345[[#This Row],[DATA]],"mmmm")</f>
        <v>janeiro</v>
      </c>
      <c r="C509" s="2"/>
      <c r="D509" s="2"/>
      <c r="E509" s="2"/>
      <c r="F509" s="2"/>
      <c r="G509" s="173"/>
      <c r="H509" s="174"/>
      <c r="I509" s="173" t="e">
        <f>Tabela22[[#This Row],[PESO TOTAL]]/Tabela22[[#This Row],[QUANTIDADE]]</f>
        <v>#DIV/0!</v>
      </c>
      <c r="J509" s="2"/>
      <c r="K509" s="193"/>
      <c r="L509" s="8"/>
      <c r="M509" s="8"/>
      <c r="N509" s="8"/>
      <c r="O509" s="194"/>
      <c r="P509" s="195"/>
    </row>
    <row r="510" spans="1:16">
      <c r="A510" s="3"/>
      <c r="B510" s="3" t="str">
        <f>TEXT(Tabela22345[[#This Row],[DATA]],"mmmm")</f>
        <v>janeiro</v>
      </c>
      <c r="C510" s="2"/>
      <c r="D510" s="2"/>
      <c r="E510" s="2"/>
      <c r="F510" s="2"/>
      <c r="G510" s="173"/>
      <c r="H510" s="174"/>
      <c r="I510" s="173" t="e">
        <f>Tabela22[[#This Row],[PESO TOTAL]]/Tabela22[[#This Row],[QUANTIDADE]]</f>
        <v>#DIV/0!</v>
      </c>
      <c r="J510" s="2"/>
      <c r="K510" s="193"/>
      <c r="L510" s="8"/>
      <c r="M510" s="8"/>
      <c r="N510" s="8"/>
      <c r="O510" s="194"/>
      <c r="P510" s="195"/>
    </row>
    <row r="511" spans="1:16">
      <c r="A511" s="3"/>
      <c r="B511" s="3" t="str">
        <f>TEXT(Tabela22345[[#This Row],[DATA]],"mmmm")</f>
        <v>janeiro</v>
      </c>
      <c r="C511" s="2"/>
      <c r="D511" s="2"/>
      <c r="E511" s="2"/>
      <c r="F511" s="2"/>
      <c r="G511" s="173"/>
      <c r="H511" s="174"/>
      <c r="I511" s="173" t="e">
        <f>Tabela22[[#This Row],[PESO TOTAL]]/Tabela22[[#This Row],[QUANTIDADE]]</f>
        <v>#DIV/0!</v>
      </c>
      <c r="J511" s="2"/>
      <c r="K511" s="193"/>
      <c r="L511" s="8"/>
      <c r="M511" s="8"/>
      <c r="N511" s="8"/>
      <c r="O511" s="194"/>
      <c r="P511" s="195"/>
    </row>
    <row r="512" spans="1:16">
      <c r="A512" s="3"/>
      <c r="B512" s="3" t="str">
        <f>TEXT(Tabela22345[[#This Row],[DATA]],"mmmm")</f>
        <v>janeiro</v>
      </c>
      <c r="C512" s="2"/>
      <c r="D512" s="2"/>
      <c r="E512" s="2"/>
      <c r="F512" s="2"/>
      <c r="G512" s="173"/>
      <c r="H512" s="174"/>
      <c r="I512" s="173" t="e">
        <f>Tabela22[[#This Row],[PESO TOTAL]]/Tabela22[[#This Row],[QUANTIDADE]]</f>
        <v>#DIV/0!</v>
      </c>
      <c r="J512" s="2"/>
      <c r="K512" s="193"/>
      <c r="L512" s="8"/>
      <c r="M512" s="8"/>
      <c r="N512" s="8"/>
      <c r="O512" s="194"/>
      <c r="P512" s="195"/>
    </row>
    <row r="513" spans="1:16">
      <c r="A513" s="3"/>
      <c r="B513" s="3" t="str">
        <f>TEXT(Tabela22345[[#This Row],[DATA]],"mmmm")</f>
        <v>janeiro</v>
      </c>
      <c r="C513" s="2"/>
      <c r="D513" s="2"/>
      <c r="E513" s="2"/>
      <c r="F513" s="2"/>
      <c r="G513" s="173"/>
      <c r="H513" s="174"/>
      <c r="I513" s="173" t="e">
        <f>Tabela22[[#This Row],[PESO TOTAL]]/Tabela22[[#This Row],[QUANTIDADE]]</f>
        <v>#DIV/0!</v>
      </c>
      <c r="J513" s="2"/>
      <c r="K513" s="193"/>
      <c r="L513" s="8"/>
      <c r="M513" s="8"/>
      <c r="N513" s="8"/>
      <c r="O513" s="194"/>
      <c r="P513" s="195"/>
    </row>
    <row r="514" spans="1:16">
      <c r="A514" s="3"/>
      <c r="B514" s="3" t="str">
        <f>TEXT(Tabela22345[[#This Row],[DATA]],"mmmm")</f>
        <v>janeiro</v>
      </c>
      <c r="C514" s="2"/>
      <c r="D514" s="2"/>
      <c r="E514" s="2"/>
      <c r="F514" s="2"/>
      <c r="G514" s="173"/>
      <c r="H514" s="174"/>
      <c r="I514" s="173" t="e">
        <f>Tabela22[[#This Row],[PESO TOTAL]]/Tabela22[[#This Row],[QUANTIDADE]]</f>
        <v>#DIV/0!</v>
      </c>
      <c r="J514" s="2"/>
      <c r="K514" s="193"/>
      <c r="L514" s="8"/>
      <c r="M514" s="8"/>
      <c r="N514" s="8"/>
      <c r="O514" s="194"/>
      <c r="P514" s="195"/>
    </row>
    <row r="515" spans="1:16">
      <c r="A515" s="3"/>
      <c r="B515" s="3" t="str">
        <f>TEXT(Tabela22345[[#This Row],[DATA]],"mmmm")</f>
        <v>janeiro</v>
      </c>
      <c r="C515" s="2"/>
      <c r="D515" s="2"/>
      <c r="E515" s="2"/>
      <c r="F515" s="2"/>
      <c r="G515" s="173"/>
      <c r="H515" s="174"/>
      <c r="I515" s="173" t="e">
        <f>Tabela22[[#This Row],[PESO TOTAL]]/Tabela22[[#This Row],[QUANTIDADE]]</f>
        <v>#DIV/0!</v>
      </c>
      <c r="J515" s="2"/>
      <c r="K515" s="193"/>
      <c r="L515" s="8"/>
      <c r="M515" s="8"/>
      <c r="N515" s="8"/>
      <c r="O515" s="194"/>
      <c r="P515" s="195"/>
    </row>
    <row r="516" spans="1:16">
      <c r="A516" s="3"/>
      <c r="B516" s="3" t="str">
        <f>TEXT(Tabela22345[[#This Row],[DATA]],"mmmm")</f>
        <v>janeiro</v>
      </c>
      <c r="C516" s="2"/>
      <c r="D516" s="2"/>
      <c r="E516" s="2"/>
      <c r="F516" s="2"/>
      <c r="G516" s="173"/>
      <c r="H516" s="174"/>
      <c r="I516" s="173" t="e">
        <f>Tabela22[[#This Row],[PESO TOTAL]]/Tabela22[[#This Row],[QUANTIDADE]]</f>
        <v>#DIV/0!</v>
      </c>
      <c r="J516" s="2"/>
      <c r="K516" s="193"/>
      <c r="L516" s="8"/>
      <c r="M516" s="8"/>
      <c r="N516" s="8"/>
      <c r="O516" s="194"/>
      <c r="P516" s="195"/>
    </row>
    <row r="517" spans="1:16">
      <c r="A517" s="3"/>
      <c r="B517" s="3" t="str">
        <f>TEXT(Tabela22345[[#This Row],[DATA]],"mmmm")</f>
        <v>janeiro</v>
      </c>
      <c r="C517" s="2"/>
      <c r="D517" s="2"/>
      <c r="E517" s="2"/>
      <c r="F517" s="2"/>
      <c r="G517" s="173"/>
      <c r="H517" s="174"/>
      <c r="I517" s="173" t="e">
        <f>Tabela22[[#This Row],[PESO TOTAL]]/Tabela22[[#This Row],[QUANTIDADE]]</f>
        <v>#DIV/0!</v>
      </c>
      <c r="J517" s="2"/>
      <c r="K517" s="193"/>
      <c r="L517" s="8"/>
      <c r="M517" s="8"/>
      <c r="N517" s="8"/>
      <c r="O517" s="194"/>
      <c r="P517" s="195"/>
    </row>
    <row r="518" spans="1:16">
      <c r="A518" s="3"/>
      <c r="B518" s="3" t="str">
        <f>TEXT(Tabela22345[[#This Row],[DATA]],"mmmm")</f>
        <v>janeiro</v>
      </c>
      <c r="C518" s="2"/>
      <c r="D518" s="2"/>
      <c r="E518" s="2"/>
      <c r="F518" s="2"/>
      <c r="G518" s="173"/>
      <c r="H518" s="174"/>
      <c r="I518" s="173" t="e">
        <f>Tabela22[[#This Row],[PESO TOTAL]]/Tabela22[[#This Row],[QUANTIDADE]]</f>
        <v>#DIV/0!</v>
      </c>
      <c r="J518" s="2"/>
      <c r="K518" s="193"/>
      <c r="L518" s="8"/>
      <c r="M518" s="8"/>
      <c r="N518" s="8"/>
      <c r="O518" s="194"/>
      <c r="P518" s="195"/>
    </row>
    <row r="519" spans="1:16">
      <c r="A519" s="3"/>
      <c r="B519" s="3" t="str">
        <f>TEXT(Tabela22345[[#This Row],[DATA]],"mmmm")</f>
        <v>janeiro</v>
      </c>
      <c r="C519" s="2"/>
      <c r="D519" s="2"/>
      <c r="E519" s="2"/>
      <c r="F519" s="2"/>
      <c r="G519" s="173"/>
      <c r="H519" s="174"/>
      <c r="I519" s="173" t="e">
        <f>Tabela22[[#This Row],[PESO TOTAL]]/Tabela22[[#This Row],[QUANTIDADE]]</f>
        <v>#DIV/0!</v>
      </c>
      <c r="J519" s="2"/>
      <c r="K519" s="193"/>
      <c r="L519" s="8"/>
      <c r="M519" s="8"/>
      <c r="N519" s="8"/>
      <c r="O519" s="194"/>
      <c r="P519" s="195"/>
    </row>
    <row r="520" spans="1:16">
      <c r="A520" s="3"/>
      <c r="B520" s="3" t="str">
        <f>TEXT(Tabela22345[[#This Row],[DATA]],"mmmm")</f>
        <v>janeiro</v>
      </c>
      <c r="C520" s="2"/>
      <c r="D520" s="2"/>
      <c r="E520" s="2"/>
      <c r="F520" s="2"/>
      <c r="G520" s="173"/>
      <c r="H520" s="174"/>
      <c r="I520" s="173" t="e">
        <f>Tabela22[[#This Row],[PESO TOTAL]]/Tabela22[[#This Row],[QUANTIDADE]]</f>
        <v>#DIV/0!</v>
      </c>
      <c r="J520" s="2"/>
      <c r="K520" s="193"/>
      <c r="L520" s="8"/>
      <c r="M520" s="8"/>
      <c r="N520" s="8"/>
      <c r="O520" s="194"/>
      <c r="P520" s="195"/>
    </row>
    <row r="521" spans="1:16">
      <c r="A521" s="3"/>
      <c r="B521" s="3" t="str">
        <f>TEXT(Tabela22345[[#This Row],[DATA]],"mmmm")</f>
        <v>janeiro</v>
      </c>
      <c r="C521" s="2"/>
      <c r="D521" s="2"/>
      <c r="E521" s="2"/>
      <c r="F521" s="2"/>
      <c r="G521" s="173"/>
      <c r="H521" s="174"/>
      <c r="I521" s="173" t="e">
        <f>Tabela22[[#This Row],[PESO TOTAL]]/Tabela22[[#This Row],[QUANTIDADE]]</f>
        <v>#DIV/0!</v>
      </c>
      <c r="J521" s="2"/>
      <c r="K521" s="193"/>
      <c r="L521" s="8"/>
      <c r="M521" s="8"/>
      <c r="N521" s="8"/>
      <c r="O521" s="194"/>
      <c r="P521" s="195"/>
    </row>
    <row r="522" spans="1:16">
      <c r="A522" s="3"/>
      <c r="B522" s="3" t="str">
        <f>TEXT(Tabela22345[[#This Row],[DATA]],"mmmm")</f>
        <v>janeiro</v>
      </c>
      <c r="C522" s="2"/>
      <c r="D522" s="2"/>
      <c r="E522" s="2"/>
      <c r="F522" s="2"/>
      <c r="G522" s="173"/>
      <c r="H522" s="174"/>
      <c r="I522" s="173" t="e">
        <f>Tabela22[[#This Row],[PESO TOTAL]]/Tabela22[[#This Row],[QUANTIDADE]]</f>
        <v>#DIV/0!</v>
      </c>
      <c r="J522" s="2"/>
      <c r="K522" s="193"/>
      <c r="L522" s="8"/>
      <c r="M522" s="8"/>
      <c r="N522" s="8"/>
      <c r="O522" s="194"/>
      <c r="P522" s="195"/>
    </row>
    <row r="523" spans="1:16">
      <c r="A523" s="3"/>
      <c r="B523" s="3" t="str">
        <f>TEXT(Tabela22345[[#This Row],[DATA]],"mmmm")</f>
        <v>janeiro</v>
      </c>
      <c r="C523" s="2"/>
      <c r="D523" s="2"/>
      <c r="E523" s="2"/>
      <c r="F523" s="2"/>
      <c r="G523" s="173"/>
      <c r="H523" s="174"/>
      <c r="I523" s="173" t="e">
        <f>Tabela22[[#This Row],[PESO TOTAL]]/Tabela22[[#This Row],[QUANTIDADE]]</f>
        <v>#DIV/0!</v>
      </c>
      <c r="J523" s="2"/>
      <c r="K523" s="193"/>
      <c r="L523" s="8"/>
      <c r="M523" s="8"/>
      <c r="N523" s="8"/>
      <c r="O523" s="194"/>
      <c r="P523" s="195"/>
    </row>
    <row r="524" spans="1:16">
      <c r="A524" s="3"/>
      <c r="B524" s="3" t="str">
        <f>TEXT(Tabela22345[[#This Row],[DATA]],"mmmm")</f>
        <v>janeiro</v>
      </c>
      <c r="C524" s="2"/>
      <c r="D524" s="2"/>
      <c r="E524" s="2"/>
      <c r="F524" s="2"/>
      <c r="G524" s="173"/>
      <c r="H524" s="174"/>
      <c r="I524" s="173" t="e">
        <f>Tabela22[[#This Row],[PESO TOTAL]]/Tabela22[[#This Row],[QUANTIDADE]]</f>
        <v>#DIV/0!</v>
      </c>
      <c r="J524" s="2"/>
      <c r="K524" s="193"/>
      <c r="L524" s="8"/>
      <c r="M524" s="8"/>
      <c r="N524" s="8"/>
      <c r="O524" s="194"/>
      <c r="P524" s="195"/>
    </row>
    <row r="525" spans="1:16">
      <c r="A525" s="3"/>
      <c r="B525" s="3" t="str">
        <f>TEXT(Tabela22345[[#This Row],[DATA]],"mmmm")</f>
        <v>janeiro</v>
      </c>
      <c r="C525" s="2"/>
      <c r="D525" s="2"/>
      <c r="E525" s="2"/>
      <c r="F525" s="2"/>
      <c r="G525" s="173"/>
      <c r="H525" s="174"/>
      <c r="I525" s="173" t="e">
        <f>Tabela22[[#This Row],[PESO TOTAL]]/Tabela22[[#This Row],[QUANTIDADE]]</f>
        <v>#DIV/0!</v>
      </c>
      <c r="J525" s="2"/>
      <c r="K525" s="193"/>
      <c r="L525" s="8"/>
      <c r="M525" s="8"/>
      <c r="N525" s="8"/>
      <c r="O525" s="194"/>
      <c r="P525" s="195"/>
    </row>
    <row r="526" spans="1:16">
      <c r="A526" s="3"/>
      <c r="B526" s="3" t="str">
        <f>TEXT(Tabela22345[[#This Row],[DATA]],"mmmm")</f>
        <v>janeiro</v>
      </c>
      <c r="C526" s="2"/>
      <c r="D526" s="2"/>
      <c r="E526" s="2"/>
      <c r="F526" s="2"/>
      <c r="G526" s="173"/>
      <c r="H526" s="174"/>
      <c r="I526" s="173" t="e">
        <f>Tabela22[[#This Row],[PESO TOTAL]]/Tabela22[[#This Row],[QUANTIDADE]]</f>
        <v>#DIV/0!</v>
      </c>
      <c r="J526" s="2"/>
      <c r="K526" s="193"/>
      <c r="L526" s="8"/>
      <c r="M526" s="8"/>
      <c r="N526" s="8"/>
      <c r="O526" s="194"/>
      <c r="P526" s="195"/>
    </row>
    <row r="527" spans="1:16">
      <c r="A527" s="3"/>
      <c r="B527" s="3" t="str">
        <f>TEXT(Tabela22345[[#This Row],[DATA]],"mmmm")</f>
        <v>janeiro</v>
      </c>
      <c r="C527" s="2"/>
      <c r="D527" s="2"/>
      <c r="E527" s="2"/>
      <c r="F527" s="2"/>
      <c r="G527" s="173"/>
      <c r="H527" s="174"/>
      <c r="I527" s="173" t="e">
        <f>Tabela22[[#This Row],[PESO TOTAL]]/Tabela22[[#This Row],[QUANTIDADE]]</f>
        <v>#DIV/0!</v>
      </c>
      <c r="J527" s="2"/>
      <c r="K527" s="193"/>
      <c r="L527" s="8"/>
      <c r="M527" s="8"/>
      <c r="N527" s="8"/>
      <c r="O527" s="194"/>
      <c r="P527" s="195"/>
    </row>
    <row r="528" spans="1:16">
      <c r="A528" s="3"/>
      <c r="B528" s="3" t="str">
        <f>TEXT(Tabela22345[[#This Row],[DATA]],"mmmm")</f>
        <v>janeiro</v>
      </c>
      <c r="C528" s="2"/>
      <c r="D528" s="2"/>
      <c r="E528" s="2"/>
      <c r="F528" s="2"/>
      <c r="G528" s="173"/>
      <c r="H528" s="174"/>
      <c r="I528" s="173" t="e">
        <f>Tabela22[[#This Row],[PESO TOTAL]]/Tabela22[[#This Row],[QUANTIDADE]]</f>
        <v>#DIV/0!</v>
      </c>
      <c r="J528" s="2"/>
      <c r="K528" s="193"/>
      <c r="L528" s="8"/>
      <c r="M528" s="8"/>
      <c r="N528" s="8"/>
      <c r="O528" s="194"/>
      <c r="P528" s="195"/>
    </row>
    <row r="529" spans="1:16">
      <c r="A529" s="3"/>
      <c r="B529" s="3" t="str">
        <f>TEXT(Tabela22345[[#This Row],[DATA]],"mmmm")</f>
        <v>janeiro</v>
      </c>
      <c r="C529" s="2"/>
      <c r="D529" s="2"/>
      <c r="E529" s="2"/>
      <c r="F529" s="2"/>
      <c r="G529" s="173"/>
      <c r="H529" s="174"/>
      <c r="I529" s="173" t="e">
        <f>Tabela22[[#This Row],[PESO TOTAL]]/Tabela22[[#This Row],[QUANTIDADE]]</f>
        <v>#DIV/0!</v>
      </c>
      <c r="J529" s="2"/>
      <c r="K529" s="193"/>
      <c r="L529" s="8"/>
      <c r="M529" s="8"/>
      <c r="N529" s="8"/>
      <c r="O529" s="194"/>
      <c r="P529" s="195"/>
    </row>
    <row r="530" spans="1:16">
      <c r="A530" s="3"/>
      <c r="B530" s="3" t="str">
        <f>TEXT(Tabela22345[[#This Row],[DATA]],"mmmm")</f>
        <v>janeiro</v>
      </c>
      <c r="C530" s="2"/>
      <c r="D530" s="2"/>
      <c r="E530" s="2"/>
      <c r="F530" s="2"/>
      <c r="G530" s="173"/>
      <c r="H530" s="174"/>
      <c r="I530" s="173" t="e">
        <f>Tabela22[[#This Row],[PESO TOTAL]]/Tabela22[[#This Row],[QUANTIDADE]]</f>
        <v>#DIV/0!</v>
      </c>
      <c r="J530" s="2"/>
      <c r="K530" s="193"/>
      <c r="L530" s="8"/>
      <c r="M530" s="8"/>
      <c r="N530" s="8"/>
      <c r="O530" s="194"/>
      <c r="P530" s="195"/>
    </row>
    <row r="531" spans="1:16">
      <c r="A531" s="3"/>
      <c r="B531" s="3" t="str">
        <f>TEXT(Tabela22345[[#This Row],[DATA]],"mmmm")</f>
        <v>janeiro</v>
      </c>
      <c r="C531" s="2"/>
      <c r="D531" s="2"/>
      <c r="E531" s="2"/>
      <c r="F531" s="2"/>
      <c r="G531" s="173"/>
      <c r="H531" s="174"/>
      <c r="I531" s="173" t="e">
        <f>Tabela22[[#This Row],[PESO TOTAL]]/Tabela22[[#This Row],[QUANTIDADE]]</f>
        <v>#DIV/0!</v>
      </c>
      <c r="J531" s="2"/>
      <c r="K531" s="193"/>
      <c r="L531" s="8"/>
      <c r="M531" s="8"/>
      <c r="N531" s="8"/>
      <c r="O531" s="194"/>
      <c r="P531" s="195"/>
    </row>
    <row r="532" spans="1:16">
      <c r="A532" s="3"/>
      <c r="B532" s="3" t="str">
        <f>TEXT(Tabela22345[[#This Row],[DATA]],"mmmm")</f>
        <v>janeiro</v>
      </c>
      <c r="C532" s="2"/>
      <c r="D532" s="2"/>
      <c r="E532" s="2"/>
      <c r="F532" s="2"/>
      <c r="G532" s="173"/>
      <c r="H532" s="174"/>
      <c r="I532" s="173" t="e">
        <f>Tabela22[[#This Row],[PESO TOTAL]]/Tabela22[[#This Row],[QUANTIDADE]]</f>
        <v>#DIV/0!</v>
      </c>
      <c r="J532" s="2"/>
      <c r="K532" s="193"/>
      <c r="L532" s="8"/>
      <c r="M532" s="8"/>
      <c r="N532" s="8"/>
      <c r="O532" s="194"/>
      <c r="P532" s="195"/>
    </row>
    <row r="533" spans="1:16">
      <c r="A533" s="3"/>
      <c r="B533" s="3" t="str">
        <f>TEXT(Tabela22345[[#This Row],[DATA]],"mmmm")</f>
        <v>janeiro</v>
      </c>
      <c r="C533" s="2"/>
      <c r="D533" s="2"/>
      <c r="E533" s="2"/>
      <c r="F533" s="2"/>
      <c r="G533" s="173"/>
      <c r="H533" s="174"/>
      <c r="I533" s="173" t="e">
        <f>Tabela22[[#This Row],[PESO TOTAL]]/Tabela22[[#This Row],[QUANTIDADE]]</f>
        <v>#DIV/0!</v>
      </c>
      <c r="J533" s="2"/>
      <c r="K533" s="193"/>
      <c r="L533" s="8"/>
      <c r="M533" s="8"/>
      <c r="N533" s="8"/>
      <c r="O533" s="194"/>
      <c r="P533" s="195"/>
    </row>
    <row r="534" spans="1:16">
      <c r="A534" s="3"/>
      <c r="B534" s="3" t="str">
        <f>TEXT(Tabela22345[[#This Row],[DATA]],"mmmm")</f>
        <v>janeiro</v>
      </c>
      <c r="C534" s="2"/>
      <c r="D534" s="2"/>
      <c r="E534" s="2"/>
      <c r="F534" s="2"/>
      <c r="G534" s="173"/>
      <c r="H534" s="174"/>
      <c r="I534" s="173" t="e">
        <f>Tabela22[[#This Row],[PESO TOTAL]]/Tabela22[[#This Row],[QUANTIDADE]]</f>
        <v>#DIV/0!</v>
      </c>
      <c r="J534" s="2"/>
      <c r="K534" s="193"/>
      <c r="L534" s="8"/>
      <c r="M534" s="8"/>
      <c r="N534" s="8"/>
      <c r="O534" s="194"/>
      <c r="P534" s="195"/>
    </row>
    <row r="535" spans="1:16">
      <c r="A535" s="3"/>
      <c r="B535" s="3" t="str">
        <f>TEXT(Tabela22345[[#This Row],[DATA]],"mmmm")</f>
        <v>janeiro</v>
      </c>
      <c r="C535" s="2"/>
      <c r="D535" s="2"/>
      <c r="E535" s="2"/>
      <c r="F535" s="2"/>
      <c r="G535" s="173"/>
      <c r="H535" s="174"/>
      <c r="I535" s="173" t="e">
        <f>Tabela22[[#This Row],[PESO TOTAL]]/Tabela22[[#This Row],[QUANTIDADE]]</f>
        <v>#DIV/0!</v>
      </c>
      <c r="J535" s="2"/>
      <c r="K535" s="193"/>
      <c r="L535" s="8"/>
      <c r="M535" s="8"/>
      <c r="N535" s="8"/>
      <c r="O535" s="194"/>
      <c r="P535" s="195"/>
    </row>
    <row r="536" spans="1:16">
      <c r="A536" s="3"/>
      <c r="B536" s="3" t="str">
        <f>TEXT(Tabela22345[[#This Row],[DATA]],"mmmm")</f>
        <v>janeiro</v>
      </c>
      <c r="C536" s="2"/>
      <c r="D536" s="2"/>
      <c r="E536" s="2"/>
      <c r="F536" s="2"/>
      <c r="G536" s="173"/>
      <c r="H536" s="174"/>
      <c r="I536" s="173" t="e">
        <f>Tabela22[[#This Row],[PESO TOTAL]]/Tabela22[[#This Row],[QUANTIDADE]]</f>
        <v>#DIV/0!</v>
      </c>
      <c r="J536" s="2"/>
      <c r="K536" s="193"/>
      <c r="L536" s="8"/>
      <c r="M536" s="8"/>
      <c r="N536" s="8"/>
      <c r="O536" s="194"/>
      <c r="P536" s="195"/>
    </row>
    <row r="537" spans="1:16">
      <c r="A537" s="3"/>
      <c r="B537" s="3" t="str">
        <f>TEXT(Tabela22345[[#This Row],[DATA]],"mmmm")</f>
        <v>janeiro</v>
      </c>
      <c r="C537" s="2"/>
      <c r="D537" s="2"/>
      <c r="E537" s="2"/>
      <c r="F537" s="2"/>
      <c r="G537" s="173"/>
      <c r="H537" s="174"/>
      <c r="I537" s="173" t="e">
        <f>Tabela22[[#This Row],[PESO TOTAL]]/Tabela22[[#This Row],[QUANTIDADE]]</f>
        <v>#DIV/0!</v>
      </c>
      <c r="J537" s="2"/>
      <c r="K537" s="193"/>
      <c r="L537" s="8"/>
      <c r="M537" s="8"/>
      <c r="N537" s="8"/>
      <c r="O537" s="194"/>
      <c r="P537" s="195"/>
    </row>
    <row r="538" spans="1:16">
      <c r="A538" s="3"/>
      <c r="B538" s="3" t="str">
        <f>TEXT(Tabela22345[[#This Row],[DATA]],"mmmm")</f>
        <v>janeiro</v>
      </c>
      <c r="C538" s="2"/>
      <c r="D538" s="2"/>
      <c r="E538" s="2"/>
      <c r="F538" s="2"/>
      <c r="G538" s="173"/>
      <c r="H538" s="174"/>
      <c r="I538" s="173" t="e">
        <f>Tabela22[[#This Row],[PESO TOTAL]]/Tabela22[[#This Row],[QUANTIDADE]]</f>
        <v>#DIV/0!</v>
      </c>
      <c r="J538" s="2"/>
      <c r="K538" s="193"/>
      <c r="L538" s="8"/>
      <c r="M538" s="8"/>
      <c r="N538" s="8"/>
      <c r="O538" s="194"/>
      <c r="P538" s="195"/>
    </row>
    <row r="539" spans="1:16">
      <c r="A539" s="3"/>
      <c r="B539" s="3" t="str">
        <f>TEXT(Tabela22345[[#This Row],[DATA]],"mmmm")</f>
        <v>janeiro</v>
      </c>
      <c r="C539" s="2"/>
      <c r="D539" s="2"/>
      <c r="E539" s="2"/>
      <c r="F539" s="2"/>
      <c r="G539" s="173"/>
      <c r="H539" s="174"/>
      <c r="I539" s="173" t="e">
        <f>Tabela22[[#This Row],[PESO TOTAL]]/Tabela22[[#This Row],[QUANTIDADE]]</f>
        <v>#DIV/0!</v>
      </c>
      <c r="J539" s="2"/>
      <c r="K539" s="193"/>
      <c r="L539" s="8"/>
      <c r="M539" s="8"/>
      <c r="N539" s="8"/>
      <c r="O539" s="194"/>
      <c r="P539" s="195"/>
    </row>
    <row r="540" spans="1:16">
      <c r="A540" s="3"/>
      <c r="B540" s="3" t="str">
        <f>TEXT(Tabela22345[[#This Row],[DATA]],"mmmm")</f>
        <v>janeiro</v>
      </c>
      <c r="C540" s="2"/>
      <c r="D540" s="2"/>
      <c r="E540" s="2"/>
      <c r="F540" s="2"/>
      <c r="G540" s="173"/>
      <c r="H540" s="174"/>
      <c r="I540" s="173" t="e">
        <f>Tabela22[[#This Row],[PESO TOTAL]]/Tabela22[[#This Row],[QUANTIDADE]]</f>
        <v>#DIV/0!</v>
      </c>
      <c r="J540" s="2"/>
      <c r="K540" s="193"/>
      <c r="L540" s="8"/>
      <c r="M540" s="8"/>
      <c r="N540" s="8"/>
      <c r="O540" s="194"/>
      <c r="P540" s="195"/>
    </row>
    <row r="541" spans="1:16">
      <c r="A541" s="3"/>
      <c r="B541" s="3" t="str">
        <f>TEXT(Tabela22345[[#This Row],[DATA]],"mmmm")</f>
        <v>janeiro</v>
      </c>
      <c r="C541" s="2"/>
      <c r="D541" s="2"/>
      <c r="E541" s="2"/>
      <c r="F541" s="2"/>
      <c r="G541" s="173"/>
      <c r="H541" s="174"/>
      <c r="I541" s="173" t="e">
        <f>Tabela22[[#This Row],[PESO TOTAL]]/Tabela22[[#This Row],[QUANTIDADE]]</f>
        <v>#DIV/0!</v>
      </c>
      <c r="J541" s="2"/>
      <c r="K541" s="193"/>
      <c r="L541" s="8"/>
      <c r="M541" s="8"/>
      <c r="N541" s="8"/>
      <c r="O541" s="194"/>
      <c r="P541" s="195"/>
    </row>
    <row r="542" spans="1:16">
      <c r="A542" s="3"/>
      <c r="B542" s="3" t="str">
        <f>TEXT(Tabela22345[[#This Row],[DATA]],"mmmm")</f>
        <v>janeiro</v>
      </c>
      <c r="C542" s="2"/>
      <c r="D542" s="2"/>
      <c r="E542" s="2"/>
      <c r="F542" s="2"/>
      <c r="G542" s="173"/>
      <c r="H542" s="174"/>
      <c r="I542" s="173" t="e">
        <f>Tabela22[[#This Row],[PESO TOTAL]]/Tabela22[[#This Row],[QUANTIDADE]]</f>
        <v>#DIV/0!</v>
      </c>
      <c r="J542" s="2"/>
      <c r="K542" s="193"/>
      <c r="L542" s="8"/>
      <c r="M542" s="8"/>
      <c r="N542" s="8"/>
      <c r="O542" s="194"/>
      <c r="P542" s="195"/>
    </row>
    <row r="543" spans="1:16">
      <c r="A543" s="3"/>
      <c r="B543" s="3" t="str">
        <f>TEXT(Tabela22345[[#This Row],[DATA]],"mmmm")</f>
        <v>janeiro</v>
      </c>
      <c r="C543" s="2"/>
      <c r="D543" s="2"/>
      <c r="E543" s="2"/>
      <c r="F543" s="2"/>
      <c r="G543" s="173"/>
      <c r="H543" s="174"/>
      <c r="I543" s="173" t="e">
        <f>Tabela22[[#This Row],[PESO TOTAL]]/Tabela22[[#This Row],[QUANTIDADE]]</f>
        <v>#DIV/0!</v>
      </c>
      <c r="J543" s="2"/>
      <c r="K543" s="193"/>
      <c r="L543" s="8"/>
      <c r="M543" s="8"/>
      <c r="N543" s="8"/>
      <c r="O543" s="194"/>
      <c r="P543" s="195"/>
    </row>
    <row r="544" spans="1:16">
      <c r="A544" s="3"/>
      <c r="B544" s="3" t="str">
        <f>TEXT(Tabela22345[[#This Row],[DATA]],"mmmm")</f>
        <v>janeiro</v>
      </c>
      <c r="C544" s="2"/>
      <c r="D544" s="2"/>
      <c r="E544" s="2"/>
      <c r="F544" s="2"/>
      <c r="G544" s="173"/>
      <c r="H544" s="174"/>
      <c r="I544" s="173" t="e">
        <f>Tabela22[[#This Row],[PESO TOTAL]]/Tabela22[[#This Row],[QUANTIDADE]]</f>
        <v>#DIV/0!</v>
      </c>
      <c r="J544" s="2"/>
      <c r="K544" s="193"/>
      <c r="L544" s="8"/>
      <c r="M544" s="8"/>
      <c r="N544" s="8"/>
      <c r="O544" s="194"/>
      <c r="P544" s="195"/>
    </row>
    <row r="545" spans="1:16">
      <c r="A545" s="3"/>
      <c r="B545" s="3" t="str">
        <f>TEXT(Tabela22345[[#This Row],[DATA]],"mmmm")</f>
        <v>janeiro</v>
      </c>
      <c r="C545" s="2"/>
      <c r="D545" s="2"/>
      <c r="E545" s="2"/>
      <c r="F545" s="2"/>
      <c r="G545" s="173"/>
      <c r="H545" s="174"/>
      <c r="I545" s="173" t="e">
        <f>Tabela22[[#This Row],[PESO TOTAL]]/Tabela22[[#This Row],[QUANTIDADE]]</f>
        <v>#DIV/0!</v>
      </c>
      <c r="J545" s="2"/>
      <c r="K545" s="193"/>
      <c r="L545" s="8"/>
      <c r="M545" s="8"/>
      <c r="N545" s="8"/>
      <c r="O545" s="194"/>
      <c r="P545" s="195"/>
    </row>
    <row r="546" spans="1:16">
      <c r="A546" s="3"/>
      <c r="B546" s="3" t="str">
        <f>TEXT(Tabela22345[[#This Row],[DATA]],"mmmm")</f>
        <v>janeiro</v>
      </c>
      <c r="C546" s="2"/>
      <c r="D546" s="2"/>
      <c r="E546" s="2"/>
      <c r="F546" s="2"/>
      <c r="G546" s="173"/>
      <c r="H546" s="174"/>
      <c r="I546" s="173" t="e">
        <f>Tabela22[[#This Row],[PESO TOTAL]]/Tabela22[[#This Row],[QUANTIDADE]]</f>
        <v>#DIV/0!</v>
      </c>
      <c r="J546" s="2"/>
      <c r="K546" s="193"/>
      <c r="L546" s="8"/>
      <c r="M546" s="8"/>
      <c r="N546" s="8"/>
      <c r="O546" s="194"/>
      <c r="P546" s="195"/>
    </row>
    <row r="547" spans="1:16">
      <c r="A547" s="3"/>
      <c r="B547" s="3" t="str">
        <f>TEXT(Tabela22345[[#This Row],[DATA]],"mmmm")</f>
        <v>janeiro</v>
      </c>
      <c r="C547" s="2"/>
      <c r="D547" s="2"/>
      <c r="E547" s="2"/>
      <c r="F547" s="2"/>
      <c r="G547" s="173"/>
      <c r="H547" s="174"/>
      <c r="I547" s="173" t="e">
        <f>Tabela22[[#This Row],[PESO TOTAL]]/Tabela22[[#This Row],[QUANTIDADE]]</f>
        <v>#DIV/0!</v>
      </c>
      <c r="J547" s="2"/>
      <c r="K547" s="193"/>
      <c r="L547" s="8"/>
      <c r="M547" s="8"/>
      <c r="N547" s="8"/>
      <c r="O547" s="194"/>
      <c r="P547" s="195"/>
    </row>
    <row r="548" spans="1:16">
      <c r="A548" s="3"/>
      <c r="B548" s="3" t="str">
        <f>TEXT(Tabela22345[[#This Row],[DATA]],"mmmm")</f>
        <v>janeiro</v>
      </c>
      <c r="C548" s="2"/>
      <c r="D548" s="2"/>
      <c r="E548" s="2"/>
      <c r="F548" s="2"/>
      <c r="G548" s="173"/>
      <c r="H548" s="174"/>
      <c r="I548" s="173" t="e">
        <f>Tabela22[[#This Row],[PESO TOTAL]]/Tabela22[[#This Row],[QUANTIDADE]]</f>
        <v>#DIV/0!</v>
      </c>
      <c r="J548" s="2"/>
      <c r="K548" s="193"/>
      <c r="L548" s="8"/>
      <c r="M548" s="8"/>
      <c r="N548" s="8"/>
      <c r="O548" s="194"/>
      <c r="P548" s="195"/>
    </row>
    <row r="549" spans="1:16">
      <c r="B549" s="1" t="str">
        <f>TEXT(Tabela22345[[#This Row],[DATA]],"mmmm")</f>
        <v>janeiro</v>
      </c>
      <c r="G549" s="197"/>
      <c r="H549" s="174"/>
      <c r="I549" s="173" t="e">
        <f>Tabela22[[#This Row],[PESO TOTAL]]/Tabela22[[#This Row],[QUANTIDADE]]</f>
        <v>#DIV/0!</v>
      </c>
      <c r="K549" s="198"/>
      <c r="O549" s="199"/>
      <c r="P549" s="195"/>
    </row>
    <row r="550" spans="1:16">
      <c r="B550" s="1" t="str">
        <f>TEXT(Tabela22345[[#This Row],[DATA]],"mmmm")</f>
        <v>janeiro</v>
      </c>
      <c r="G550" s="197"/>
      <c r="H550" s="174"/>
      <c r="I550" s="173" t="e">
        <f>Tabela22[[#This Row],[PESO TOTAL]]/Tabela22[[#This Row],[QUANTIDADE]]</f>
        <v>#DIV/0!</v>
      </c>
      <c r="K550" s="198"/>
      <c r="O550" s="199"/>
      <c r="P550" s="195"/>
    </row>
    <row r="551" spans="1:16">
      <c r="B551" s="1" t="str">
        <f>TEXT(Tabela22345[[#This Row],[DATA]],"mmmm")</f>
        <v>janeiro</v>
      </c>
      <c r="G551" s="197"/>
      <c r="H551" s="174"/>
      <c r="I551" s="173" t="e">
        <f>Tabela22[[#This Row],[PESO TOTAL]]/Tabela22[[#This Row],[QUANTIDADE]]</f>
        <v>#DIV/0!</v>
      </c>
      <c r="K551" s="198"/>
      <c r="O551" s="199"/>
      <c r="P551" s="195"/>
    </row>
    <row r="552" spans="1:16">
      <c r="B552" s="1" t="str">
        <f>TEXT(Tabela22345[[#This Row],[DATA]],"mmmm")</f>
        <v>janeiro</v>
      </c>
      <c r="G552" s="197"/>
      <c r="H552" s="174"/>
      <c r="I552" s="173" t="e">
        <f>Tabela22[[#This Row],[PESO TOTAL]]/Tabela22[[#This Row],[QUANTIDADE]]</f>
        <v>#DIV/0!</v>
      </c>
      <c r="K552" s="198"/>
      <c r="O552" s="199"/>
      <c r="P552" s="90"/>
    </row>
    <row r="553" spans="1:16">
      <c r="B553" s="1" t="str">
        <f>TEXT(Tabela22345[[#This Row],[DATA]],"mmmm")</f>
        <v>janeiro</v>
      </c>
      <c r="G553" s="197"/>
      <c r="H553" s="174"/>
      <c r="I553" s="173" t="e">
        <f>Tabela22[[#This Row],[PESO TOTAL]]/Tabela22[[#This Row],[QUANTIDADE]]</f>
        <v>#DIV/0!</v>
      </c>
      <c r="K553" s="198"/>
      <c r="O553" s="199"/>
      <c r="P553" s="90"/>
    </row>
    <row r="554" spans="1:16">
      <c r="B554" s="1" t="str">
        <f>TEXT(Tabela22345[[#This Row],[DATA]],"mmmm")</f>
        <v>janeiro</v>
      </c>
      <c r="G554" s="197"/>
      <c r="H554" s="174"/>
      <c r="I554" s="173" t="e">
        <f>Tabela22[[#This Row],[PESO TOTAL]]/Tabela22[[#This Row],[QUANTIDADE]]</f>
        <v>#DIV/0!</v>
      </c>
      <c r="K554" s="198"/>
      <c r="O554" s="199"/>
      <c r="P554" s="90"/>
    </row>
    <row r="555" spans="1:16">
      <c r="B555" s="1" t="str">
        <f>TEXT(Tabela22345[[#This Row],[DATA]],"mmmm")</f>
        <v>janeiro</v>
      </c>
      <c r="G555" s="197"/>
      <c r="H555" s="174"/>
      <c r="I555" s="173" t="e">
        <f>Tabela22[[#This Row],[PESO TOTAL]]/Tabela22[[#This Row],[QUANTIDADE]]</f>
        <v>#DIV/0!</v>
      </c>
      <c r="K555" s="198"/>
      <c r="O555" s="199"/>
      <c r="P555" s="90"/>
    </row>
    <row r="556" spans="1:16">
      <c r="B556" s="1" t="str">
        <f>TEXT(Tabela22345[[#This Row],[DATA]],"mmmm")</f>
        <v>janeiro</v>
      </c>
      <c r="G556" s="197"/>
      <c r="H556" s="174"/>
      <c r="I556" s="173" t="e">
        <f>Tabela22[[#This Row],[PESO TOTAL]]/Tabela22[[#This Row],[QUANTIDADE]]</f>
        <v>#DIV/0!</v>
      </c>
      <c r="K556" s="198"/>
      <c r="O556" s="199"/>
      <c r="P556" s="90"/>
    </row>
    <row r="557" spans="1:16">
      <c r="B557" s="1" t="str">
        <f>TEXT(Tabela22345[[#This Row],[DATA]],"mmmm")</f>
        <v>janeiro</v>
      </c>
      <c r="G557" s="197"/>
      <c r="H557" s="174"/>
      <c r="I557" s="173" t="e">
        <f>Tabela22[[#This Row],[PESO TOTAL]]/Tabela22[[#This Row],[QUANTIDADE]]</f>
        <v>#DIV/0!</v>
      </c>
      <c r="K557" s="198"/>
      <c r="O557" s="199"/>
      <c r="P557" s="90"/>
    </row>
    <row r="558" spans="1:16">
      <c r="B558" s="1" t="str">
        <f>TEXT(Tabela22345[[#This Row],[DATA]],"mmmm")</f>
        <v>janeiro</v>
      </c>
      <c r="G558" s="197"/>
      <c r="H558" s="174"/>
      <c r="I558" s="173" t="e">
        <f>Tabela22[[#This Row],[PESO TOTAL]]/Tabela22[[#This Row],[QUANTIDADE]]</f>
        <v>#DIV/0!</v>
      </c>
      <c r="K558" s="198"/>
      <c r="O558" s="199"/>
      <c r="P558" s="90"/>
    </row>
    <row r="559" spans="1:16">
      <c r="B559" s="1" t="str">
        <f>TEXT(Tabela22345[[#This Row],[DATA]],"mmmm")</f>
        <v>janeiro</v>
      </c>
      <c r="G559" s="197"/>
      <c r="H559" s="174"/>
      <c r="I559" s="173" t="e">
        <f>Tabela22[[#This Row],[PESO TOTAL]]/Tabela22[[#This Row],[QUANTIDADE]]</f>
        <v>#DIV/0!</v>
      </c>
      <c r="K559" s="198"/>
      <c r="O559" s="199"/>
      <c r="P559" s="90"/>
    </row>
    <row r="560" spans="1:16">
      <c r="B560" s="1" t="str">
        <f>TEXT(Tabela22345[[#This Row],[DATA]],"mmmm")</f>
        <v>janeiro</v>
      </c>
      <c r="G560" s="197"/>
      <c r="H560" s="174"/>
      <c r="I560" s="173" t="e">
        <f>Tabela22[[#This Row],[PESO TOTAL]]/Tabela22[[#This Row],[QUANTIDADE]]</f>
        <v>#DIV/0!</v>
      </c>
      <c r="K560" s="198"/>
      <c r="O560" s="199"/>
      <c r="P560" s="90"/>
    </row>
    <row r="561" spans="2:16">
      <c r="B561" s="1" t="str">
        <f>TEXT(Tabela22345[[#This Row],[DATA]],"mmmm")</f>
        <v>janeiro</v>
      </c>
      <c r="G561" s="197"/>
      <c r="H561" s="174"/>
      <c r="I561" s="173" t="e">
        <f>Tabela22[[#This Row],[PESO TOTAL]]/Tabela22[[#This Row],[QUANTIDADE]]</f>
        <v>#DIV/0!</v>
      </c>
      <c r="K561" s="198"/>
      <c r="O561" s="199"/>
      <c r="P561" s="90"/>
    </row>
    <row r="562" spans="2:16">
      <c r="B562" s="1" t="str">
        <f>TEXT(Tabela22345[[#This Row],[DATA]],"mmmm")</f>
        <v>janeiro</v>
      </c>
      <c r="G562" s="197"/>
      <c r="H562" s="174"/>
      <c r="I562" s="173" t="e">
        <f>Tabela22[[#This Row],[PESO TOTAL]]/Tabela22[[#This Row],[QUANTIDADE]]</f>
        <v>#DIV/0!</v>
      </c>
      <c r="K562" s="198"/>
      <c r="O562" s="199"/>
      <c r="P562" s="90"/>
    </row>
    <row r="563" spans="2:16">
      <c r="B563" s="1" t="str">
        <f>TEXT(Tabela22345[[#This Row],[DATA]],"mmmm")</f>
        <v>janeiro</v>
      </c>
      <c r="G563" s="197"/>
      <c r="H563" s="174"/>
      <c r="I563" s="173" t="e">
        <f>Tabela22[[#This Row],[PESO TOTAL]]/Tabela22[[#This Row],[QUANTIDADE]]</f>
        <v>#DIV/0!</v>
      </c>
      <c r="K563" s="198"/>
      <c r="O563" s="199"/>
      <c r="P563" s="90"/>
    </row>
    <row r="564" spans="2:16">
      <c r="B564" s="1" t="str">
        <f>TEXT(Tabela22345[[#This Row],[DATA]],"mmmm")</f>
        <v>janeiro</v>
      </c>
      <c r="G564" s="197"/>
      <c r="H564" s="174"/>
      <c r="I564" s="173" t="e">
        <f>Tabela22[[#This Row],[PESO TOTAL]]/Tabela22[[#This Row],[QUANTIDADE]]</f>
        <v>#DIV/0!</v>
      </c>
      <c r="K564" s="198"/>
      <c r="O564" s="199"/>
      <c r="P564" s="90"/>
    </row>
    <row r="565" spans="2:16">
      <c r="B565" s="1" t="str">
        <f>TEXT(Tabela22345[[#This Row],[DATA]],"mmmm")</f>
        <v>janeiro</v>
      </c>
      <c r="G565" s="197"/>
      <c r="H565" s="174"/>
      <c r="I565" s="173" t="e">
        <f>Tabela22[[#This Row],[PESO TOTAL]]/Tabela22[[#This Row],[QUANTIDADE]]</f>
        <v>#DIV/0!</v>
      </c>
      <c r="K565" s="198"/>
      <c r="O565" s="199"/>
      <c r="P565" s="90"/>
    </row>
    <row r="566" spans="2:16">
      <c r="B566" s="1" t="str">
        <f>TEXT(Tabela22345[[#This Row],[DATA]],"mmmm")</f>
        <v>janeiro</v>
      </c>
      <c r="G566" s="197"/>
      <c r="H566" s="174"/>
      <c r="I566" s="173" t="e">
        <f>Tabela22[[#This Row],[PESO TOTAL]]/Tabela22[[#This Row],[QUANTIDADE]]</f>
        <v>#DIV/0!</v>
      </c>
      <c r="K566" s="198"/>
      <c r="O566" s="199"/>
      <c r="P566" s="90"/>
    </row>
    <row r="567" spans="2:16">
      <c r="B567" s="1" t="str">
        <f>TEXT(Tabela22345[[#This Row],[DATA]],"mmmm")</f>
        <v>janeiro</v>
      </c>
      <c r="G567" s="197"/>
      <c r="H567" s="174"/>
      <c r="I567" s="173" t="e">
        <f>Tabela22[[#This Row],[PESO TOTAL]]/Tabela22[[#This Row],[QUANTIDADE]]</f>
        <v>#DIV/0!</v>
      </c>
      <c r="K567" s="198"/>
      <c r="O567" s="199"/>
      <c r="P567" s="90"/>
    </row>
    <row r="568" spans="2:16">
      <c r="B568" s="1" t="str">
        <f>TEXT(Tabela22345[[#This Row],[DATA]],"mmmm")</f>
        <v>janeiro</v>
      </c>
      <c r="G568" s="197"/>
      <c r="H568" s="174"/>
      <c r="I568" s="173" t="e">
        <f>Tabela22[[#This Row],[PESO TOTAL]]/Tabela22[[#This Row],[QUANTIDADE]]</f>
        <v>#DIV/0!</v>
      </c>
      <c r="K568" s="198"/>
      <c r="O568" s="199"/>
      <c r="P568" s="90"/>
    </row>
    <row r="569" spans="2:16">
      <c r="B569" s="1" t="str">
        <f>TEXT(Tabela22345[[#This Row],[DATA]],"mmmm")</f>
        <v>janeiro</v>
      </c>
      <c r="G569" s="197"/>
      <c r="H569" s="174"/>
      <c r="I569" s="173" t="e">
        <f>Tabela22[[#This Row],[PESO TOTAL]]/Tabela22[[#This Row],[QUANTIDADE]]</f>
        <v>#DIV/0!</v>
      </c>
      <c r="K569" s="198"/>
      <c r="O569" s="199"/>
      <c r="P569" s="90"/>
    </row>
    <row r="570" spans="2:16">
      <c r="B570" s="1" t="str">
        <f>TEXT(Tabela22345[[#This Row],[DATA]],"mmmm")</f>
        <v>janeiro</v>
      </c>
      <c r="G570" s="197"/>
      <c r="H570" s="174"/>
      <c r="I570" s="173" t="e">
        <f>Tabela22[[#This Row],[PESO TOTAL]]/Tabela22[[#This Row],[QUANTIDADE]]</f>
        <v>#DIV/0!</v>
      </c>
      <c r="K570" s="198"/>
      <c r="O570" s="199"/>
      <c r="P570" s="90"/>
    </row>
    <row r="571" spans="2:16">
      <c r="B571" s="1" t="str">
        <f>TEXT(Tabela22345[[#This Row],[DATA]],"mmmm")</f>
        <v>janeiro</v>
      </c>
      <c r="G571" s="197"/>
      <c r="H571" s="174"/>
      <c r="I571" s="173" t="e">
        <f>Tabela22[[#This Row],[PESO TOTAL]]/Tabela22[[#This Row],[QUANTIDADE]]</f>
        <v>#DIV/0!</v>
      </c>
      <c r="K571" s="198"/>
      <c r="O571" s="199"/>
      <c r="P571" s="90"/>
    </row>
  </sheetData>
  <mergeCells count="5">
    <mergeCell ref="A1:O1"/>
    <mergeCell ref="A4:C4"/>
    <mergeCell ref="A18:G18"/>
    <mergeCell ref="D2:I3"/>
    <mergeCell ref="J2:N3"/>
  </mergeCells>
  <dataValidations count="3">
    <dataValidation type="list" allowBlank="1" showInputMessage="1" showErrorMessage="1" sqref="C20:C1048576" xr:uid="{00000000-0002-0000-0400-000000000000}">
      <formula1>$A$5:$A$14</formula1>
    </dataValidation>
    <dataValidation type="list" allowBlank="1" showInputMessage="1" showErrorMessage="1" sqref="D20:D571" xr:uid="{00000000-0002-0000-0400-000001000000}">
      <formula1>$S$1:$S$9</formula1>
    </dataValidation>
    <dataValidation type="list" allowBlank="1" showInputMessage="1" showErrorMessage="1" sqref="D572:D1048576" xr:uid="{00000000-0002-0000-0400-000002000000}">
      <formula1>$S$1:$S$7</formula1>
    </dataValidation>
  </dataValidations>
  <printOptions horizontalCentered="1" verticalCentered="1"/>
  <pageMargins left="0.511811023622047" right="0.511811023622047" top="0.78740157480314998" bottom="0.78740157480314998" header="0.31496062992126" footer="0.31496062992126"/>
  <pageSetup paperSize="9" scale="50" orientation="landscape"/>
  <rowBreaks count="2" manualBreakCount="2">
    <brk id="9" max="14" man="1"/>
    <brk id="204" max="11" man="1"/>
  </rowBreaks>
  <colBreaks count="1" manualBreakCount="1">
    <brk id="11" max="14" man="1"/>
  </colBreaks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S572"/>
  <sheetViews>
    <sheetView zoomScale="70" zoomScaleNormal="70" zoomScaleSheetLayoutView="50" workbookViewId="0">
      <selection activeCell="D31" sqref="D31"/>
    </sheetView>
  </sheetViews>
  <sheetFormatPr defaultColWidth="9" defaultRowHeight="14.4"/>
  <cols>
    <col min="1" max="1" width="15" customWidth="1"/>
    <col min="2" max="2" width="16.6640625" customWidth="1"/>
    <col min="3" max="3" width="23" customWidth="1"/>
    <col min="4" max="4" width="30.5546875" customWidth="1"/>
    <col min="5" max="5" width="18.109375" customWidth="1"/>
    <col min="6" max="6" width="16.109375" customWidth="1"/>
    <col min="7" max="7" width="14.33203125" customWidth="1"/>
    <col min="8" max="8" width="20.109375" style="114" customWidth="1"/>
    <col min="9" max="9" width="17.88671875" customWidth="1"/>
    <col min="10" max="10" width="13.5546875" customWidth="1"/>
    <col min="11" max="11" width="18.5546875" style="115" customWidth="1"/>
    <col min="12" max="12" width="16.88671875" style="115" customWidth="1"/>
    <col min="13" max="13" width="18" style="115" customWidth="1"/>
    <col min="14" max="14" width="16.6640625" style="115" customWidth="1"/>
    <col min="15" max="15" width="15" style="115" customWidth="1"/>
    <col min="16" max="16" width="38.5546875" customWidth="1"/>
    <col min="17" max="17" width="17.44140625" customWidth="1"/>
    <col min="18" max="18" width="11" customWidth="1"/>
    <col min="19" max="19" width="19.88671875" customWidth="1"/>
  </cols>
  <sheetData>
    <row r="1" spans="1:19" ht="25.8">
      <c r="A1" s="236" t="s">
        <v>50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7"/>
      <c r="Q1" s="7"/>
      <c r="S1" s="141" t="s">
        <v>1</v>
      </c>
    </row>
    <row r="2" spans="1:19" ht="25.8">
      <c r="A2" s="142"/>
      <c r="B2" s="142"/>
      <c r="C2" s="142"/>
      <c r="D2" s="243" t="s">
        <v>2</v>
      </c>
      <c r="E2" s="244"/>
      <c r="F2" s="244"/>
      <c r="G2" s="244"/>
      <c r="H2" s="244"/>
      <c r="I2" s="245"/>
      <c r="J2" s="243" t="s">
        <v>3</v>
      </c>
      <c r="K2" s="244"/>
      <c r="L2" s="244"/>
      <c r="M2" s="244"/>
      <c r="N2" s="245"/>
      <c r="O2" s="176" t="s">
        <v>4</v>
      </c>
      <c r="S2" s="141" t="s">
        <v>5</v>
      </c>
    </row>
    <row r="3" spans="1:19" ht="25.8">
      <c r="A3" s="143"/>
      <c r="B3" s="143"/>
      <c r="C3" s="144"/>
      <c r="D3" s="246"/>
      <c r="E3" s="247"/>
      <c r="F3" s="247"/>
      <c r="G3" s="247"/>
      <c r="H3" s="247"/>
      <c r="I3" s="248"/>
      <c r="J3" s="249"/>
      <c r="K3" s="250"/>
      <c r="L3" s="250"/>
      <c r="M3" s="250"/>
      <c r="N3" s="251"/>
      <c r="O3" s="177"/>
      <c r="S3" s="141" t="s">
        <v>6</v>
      </c>
    </row>
    <row r="4" spans="1:19" ht="25.8">
      <c r="A4" s="237" t="s">
        <v>7</v>
      </c>
      <c r="B4" s="238"/>
      <c r="C4" s="239"/>
      <c r="D4" s="145" t="s">
        <v>8</v>
      </c>
      <c r="E4" s="145" t="s">
        <v>1</v>
      </c>
      <c r="F4" s="145" t="s">
        <v>9</v>
      </c>
      <c r="G4" s="145" t="s">
        <v>5</v>
      </c>
      <c r="H4" s="145" t="s">
        <v>6</v>
      </c>
      <c r="I4" s="145" t="s">
        <v>10</v>
      </c>
      <c r="J4" s="145" t="s">
        <v>11</v>
      </c>
      <c r="K4" s="145" t="s">
        <v>12</v>
      </c>
      <c r="L4" s="145" t="s">
        <v>13</v>
      </c>
      <c r="M4" s="145" t="s">
        <v>14</v>
      </c>
      <c r="N4" s="145" t="s">
        <v>10</v>
      </c>
      <c r="O4" s="178" t="s">
        <v>15</v>
      </c>
      <c r="S4" s="141" t="s">
        <v>11</v>
      </c>
    </row>
    <row r="5" spans="1:19" ht="25.8">
      <c r="A5" s="146" t="s">
        <v>16</v>
      </c>
      <c r="B5" s="147"/>
      <c r="C5" s="148"/>
      <c r="D5" s="149"/>
      <c r="E5" s="149">
        <f t="shared" ref="E5:E15" si="0">SUMIFS($E$20:$E$1048576,$D$20:$D$1048576,$E$4,$C$20:$C$1048576,A5)</f>
        <v>0</v>
      </c>
      <c r="F5" s="149">
        <f t="shared" ref="F5:F14" si="1">SUMIFS($E$20:$E$1048576,$D$20:$D$1048576,$F$4,$C$20:$C$1048576,B5)</f>
        <v>0</v>
      </c>
      <c r="G5" s="150">
        <f t="shared" ref="G5:G15" si="2">SUMIFS($E$20:$E$1048576,$D$20:$D$1048576,$G$4,$C$20:$C$1048576,A5)</f>
        <v>0</v>
      </c>
      <c r="H5" s="150">
        <f t="shared" ref="H5:H15" si="3">SUMIFS($E$20:$E$1048576,$D$20:$D$1048576,$H$4,$C$20:$C$1048576,A5)</f>
        <v>0</v>
      </c>
      <c r="I5" s="156">
        <f>SUM(D5:H5)</f>
        <v>0</v>
      </c>
      <c r="J5" s="179">
        <f t="shared" ref="J5:J15" si="4">SUMIFS($E$20:$E$1048576,$D$20:$D$1048576,$J$4,$C$20:$C$1048576,A5)</f>
        <v>0</v>
      </c>
      <c r="K5" s="179">
        <f t="shared" ref="K5:K15" si="5">SUMIFS($E$20:$E$1048576,$D$20:$D$1048576,$K$4,$C$20:$C$1048576,A5)</f>
        <v>0</v>
      </c>
      <c r="L5" s="179">
        <f t="shared" ref="L5:L15" si="6">SUMIFS($E$20:$E$1048576,$D$20:$D$1048576,$L$4,$C$20:$C$1048576,A5)</f>
        <v>0</v>
      </c>
      <c r="M5" s="180">
        <f t="shared" ref="M5:M15" si="7">SUMIFS($E$20:$E$1048576,$D$20:$D$1048576,$M$4,$C$20:$C$1048576,A5)</f>
        <v>0</v>
      </c>
      <c r="N5" s="156">
        <f>SUM(J5:M5)</f>
        <v>0</v>
      </c>
      <c r="O5" s="181">
        <f>SUM(I5-N5)</f>
        <v>0</v>
      </c>
      <c r="S5" s="141" t="s">
        <v>12</v>
      </c>
    </row>
    <row r="6" spans="1:19" ht="25.8">
      <c r="A6" s="151" t="s">
        <v>17</v>
      </c>
      <c r="B6" s="152"/>
      <c r="C6" s="153"/>
      <c r="D6" s="149"/>
      <c r="E6" s="149">
        <f t="shared" si="0"/>
        <v>0</v>
      </c>
      <c r="F6" s="149">
        <f t="shared" si="1"/>
        <v>0</v>
      </c>
      <c r="G6" s="150">
        <f t="shared" si="2"/>
        <v>0</v>
      </c>
      <c r="H6" s="150">
        <f t="shared" si="3"/>
        <v>0</v>
      </c>
      <c r="I6" s="156">
        <f t="shared" ref="I6:I15" si="8">SUM(D6:H6)</f>
        <v>0</v>
      </c>
      <c r="J6" s="179">
        <f t="shared" si="4"/>
        <v>0</v>
      </c>
      <c r="K6" s="179">
        <f t="shared" si="5"/>
        <v>0</v>
      </c>
      <c r="L6" s="179">
        <f t="shared" si="6"/>
        <v>0</v>
      </c>
      <c r="M6" s="180">
        <f t="shared" si="7"/>
        <v>0</v>
      </c>
      <c r="N6" s="156">
        <f t="shared" ref="N6:N16" si="9">SUM(J6:M6)</f>
        <v>0</v>
      </c>
      <c r="O6" s="181">
        <f t="shared" ref="O6:O15" si="10">SUM(I6-N6)</f>
        <v>0</v>
      </c>
      <c r="S6" s="141" t="s">
        <v>14</v>
      </c>
    </row>
    <row r="7" spans="1:19" ht="25.8">
      <c r="A7" s="152" t="s">
        <v>18</v>
      </c>
      <c r="B7" s="154"/>
      <c r="C7" s="153"/>
      <c r="D7" s="149"/>
      <c r="E7" s="149">
        <f t="shared" si="0"/>
        <v>0</v>
      </c>
      <c r="F7" s="149">
        <f t="shared" si="1"/>
        <v>0</v>
      </c>
      <c r="G7" s="150">
        <f t="shared" si="2"/>
        <v>0</v>
      </c>
      <c r="H7" s="150">
        <f t="shared" si="3"/>
        <v>0</v>
      </c>
      <c r="I7" s="156">
        <f t="shared" si="8"/>
        <v>0</v>
      </c>
      <c r="J7" s="179">
        <f t="shared" si="4"/>
        <v>0</v>
      </c>
      <c r="K7" s="179">
        <f t="shared" si="5"/>
        <v>0</v>
      </c>
      <c r="L7" s="179">
        <f t="shared" si="6"/>
        <v>0</v>
      </c>
      <c r="M7" s="180">
        <f t="shared" si="7"/>
        <v>0</v>
      </c>
      <c r="N7" s="156">
        <f t="shared" si="9"/>
        <v>0</v>
      </c>
      <c r="O7" s="181">
        <f t="shared" si="10"/>
        <v>0</v>
      </c>
      <c r="S7" s="141" t="s">
        <v>8</v>
      </c>
    </row>
    <row r="8" spans="1:19" ht="25.8">
      <c r="A8" s="155" t="s">
        <v>19</v>
      </c>
      <c r="B8" s="154"/>
      <c r="C8" s="153"/>
      <c r="D8" s="156"/>
      <c r="E8" s="149">
        <f t="shared" si="0"/>
        <v>0</v>
      </c>
      <c r="F8" s="149">
        <f t="shared" si="1"/>
        <v>0</v>
      </c>
      <c r="G8" s="150">
        <f t="shared" si="2"/>
        <v>0</v>
      </c>
      <c r="H8" s="150">
        <f t="shared" si="3"/>
        <v>0</v>
      </c>
      <c r="I8" s="156">
        <f t="shared" si="8"/>
        <v>0</v>
      </c>
      <c r="J8" s="179">
        <f t="shared" si="4"/>
        <v>0</v>
      </c>
      <c r="K8" s="179">
        <f t="shared" si="5"/>
        <v>0</v>
      </c>
      <c r="L8" s="179">
        <f t="shared" si="6"/>
        <v>0</v>
      </c>
      <c r="M8" s="180">
        <f t="shared" si="7"/>
        <v>0</v>
      </c>
      <c r="N8" s="156">
        <f t="shared" si="9"/>
        <v>0</v>
      </c>
      <c r="O8" s="181">
        <f t="shared" si="10"/>
        <v>0</v>
      </c>
      <c r="S8" s="141" t="s">
        <v>9</v>
      </c>
    </row>
    <row r="9" spans="1:19" ht="25.8">
      <c r="A9" s="155" t="s">
        <v>20</v>
      </c>
      <c r="B9" s="154"/>
      <c r="C9" s="153"/>
      <c r="D9" s="149"/>
      <c r="E9" s="149">
        <f t="shared" si="0"/>
        <v>0</v>
      </c>
      <c r="F9" s="149">
        <f t="shared" si="1"/>
        <v>0</v>
      </c>
      <c r="G9" s="150">
        <f t="shared" si="2"/>
        <v>0</v>
      </c>
      <c r="H9" s="150">
        <f t="shared" si="3"/>
        <v>0</v>
      </c>
      <c r="I9" s="156">
        <f t="shared" si="8"/>
        <v>0</v>
      </c>
      <c r="J9" s="179">
        <f t="shared" si="4"/>
        <v>0</v>
      </c>
      <c r="K9" s="179">
        <f t="shared" si="5"/>
        <v>0</v>
      </c>
      <c r="L9" s="179">
        <f t="shared" si="6"/>
        <v>0</v>
      </c>
      <c r="M9" s="180">
        <f t="shared" si="7"/>
        <v>0</v>
      </c>
      <c r="N9" s="156">
        <f t="shared" si="9"/>
        <v>0</v>
      </c>
      <c r="O9" s="181">
        <f t="shared" si="10"/>
        <v>0</v>
      </c>
      <c r="S9" s="141" t="s">
        <v>13</v>
      </c>
    </row>
    <row r="10" spans="1:19" ht="25.8">
      <c r="A10" s="151" t="s">
        <v>21</v>
      </c>
      <c r="B10" s="155"/>
      <c r="C10" s="157"/>
      <c r="D10" s="149"/>
      <c r="E10" s="149">
        <f t="shared" si="0"/>
        <v>0</v>
      </c>
      <c r="F10" s="149">
        <f t="shared" si="1"/>
        <v>0</v>
      </c>
      <c r="G10" s="150">
        <f t="shared" si="2"/>
        <v>0</v>
      </c>
      <c r="H10" s="150">
        <f t="shared" si="3"/>
        <v>0</v>
      </c>
      <c r="I10" s="156">
        <f t="shared" si="8"/>
        <v>0</v>
      </c>
      <c r="J10" s="179">
        <f t="shared" si="4"/>
        <v>0</v>
      </c>
      <c r="K10" s="179">
        <f t="shared" si="5"/>
        <v>0</v>
      </c>
      <c r="L10" s="179">
        <f t="shared" si="6"/>
        <v>0</v>
      </c>
      <c r="M10" s="180">
        <f t="shared" si="7"/>
        <v>0</v>
      </c>
      <c r="N10" s="156">
        <f t="shared" si="9"/>
        <v>0</v>
      </c>
      <c r="O10" s="181">
        <f t="shared" si="10"/>
        <v>0</v>
      </c>
    </row>
    <row r="11" spans="1:19" ht="25.8">
      <c r="A11" s="151" t="s">
        <v>22</v>
      </c>
      <c r="B11" s="155"/>
      <c r="C11" s="157"/>
      <c r="D11" s="149"/>
      <c r="E11" s="149">
        <f t="shared" si="0"/>
        <v>0</v>
      </c>
      <c r="F11" s="149">
        <f t="shared" si="1"/>
        <v>0</v>
      </c>
      <c r="G11" s="150">
        <f t="shared" si="2"/>
        <v>0</v>
      </c>
      <c r="H11" s="150">
        <f t="shared" si="3"/>
        <v>0</v>
      </c>
      <c r="I11" s="156">
        <f t="shared" si="8"/>
        <v>0</v>
      </c>
      <c r="J11" s="179">
        <f t="shared" si="4"/>
        <v>0</v>
      </c>
      <c r="K11" s="179">
        <f t="shared" si="5"/>
        <v>0</v>
      </c>
      <c r="L11" s="179">
        <f t="shared" si="6"/>
        <v>0</v>
      </c>
      <c r="M11" s="180">
        <f t="shared" si="7"/>
        <v>0</v>
      </c>
      <c r="N11" s="156">
        <f t="shared" si="9"/>
        <v>0</v>
      </c>
      <c r="O11" s="181">
        <f t="shared" si="10"/>
        <v>0</v>
      </c>
    </row>
    <row r="12" spans="1:19" ht="25.8">
      <c r="A12" s="151" t="s">
        <v>24</v>
      </c>
      <c r="B12" s="155"/>
      <c r="C12" s="157"/>
      <c r="D12" s="149"/>
      <c r="E12" s="149">
        <f t="shared" si="0"/>
        <v>0</v>
      </c>
      <c r="F12" s="149">
        <f t="shared" si="1"/>
        <v>0</v>
      </c>
      <c r="G12" s="150">
        <f t="shared" si="2"/>
        <v>0</v>
      </c>
      <c r="H12" s="150">
        <f t="shared" si="3"/>
        <v>0</v>
      </c>
      <c r="I12" s="156">
        <f t="shared" si="8"/>
        <v>0</v>
      </c>
      <c r="J12" s="179">
        <f t="shared" si="4"/>
        <v>0</v>
      </c>
      <c r="K12" s="179">
        <f t="shared" si="5"/>
        <v>0</v>
      </c>
      <c r="L12" s="179">
        <f t="shared" si="6"/>
        <v>0</v>
      </c>
      <c r="M12" s="180">
        <f t="shared" si="7"/>
        <v>0</v>
      </c>
      <c r="N12" s="156">
        <f t="shared" si="9"/>
        <v>0</v>
      </c>
      <c r="O12" s="181">
        <f t="shared" si="10"/>
        <v>0</v>
      </c>
    </row>
    <row r="13" spans="1:19" ht="25.8">
      <c r="A13" s="152" t="s">
        <v>26</v>
      </c>
      <c r="B13" s="154"/>
      <c r="C13" s="153"/>
      <c r="D13" s="149"/>
      <c r="E13" s="149">
        <f t="shared" si="0"/>
        <v>0</v>
      </c>
      <c r="F13" s="149">
        <f t="shared" si="1"/>
        <v>0</v>
      </c>
      <c r="G13" s="150">
        <f t="shared" si="2"/>
        <v>0</v>
      </c>
      <c r="H13" s="150">
        <f t="shared" si="3"/>
        <v>0</v>
      </c>
      <c r="I13" s="156">
        <f t="shared" si="8"/>
        <v>0</v>
      </c>
      <c r="J13" s="179">
        <f t="shared" si="4"/>
        <v>0</v>
      </c>
      <c r="K13" s="179">
        <f t="shared" si="5"/>
        <v>0</v>
      </c>
      <c r="L13" s="179">
        <f t="shared" si="6"/>
        <v>0</v>
      </c>
      <c r="M13" s="180">
        <f t="shared" si="7"/>
        <v>0</v>
      </c>
      <c r="N13" s="156">
        <f t="shared" si="9"/>
        <v>0</v>
      </c>
      <c r="O13" s="181">
        <f t="shared" si="10"/>
        <v>0</v>
      </c>
    </row>
    <row r="14" spans="1:19" ht="25.8">
      <c r="A14" s="158" t="s">
        <v>28</v>
      </c>
      <c r="B14" s="159"/>
      <c r="C14" s="160"/>
      <c r="D14" s="161"/>
      <c r="E14" s="161">
        <f t="shared" si="0"/>
        <v>0</v>
      </c>
      <c r="F14" s="161">
        <f t="shared" si="1"/>
        <v>0</v>
      </c>
      <c r="G14" s="162">
        <f t="shared" si="2"/>
        <v>0</v>
      </c>
      <c r="H14" s="162">
        <f t="shared" si="3"/>
        <v>0</v>
      </c>
      <c r="I14" s="182">
        <f t="shared" si="8"/>
        <v>0</v>
      </c>
      <c r="J14" s="183">
        <f t="shared" si="4"/>
        <v>0</v>
      </c>
      <c r="K14" s="183">
        <f t="shared" si="5"/>
        <v>0</v>
      </c>
      <c r="L14" s="183">
        <f t="shared" si="6"/>
        <v>0</v>
      </c>
      <c r="M14" s="184">
        <f t="shared" si="7"/>
        <v>0</v>
      </c>
      <c r="N14" s="182">
        <f t="shared" si="9"/>
        <v>0</v>
      </c>
      <c r="O14" s="181">
        <f t="shared" si="10"/>
        <v>0</v>
      </c>
    </row>
    <row r="15" spans="1:19" ht="25.8">
      <c r="A15" s="163" t="s">
        <v>29</v>
      </c>
      <c r="B15" s="163"/>
      <c r="C15" s="142"/>
      <c r="D15" s="156"/>
      <c r="E15" s="156">
        <f t="shared" si="0"/>
        <v>0</v>
      </c>
      <c r="F15" s="156"/>
      <c r="G15" s="156">
        <f t="shared" si="2"/>
        <v>0</v>
      </c>
      <c r="H15" s="156">
        <f t="shared" si="3"/>
        <v>0</v>
      </c>
      <c r="I15" s="156">
        <f t="shared" si="8"/>
        <v>0</v>
      </c>
      <c r="J15" s="156">
        <f t="shared" si="4"/>
        <v>0</v>
      </c>
      <c r="K15" s="156">
        <f t="shared" si="5"/>
        <v>0</v>
      </c>
      <c r="L15" s="156">
        <f t="shared" si="6"/>
        <v>0</v>
      </c>
      <c r="M15" s="156">
        <f t="shared" si="7"/>
        <v>0</v>
      </c>
      <c r="N15" s="156">
        <f t="shared" si="9"/>
        <v>0</v>
      </c>
      <c r="O15" s="185">
        <f t="shared" si="10"/>
        <v>0</v>
      </c>
    </row>
    <row r="16" spans="1:19" ht="25.8">
      <c r="A16" s="164" t="s">
        <v>10</v>
      </c>
      <c r="B16" s="165"/>
      <c r="C16" s="166"/>
      <c r="D16" s="167">
        <f t="shared" ref="D16:M16" si="11">SUM(D5:D15)</f>
        <v>0</v>
      </c>
      <c r="E16" s="167">
        <f t="shared" si="11"/>
        <v>0</v>
      </c>
      <c r="F16" s="167">
        <f t="shared" si="11"/>
        <v>0</v>
      </c>
      <c r="G16" s="167">
        <f t="shared" si="11"/>
        <v>0</v>
      </c>
      <c r="H16" s="167">
        <f t="shared" si="11"/>
        <v>0</v>
      </c>
      <c r="I16" s="167">
        <f t="shared" si="11"/>
        <v>0</v>
      </c>
      <c r="J16" s="167">
        <f t="shared" si="11"/>
        <v>0</v>
      </c>
      <c r="K16" s="167">
        <f t="shared" si="11"/>
        <v>0</v>
      </c>
      <c r="L16" s="167">
        <f t="shared" si="11"/>
        <v>0</v>
      </c>
      <c r="M16" s="167">
        <f t="shared" si="11"/>
        <v>0</v>
      </c>
      <c r="N16" s="167">
        <f t="shared" si="9"/>
        <v>0</v>
      </c>
      <c r="O16" s="186">
        <f>SUM(O5:O14)</f>
        <v>0</v>
      </c>
    </row>
    <row r="17" spans="1:17">
      <c r="H17"/>
      <c r="K17"/>
      <c r="L17"/>
      <c r="M17"/>
      <c r="N17"/>
      <c r="O17"/>
    </row>
    <row r="18" spans="1:17" ht="30" customHeight="1">
      <c r="A18" s="252" t="s">
        <v>30</v>
      </c>
      <c r="B18" s="253"/>
      <c r="C18" s="253"/>
      <c r="D18" s="253"/>
      <c r="E18" s="253"/>
      <c r="F18" s="253"/>
      <c r="G18" s="253"/>
      <c r="H18" s="168"/>
      <c r="I18" s="168"/>
      <c r="J18" s="168"/>
      <c r="K18" s="168"/>
      <c r="L18" s="168"/>
      <c r="M18" s="168"/>
      <c r="N18" s="168"/>
      <c r="O18" s="168"/>
      <c r="P18" s="168"/>
      <c r="Q18" s="196"/>
    </row>
    <row r="19" spans="1:17" ht="22.5" customHeight="1">
      <c r="A19" s="169" t="s">
        <v>31</v>
      </c>
      <c r="B19" s="169" t="s">
        <v>32</v>
      </c>
      <c r="C19" s="169" t="s">
        <v>33</v>
      </c>
      <c r="D19" s="170" t="s">
        <v>34</v>
      </c>
      <c r="E19" s="169" t="s">
        <v>35</v>
      </c>
      <c r="F19" s="169" t="s">
        <v>36</v>
      </c>
      <c r="G19" s="171" t="s">
        <v>37</v>
      </c>
      <c r="H19" s="172" t="s">
        <v>38</v>
      </c>
      <c r="I19" s="172" t="s">
        <v>39</v>
      </c>
      <c r="J19" s="187"/>
      <c r="K19" s="187"/>
      <c r="L19" s="187"/>
      <c r="M19" s="187"/>
      <c r="N19" s="187"/>
      <c r="O19" s="187"/>
      <c r="P19" s="187"/>
    </row>
    <row r="20" spans="1:17">
      <c r="A20" s="3"/>
      <c r="B20" s="3" t="str">
        <f>TEXT(Tabela223456[[#This Row],[DATA]],"mmm")</f>
        <v>jan</v>
      </c>
      <c r="C20" s="2"/>
      <c r="D20" s="2"/>
      <c r="E20" s="2"/>
      <c r="F20" s="2"/>
      <c r="G20" s="173"/>
      <c r="H20" s="174"/>
      <c r="I20" s="173" t="e">
        <f>Tabela22[[#This Row],[PESO TOTAL]]/Tabela22[[#This Row],[QUANTIDADE]]</f>
        <v>#VALUE!</v>
      </c>
      <c r="J20" s="188"/>
      <c r="K20" s="189"/>
      <c r="L20" s="190"/>
      <c r="M20" s="190"/>
      <c r="N20" s="190"/>
      <c r="O20" s="191"/>
      <c r="P20" s="192"/>
    </row>
    <row r="21" spans="1:17">
      <c r="A21" s="3"/>
      <c r="B21" s="3" t="str">
        <f>TEXT(Tabela223456[[#This Row],[DATA]],"mmm")</f>
        <v>jan</v>
      </c>
      <c r="C21" s="2"/>
      <c r="D21" s="2"/>
      <c r="E21" s="2"/>
      <c r="F21" s="2"/>
      <c r="G21" s="173"/>
      <c r="H21" s="174"/>
      <c r="I21" s="173">
        <f>Tabela22[[#This Row],[PESO TOTAL]]/Tabela22[[#This Row],[QUANTIDADE]]</f>
        <v>0</v>
      </c>
      <c r="J21" s="188"/>
      <c r="K21" s="193"/>
      <c r="L21" s="8"/>
      <c r="M21" s="8"/>
      <c r="N21" s="8"/>
      <c r="O21" s="194"/>
      <c r="P21" s="195"/>
    </row>
    <row r="22" spans="1:17">
      <c r="A22" s="3"/>
      <c r="B22" s="3" t="str">
        <f>TEXT(Tabela223456[[#This Row],[DATA]],"mmm")</f>
        <v>jan</v>
      </c>
      <c r="C22" s="2"/>
      <c r="D22" s="2"/>
      <c r="E22" s="2"/>
      <c r="F22" s="2"/>
      <c r="G22" s="173"/>
      <c r="H22" s="174"/>
      <c r="I22" s="173" t="e">
        <f>Tabela22[[#This Row],[PESO TOTAL]]/Tabela22[[#This Row],[QUANTIDADE]]</f>
        <v>#DIV/0!</v>
      </c>
      <c r="J22" s="188"/>
      <c r="K22" s="193"/>
      <c r="L22" s="8"/>
      <c r="M22" s="8"/>
      <c r="N22" s="8"/>
      <c r="O22" s="194"/>
      <c r="P22" s="195"/>
    </row>
    <row r="23" spans="1:17">
      <c r="A23" s="3"/>
      <c r="B23" s="3" t="str">
        <f>TEXT(Tabela223456[[#This Row],[DATA]],"mmm")</f>
        <v>jan</v>
      </c>
      <c r="C23" s="2"/>
      <c r="D23" s="2"/>
      <c r="E23" s="2"/>
      <c r="F23" s="2"/>
      <c r="G23" s="173"/>
      <c r="H23" s="174"/>
      <c r="I23" s="173" t="e">
        <f>Tabela22[[#This Row],[PESO TOTAL]]/Tabela22[[#This Row],[QUANTIDADE]]</f>
        <v>#DIV/0!</v>
      </c>
      <c r="J23" s="188"/>
      <c r="K23" s="193"/>
      <c r="L23" s="8"/>
      <c r="M23" s="8"/>
      <c r="N23" s="8"/>
      <c r="O23" s="194"/>
      <c r="P23" s="195"/>
    </row>
    <row r="24" spans="1:17">
      <c r="A24" s="3"/>
      <c r="B24" s="3" t="str">
        <f>TEXT(Tabela223456[[#This Row],[DATA]],"mmm")</f>
        <v>jan</v>
      </c>
      <c r="C24" s="2"/>
      <c r="D24" s="2"/>
      <c r="E24" s="2"/>
      <c r="F24" s="2"/>
      <c r="G24" s="173"/>
      <c r="H24" s="174"/>
      <c r="I24" s="173" t="e">
        <f>Tabela22[[#This Row],[PESO TOTAL]]/Tabela22[[#This Row],[QUANTIDADE]]</f>
        <v>#DIV/0!</v>
      </c>
      <c r="J24" s="188"/>
      <c r="K24" s="193"/>
      <c r="L24" s="8"/>
      <c r="M24" s="8"/>
      <c r="N24" s="8"/>
      <c r="O24" s="194"/>
      <c r="P24" s="195"/>
    </row>
    <row r="25" spans="1:17">
      <c r="A25" s="3"/>
      <c r="B25" s="3" t="str">
        <f>TEXT(Tabela223456[[#This Row],[DATA]],"mmm")</f>
        <v>jan</v>
      </c>
      <c r="C25" s="2"/>
      <c r="D25" s="2"/>
      <c r="E25" s="2"/>
      <c r="F25" s="2"/>
      <c r="G25" s="173"/>
      <c r="H25" s="174"/>
      <c r="I25" s="173" t="e">
        <f>Tabela22[[#This Row],[PESO TOTAL]]/Tabela22[[#This Row],[QUANTIDADE]]</f>
        <v>#DIV/0!</v>
      </c>
      <c r="J25" s="188"/>
      <c r="K25" s="193"/>
      <c r="L25" s="8"/>
      <c r="M25" s="8"/>
      <c r="N25" s="8"/>
      <c r="O25" s="194"/>
      <c r="P25" s="195"/>
    </row>
    <row r="26" spans="1:17">
      <c r="A26" s="3"/>
      <c r="B26" s="3" t="str">
        <f>TEXT(Tabela223456[[#This Row],[DATA]],"mmm")</f>
        <v>jan</v>
      </c>
      <c r="C26" s="2"/>
      <c r="D26" s="175"/>
      <c r="E26" s="2"/>
      <c r="F26" s="2"/>
      <c r="G26" s="173"/>
      <c r="H26" s="174"/>
      <c r="I26" s="173" t="e">
        <f>Tabela22[[#This Row],[PESO TOTAL]]/Tabela22[[#This Row],[QUANTIDADE]]</f>
        <v>#DIV/0!</v>
      </c>
      <c r="J26" s="188"/>
      <c r="K26" s="193"/>
      <c r="L26" s="8"/>
      <c r="M26" s="8"/>
      <c r="N26" s="8"/>
      <c r="O26" s="194"/>
      <c r="P26" s="195"/>
    </row>
    <row r="27" spans="1:17">
      <c r="A27" s="3"/>
      <c r="B27" s="3" t="str">
        <f>TEXT(Tabela223456[[#This Row],[DATA]],"mmm")</f>
        <v>jan</v>
      </c>
      <c r="C27" s="2"/>
      <c r="D27" s="2"/>
      <c r="E27" s="2"/>
      <c r="F27" s="2"/>
      <c r="G27" s="173"/>
      <c r="H27" s="174"/>
      <c r="I27" s="173" t="e">
        <f>Tabela22[[#This Row],[PESO TOTAL]]/Tabela22[[#This Row],[QUANTIDADE]]</f>
        <v>#DIV/0!</v>
      </c>
      <c r="J27" s="188"/>
      <c r="K27" s="193"/>
      <c r="L27" s="8"/>
      <c r="M27" s="8"/>
      <c r="N27" s="8"/>
      <c r="O27" s="194"/>
      <c r="P27" s="195"/>
    </row>
    <row r="28" spans="1:17">
      <c r="A28" s="3"/>
      <c r="B28" s="3" t="str">
        <f>TEXT(Tabela223456[[#This Row],[DATA]],"mmmm")</f>
        <v>janeiro</v>
      </c>
      <c r="C28" s="2"/>
      <c r="D28" s="2"/>
      <c r="E28" s="2"/>
      <c r="F28" s="2"/>
      <c r="G28" s="173"/>
      <c r="H28" s="174"/>
      <c r="I28" s="173" t="e">
        <f>Tabela22[[#This Row],[PESO TOTAL]]/Tabela22[[#This Row],[QUANTIDADE]]</f>
        <v>#DIV/0!</v>
      </c>
      <c r="J28" s="2"/>
      <c r="K28" s="193"/>
      <c r="L28" s="8"/>
      <c r="M28" s="8"/>
      <c r="N28" s="8"/>
      <c r="O28" s="194"/>
      <c r="P28" s="195"/>
    </row>
    <row r="29" spans="1:17">
      <c r="A29" s="3"/>
      <c r="B29" s="3" t="str">
        <f>TEXT(Tabela223456[[#This Row],[DATA]],"mmmm")</f>
        <v>janeiro</v>
      </c>
      <c r="C29" s="2"/>
      <c r="D29" s="2"/>
      <c r="E29" s="2"/>
      <c r="F29" s="2"/>
      <c r="G29" s="173"/>
      <c r="H29" s="174"/>
      <c r="I29" s="173" t="e">
        <f>Tabela22[[#This Row],[PESO TOTAL]]/Tabela22[[#This Row],[QUANTIDADE]]</f>
        <v>#DIV/0!</v>
      </c>
      <c r="J29" s="2"/>
      <c r="K29" s="193"/>
      <c r="L29" s="8"/>
      <c r="M29" s="8"/>
      <c r="N29" s="8"/>
      <c r="O29" s="194"/>
      <c r="P29" s="195"/>
    </row>
    <row r="30" spans="1:17">
      <c r="A30" s="3"/>
      <c r="B30" s="3" t="str">
        <f>TEXT(Tabela223456[[#This Row],[DATA]],"mmmm")</f>
        <v>janeiro</v>
      </c>
      <c r="C30" s="2"/>
      <c r="D30" s="2"/>
      <c r="E30" s="2"/>
      <c r="F30" s="2"/>
      <c r="G30" s="173"/>
      <c r="H30" s="174"/>
      <c r="I30" s="173" t="e">
        <f>Tabela22[[#This Row],[PESO TOTAL]]/Tabela22[[#This Row],[QUANTIDADE]]</f>
        <v>#DIV/0!</v>
      </c>
      <c r="J30" s="2"/>
      <c r="K30" s="193"/>
      <c r="L30" s="8"/>
      <c r="M30" s="8"/>
      <c r="N30" s="8"/>
      <c r="O30" s="194"/>
      <c r="P30" s="195"/>
    </row>
    <row r="31" spans="1:17">
      <c r="A31" s="3"/>
      <c r="B31" s="3" t="str">
        <f>TEXT(Tabela223456[[#This Row],[DATA]],"mmmm")</f>
        <v>janeiro</v>
      </c>
      <c r="C31" s="2"/>
      <c r="D31" s="2"/>
      <c r="E31" s="2"/>
      <c r="F31" s="2"/>
      <c r="G31" s="173"/>
      <c r="H31" s="174"/>
      <c r="I31" s="173" t="e">
        <f>Tabela22[[#This Row],[PESO TOTAL]]/Tabela22[[#This Row],[QUANTIDADE]]</f>
        <v>#DIV/0!</v>
      </c>
      <c r="J31" s="2"/>
      <c r="K31" s="193"/>
      <c r="L31" s="8"/>
      <c r="M31" s="8"/>
      <c r="N31" s="8"/>
      <c r="O31" s="194"/>
      <c r="P31" s="195"/>
    </row>
    <row r="32" spans="1:17">
      <c r="A32" s="3"/>
      <c r="B32" s="3" t="str">
        <f>TEXT(Tabela223456[[#This Row],[DATA]],"mmmm")</f>
        <v>janeiro</v>
      </c>
      <c r="C32" s="2"/>
      <c r="D32" s="2"/>
      <c r="E32" s="2"/>
      <c r="F32" s="2"/>
      <c r="G32" s="173"/>
      <c r="H32" s="174"/>
      <c r="I32" s="173" t="e">
        <f>Tabela22[[#This Row],[PESO TOTAL]]/Tabela22[[#This Row],[QUANTIDADE]]</f>
        <v>#DIV/0!</v>
      </c>
      <c r="J32" s="2"/>
      <c r="K32" s="193"/>
      <c r="L32" s="8"/>
      <c r="M32" s="8"/>
      <c r="N32" s="8"/>
      <c r="O32" s="194"/>
      <c r="P32" s="195"/>
    </row>
    <row r="33" spans="1:16">
      <c r="A33" s="3"/>
      <c r="B33" s="3" t="str">
        <f>TEXT(Tabela223456[[#This Row],[DATA]],"mmmm")</f>
        <v>janeiro</v>
      </c>
      <c r="C33" s="2"/>
      <c r="D33" s="2"/>
      <c r="E33" s="2"/>
      <c r="F33" s="2"/>
      <c r="G33" s="173"/>
      <c r="H33" s="174"/>
      <c r="I33" s="173" t="e">
        <f>Tabela22[[#This Row],[PESO TOTAL]]/Tabela22[[#This Row],[QUANTIDADE]]</f>
        <v>#DIV/0!</v>
      </c>
      <c r="J33" s="2"/>
      <c r="K33" s="193"/>
      <c r="L33" s="8"/>
      <c r="M33" s="8"/>
      <c r="N33" s="8"/>
      <c r="O33" s="194"/>
      <c r="P33" s="195"/>
    </row>
    <row r="34" spans="1:16">
      <c r="A34" s="3"/>
      <c r="B34" s="3" t="str">
        <f>TEXT(Tabela223456[[#This Row],[DATA]],"mmmm")</f>
        <v>janeiro</v>
      </c>
      <c r="C34" s="2"/>
      <c r="D34" s="2"/>
      <c r="E34" s="2"/>
      <c r="F34" s="2"/>
      <c r="G34" s="173"/>
      <c r="H34" s="174"/>
      <c r="I34" s="174" t="e">
        <f>SUM(Tabela223456[[#This Row],[PESO TOTAL]]/Tabela223456[[#This Row],[QUANTIDADE]])</f>
        <v>#DIV/0!</v>
      </c>
      <c r="J34" s="2"/>
      <c r="K34" s="193"/>
      <c r="L34" s="8"/>
      <c r="M34" s="8"/>
      <c r="N34" s="8"/>
      <c r="O34" s="194"/>
      <c r="P34" s="195"/>
    </row>
    <row r="35" spans="1:16">
      <c r="A35" s="3"/>
      <c r="B35" s="3" t="str">
        <f>TEXT(Tabela223456[[#This Row],[DATA]],"mmmm")</f>
        <v>janeiro</v>
      </c>
      <c r="C35" s="2"/>
      <c r="D35" s="2"/>
      <c r="E35" s="2"/>
      <c r="F35" s="2"/>
      <c r="G35" s="173"/>
      <c r="H35" s="174"/>
      <c r="I35" s="173" t="e">
        <f>Tabela22[[#This Row],[PESO TOTAL]]/Tabela22[[#This Row],[QUANTIDADE]]</f>
        <v>#DIV/0!</v>
      </c>
      <c r="J35" s="2"/>
      <c r="K35" s="193"/>
      <c r="L35" s="8"/>
      <c r="M35" s="8"/>
      <c r="N35" s="8"/>
      <c r="O35" s="194"/>
      <c r="P35" s="195"/>
    </row>
    <row r="36" spans="1:16">
      <c r="A36" s="3"/>
      <c r="B36" s="3" t="str">
        <f>TEXT(Tabela223456[[#This Row],[DATA]],"mmmm")</f>
        <v>janeiro</v>
      </c>
      <c r="C36" s="2"/>
      <c r="D36" s="2"/>
      <c r="E36" s="2"/>
      <c r="F36" s="2"/>
      <c r="G36" s="173"/>
      <c r="H36" s="174"/>
      <c r="I36" s="173" t="e">
        <f>Tabela22[[#This Row],[PESO TOTAL]]/Tabela22[[#This Row],[QUANTIDADE]]</f>
        <v>#DIV/0!</v>
      </c>
      <c r="J36" s="2"/>
      <c r="K36" s="193"/>
      <c r="L36" s="8"/>
      <c r="M36" s="8"/>
      <c r="N36" s="8"/>
      <c r="O36" s="194"/>
      <c r="P36" s="195"/>
    </row>
    <row r="37" spans="1:16">
      <c r="A37" s="3"/>
      <c r="B37" s="3" t="str">
        <f>TEXT(Tabela223456[[#This Row],[DATA]],"mmmm")</f>
        <v>janeiro</v>
      </c>
      <c r="C37" s="2"/>
      <c r="D37" s="2"/>
      <c r="E37" s="2"/>
      <c r="F37" s="2"/>
      <c r="G37" s="173"/>
      <c r="H37" s="174"/>
      <c r="I37" s="173" t="e">
        <f>Tabela22[[#This Row],[PESO TOTAL]]/Tabela22[[#This Row],[QUANTIDADE]]</f>
        <v>#DIV/0!</v>
      </c>
      <c r="J37" s="2"/>
      <c r="K37" s="193"/>
      <c r="L37" s="8"/>
      <c r="M37" s="8"/>
      <c r="N37" s="8"/>
      <c r="O37" s="194"/>
      <c r="P37" s="195"/>
    </row>
    <row r="38" spans="1:16">
      <c r="A38" s="3"/>
      <c r="B38" s="3" t="str">
        <f>TEXT(Tabela223456[[#This Row],[DATA]],"mmmm")</f>
        <v>janeiro</v>
      </c>
      <c r="C38" s="2"/>
      <c r="D38" s="2"/>
      <c r="E38" s="2"/>
      <c r="F38" s="2"/>
      <c r="G38" s="173"/>
      <c r="H38" s="174"/>
      <c r="I38" s="173" t="e">
        <f>Tabela22[[#This Row],[PESO TOTAL]]/Tabela22[[#This Row],[QUANTIDADE]]</f>
        <v>#DIV/0!</v>
      </c>
      <c r="J38" s="2"/>
      <c r="K38" s="193"/>
      <c r="L38" s="8"/>
      <c r="M38" s="8"/>
      <c r="N38" s="8"/>
      <c r="O38" s="194"/>
      <c r="P38" s="195"/>
    </row>
    <row r="39" spans="1:16">
      <c r="A39" s="3"/>
      <c r="B39" s="3" t="str">
        <f>TEXT(Tabela223456[[#This Row],[DATA]],"mmmm")</f>
        <v>janeiro</v>
      </c>
      <c r="C39" s="2"/>
      <c r="D39" s="2"/>
      <c r="E39" s="2"/>
      <c r="F39" s="2"/>
      <c r="G39" s="173"/>
      <c r="H39" s="174"/>
      <c r="I39" s="173" t="e">
        <f>Tabela22[[#This Row],[PESO TOTAL]]/Tabela22[[#This Row],[QUANTIDADE]]</f>
        <v>#DIV/0!</v>
      </c>
      <c r="J39" s="2"/>
      <c r="K39" s="193"/>
      <c r="L39" s="8"/>
      <c r="M39" s="8"/>
      <c r="N39" s="8"/>
      <c r="O39" s="194"/>
      <c r="P39" s="195"/>
    </row>
    <row r="40" spans="1:16">
      <c r="A40" s="3"/>
      <c r="B40" s="3" t="str">
        <f>TEXT(Tabela223456[[#This Row],[DATA]],"mmmm")</f>
        <v>janeiro</v>
      </c>
      <c r="C40" s="2"/>
      <c r="D40" s="2"/>
      <c r="E40" s="2"/>
      <c r="F40" s="2"/>
      <c r="G40" s="173"/>
      <c r="H40" s="174"/>
      <c r="I40" s="173" t="e">
        <f>Tabela22[[#This Row],[PESO TOTAL]]/Tabela22[[#This Row],[QUANTIDADE]]</f>
        <v>#DIV/0!</v>
      </c>
      <c r="J40" s="2"/>
      <c r="K40" s="193"/>
      <c r="L40" s="8"/>
      <c r="M40" s="8"/>
      <c r="N40" s="8"/>
      <c r="O40" s="194"/>
      <c r="P40" s="195"/>
    </row>
    <row r="41" spans="1:16">
      <c r="A41" s="3"/>
      <c r="B41" s="3" t="str">
        <f>TEXT(Tabela223456[[#This Row],[DATA]],"mmmm")</f>
        <v>janeiro</v>
      </c>
      <c r="C41" s="2"/>
      <c r="D41" s="2"/>
      <c r="E41" s="2"/>
      <c r="F41" s="2"/>
      <c r="G41" s="173"/>
      <c r="H41" s="174"/>
      <c r="I41" s="173" t="e">
        <f>Tabela22[[#This Row],[PESO TOTAL]]/Tabela22[[#This Row],[QUANTIDADE]]</f>
        <v>#DIV/0!</v>
      </c>
      <c r="J41" s="2"/>
      <c r="K41" s="193"/>
      <c r="L41" s="8"/>
      <c r="M41" s="8"/>
      <c r="N41" s="8"/>
      <c r="O41" s="194"/>
      <c r="P41" s="195"/>
    </row>
    <row r="42" spans="1:16">
      <c r="A42" s="3"/>
      <c r="B42" s="3" t="str">
        <f>TEXT(Tabela223456[[#This Row],[DATA]],"mmmm")</f>
        <v>janeiro</v>
      </c>
      <c r="C42" s="2"/>
      <c r="D42" s="2"/>
      <c r="E42" s="2"/>
      <c r="F42" s="2"/>
      <c r="G42" s="173"/>
      <c r="H42" s="174"/>
      <c r="I42" s="173" t="e">
        <f>Tabela22[[#This Row],[PESO TOTAL]]/Tabela22[[#This Row],[QUANTIDADE]]</f>
        <v>#DIV/0!</v>
      </c>
      <c r="J42" s="2"/>
      <c r="K42" s="193"/>
      <c r="L42" s="8"/>
      <c r="M42" s="8"/>
      <c r="N42" s="8"/>
      <c r="O42" s="194"/>
      <c r="P42" s="195"/>
    </row>
    <row r="43" spans="1:16">
      <c r="A43" s="3"/>
      <c r="B43" s="3" t="str">
        <f>TEXT(Tabela223456[[#This Row],[DATA]],"mmmm")</f>
        <v>janeiro</v>
      </c>
      <c r="C43" s="2"/>
      <c r="D43" s="2"/>
      <c r="E43" s="2"/>
      <c r="F43" s="2"/>
      <c r="G43" s="173"/>
      <c r="H43" s="174"/>
      <c r="I43" s="173" t="e">
        <f>Tabela22[[#This Row],[PESO TOTAL]]/Tabela22[[#This Row],[QUANTIDADE]]</f>
        <v>#DIV/0!</v>
      </c>
      <c r="J43" s="2"/>
      <c r="K43" s="193"/>
      <c r="L43" s="8"/>
      <c r="M43" s="8"/>
      <c r="N43" s="8"/>
      <c r="O43" s="194"/>
      <c r="P43" s="195"/>
    </row>
    <row r="44" spans="1:16">
      <c r="A44" s="3"/>
      <c r="B44" s="3" t="str">
        <f>TEXT(Tabela223456[[#This Row],[DATA]],"mmmm")</f>
        <v>janeiro</v>
      </c>
      <c r="C44" s="2"/>
      <c r="D44" s="2"/>
      <c r="E44" s="2"/>
      <c r="F44" s="2"/>
      <c r="G44" s="173"/>
      <c r="H44" s="174"/>
      <c r="I44" s="173" t="e">
        <f>Tabela22[[#This Row],[PESO TOTAL]]/Tabela22[[#This Row],[QUANTIDADE]]</f>
        <v>#DIV/0!</v>
      </c>
      <c r="J44" s="2"/>
      <c r="K44" s="193"/>
      <c r="L44" s="8"/>
      <c r="M44" s="8"/>
      <c r="N44" s="8"/>
      <c r="O44" s="194"/>
      <c r="P44" s="195"/>
    </row>
    <row r="45" spans="1:16">
      <c r="A45" s="3"/>
      <c r="B45" s="3" t="str">
        <f>TEXT(Tabela223456[[#This Row],[DATA]],"mmmm")</f>
        <v>janeiro</v>
      </c>
      <c r="C45" s="2"/>
      <c r="D45" s="2"/>
      <c r="E45" s="2"/>
      <c r="F45" s="2"/>
      <c r="G45" s="173"/>
      <c r="H45" s="174"/>
      <c r="I45" s="173" t="e">
        <f>Tabela22[[#This Row],[PESO TOTAL]]/Tabela22[[#This Row],[QUANTIDADE]]</f>
        <v>#DIV/0!</v>
      </c>
      <c r="J45" s="2"/>
      <c r="K45" s="193"/>
      <c r="L45" s="8"/>
      <c r="M45" s="8"/>
      <c r="N45" s="8"/>
      <c r="O45" s="194"/>
      <c r="P45" s="195"/>
    </row>
    <row r="46" spans="1:16">
      <c r="A46" s="3"/>
      <c r="B46" s="3" t="str">
        <f>TEXT(Tabela223456[[#This Row],[DATA]],"mmmm")</f>
        <v>janeiro</v>
      </c>
      <c r="C46" s="2"/>
      <c r="D46" s="2"/>
      <c r="E46" s="2"/>
      <c r="F46" s="2"/>
      <c r="G46" s="173"/>
      <c r="H46" s="174"/>
      <c r="I46" s="173" t="e">
        <f>Tabela22[[#This Row],[PESO TOTAL]]/Tabela22[[#This Row],[QUANTIDADE]]</f>
        <v>#DIV/0!</v>
      </c>
      <c r="J46" s="2"/>
      <c r="K46" s="193"/>
      <c r="L46" s="8"/>
      <c r="M46" s="8"/>
      <c r="N46" s="8"/>
      <c r="O46" s="194"/>
      <c r="P46" s="195"/>
    </row>
    <row r="47" spans="1:16">
      <c r="A47" s="3"/>
      <c r="B47" s="3" t="str">
        <f>TEXT(Tabela223456[[#This Row],[DATA]],"mmmm")</f>
        <v>janeiro</v>
      </c>
      <c r="C47" s="2"/>
      <c r="D47" s="2"/>
      <c r="E47" s="2"/>
      <c r="F47" s="2"/>
      <c r="G47" s="173"/>
      <c r="H47" s="174"/>
      <c r="I47" s="173" t="e">
        <f>Tabela22[[#This Row],[PESO TOTAL]]/Tabela22[[#This Row],[QUANTIDADE]]</f>
        <v>#DIV/0!</v>
      </c>
      <c r="J47" s="2"/>
      <c r="K47" s="193"/>
      <c r="L47" s="8"/>
      <c r="M47" s="8"/>
      <c r="N47" s="8"/>
      <c r="O47" s="194"/>
      <c r="P47" s="195"/>
    </row>
    <row r="48" spans="1:16">
      <c r="A48" s="3"/>
      <c r="B48" s="3" t="str">
        <f>TEXT(Tabela223456[[#This Row],[DATA]],"mmmm")</f>
        <v>janeiro</v>
      </c>
      <c r="C48" s="2"/>
      <c r="D48" s="2"/>
      <c r="E48" s="2"/>
      <c r="F48" s="2"/>
      <c r="G48" s="173"/>
      <c r="H48" s="174"/>
      <c r="I48" s="173" t="e">
        <f>Tabela22[[#This Row],[PESO TOTAL]]/Tabela22[[#This Row],[QUANTIDADE]]</f>
        <v>#DIV/0!</v>
      </c>
      <c r="J48" s="2"/>
      <c r="K48" s="193"/>
      <c r="L48" s="8"/>
      <c r="M48" s="8"/>
      <c r="N48" s="8"/>
      <c r="O48" s="194"/>
      <c r="P48" s="195"/>
    </row>
    <row r="49" spans="1:16">
      <c r="A49" s="3"/>
      <c r="B49" s="3" t="str">
        <f>TEXT(Tabela223456[[#This Row],[DATA]],"mmmm")</f>
        <v>janeiro</v>
      </c>
      <c r="C49" s="2"/>
      <c r="D49" s="2"/>
      <c r="E49" s="2"/>
      <c r="F49" s="2"/>
      <c r="G49" s="173"/>
      <c r="H49" s="174"/>
      <c r="I49" s="173" t="e">
        <f>Tabela22[[#This Row],[PESO TOTAL]]/Tabela22[[#This Row],[QUANTIDADE]]</f>
        <v>#DIV/0!</v>
      </c>
      <c r="J49" s="2"/>
      <c r="K49" s="193"/>
      <c r="L49" s="8"/>
      <c r="M49" s="8"/>
      <c r="N49" s="8"/>
      <c r="O49" s="194"/>
      <c r="P49" s="195"/>
    </row>
    <row r="50" spans="1:16">
      <c r="A50" s="3"/>
      <c r="B50" s="3" t="str">
        <f>TEXT(Tabela223456[[#This Row],[DATA]],"mmmm")</f>
        <v>janeiro</v>
      </c>
      <c r="C50" s="2"/>
      <c r="D50" s="2"/>
      <c r="E50" s="2"/>
      <c r="F50" s="2"/>
      <c r="G50" s="173"/>
      <c r="H50" s="174"/>
      <c r="I50" s="173" t="e">
        <f>Tabela22[[#This Row],[PESO TOTAL]]/Tabela22[[#This Row],[QUANTIDADE]]</f>
        <v>#DIV/0!</v>
      </c>
      <c r="J50" s="2"/>
      <c r="K50" s="193"/>
      <c r="L50" s="8"/>
      <c r="M50" s="8"/>
      <c r="N50" s="8"/>
      <c r="O50" s="194"/>
      <c r="P50" s="195"/>
    </row>
    <row r="51" spans="1:16">
      <c r="A51" s="3"/>
      <c r="B51" s="3" t="str">
        <f>TEXT(Tabela223456[[#This Row],[DATA]],"mmmm")</f>
        <v>janeiro</v>
      </c>
      <c r="C51" s="2"/>
      <c r="D51" s="2"/>
      <c r="E51" s="2"/>
      <c r="F51" s="2"/>
      <c r="G51" s="173"/>
      <c r="H51" s="174"/>
      <c r="I51" s="173" t="e">
        <f>Tabela22[[#This Row],[PESO TOTAL]]/Tabela22[[#This Row],[QUANTIDADE]]</f>
        <v>#DIV/0!</v>
      </c>
      <c r="J51" s="2"/>
      <c r="K51" s="193"/>
      <c r="L51" s="8"/>
      <c r="M51" s="8"/>
      <c r="N51" s="8"/>
      <c r="O51" s="194"/>
      <c r="P51" s="195"/>
    </row>
    <row r="52" spans="1:16">
      <c r="A52" s="3"/>
      <c r="B52" s="3" t="str">
        <f>TEXT(Tabela223456[[#This Row],[DATA]],"mmmm")</f>
        <v>janeiro</v>
      </c>
      <c r="C52" s="2"/>
      <c r="D52" s="2"/>
      <c r="E52" s="2"/>
      <c r="F52" s="2"/>
      <c r="G52" s="173"/>
      <c r="H52" s="174"/>
      <c r="I52" s="173" t="e">
        <f>Tabela22[[#This Row],[PESO TOTAL]]/Tabela22[[#This Row],[QUANTIDADE]]</f>
        <v>#DIV/0!</v>
      </c>
      <c r="J52" s="2"/>
      <c r="K52" s="193"/>
      <c r="L52" s="8"/>
      <c r="M52" s="8"/>
      <c r="N52" s="8"/>
      <c r="O52" s="194"/>
      <c r="P52" s="195"/>
    </row>
    <row r="53" spans="1:16">
      <c r="A53" s="3"/>
      <c r="B53" s="3" t="str">
        <f>TEXT(Tabela223456[[#This Row],[DATA]],"mmmm")</f>
        <v>janeiro</v>
      </c>
      <c r="C53" s="2"/>
      <c r="D53" s="2"/>
      <c r="E53" s="2"/>
      <c r="F53" s="2"/>
      <c r="G53" s="173"/>
      <c r="H53" s="174"/>
      <c r="I53" s="173" t="e">
        <f>Tabela22[[#This Row],[PESO TOTAL]]/Tabela22[[#This Row],[QUANTIDADE]]</f>
        <v>#DIV/0!</v>
      </c>
      <c r="J53" s="2"/>
      <c r="K53" s="193"/>
      <c r="L53" s="8"/>
      <c r="M53" s="8"/>
      <c r="N53" s="8"/>
      <c r="O53" s="194"/>
      <c r="P53" s="195"/>
    </row>
    <row r="54" spans="1:16">
      <c r="A54" s="3"/>
      <c r="B54" s="3" t="str">
        <f>TEXT(Tabela223456[[#This Row],[DATA]],"mmmm")</f>
        <v>janeiro</v>
      </c>
      <c r="C54" s="2"/>
      <c r="D54" s="2"/>
      <c r="E54" s="2"/>
      <c r="F54" s="2"/>
      <c r="G54" s="173"/>
      <c r="H54" s="174"/>
      <c r="I54" s="173" t="e">
        <f>Tabela22[[#This Row],[PESO TOTAL]]/Tabela22[[#This Row],[QUANTIDADE]]</f>
        <v>#DIV/0!</v>
      </c>
      <c r="J54" s="2"/>
      <c r="K54" s="193"/>
      <c r="L54" s="8"/>
      <c r="M54" s="8"/>
      <c r="N54" s="8"/>
      <c r="O54" s="194"/>
      <c r="P54" s="195"/>
    </row>
    <row r="55" spans="1:16">
      <c r="A55" s="3"/>
      <c r="B55" s="3" t="str">
        <f>TEXT(Tabela223456[[#This Row],[DATA]],"mmmm")</f>
        <v>janeiro</v>
      </c>
      <c r="C55" s="2"/>
      <c r="D55" s="2"/>
      <c r="E55" s="2"/>
      <c r="F55" s="2"/>
      <c r="G55" s="173"/>
      <c r="H55" s="174"/>
      <c r="I55" s="173" t="e">
        <f>Tabela22[[#This Row],[PESO TOTAL]]/Tabela22[[#This Row],[QUANTIDADE]]</f>
        <v>#DIV/0!</v>
      </c>
      <c r="J55" s="2"/>
      <c r="K55" s="193"/>
      <c r="L55" s="8"/>
      <c r="M55" s="8"/>
      <c r="N55" s="8"/>
      <c r="O55" s="194"/>
      <c r="P55" s="195"/>
    </row>
    <row r="56" spans="1:16">
      <c r="A56" s="3"/>
      <c r="B56" s="3" t="str">
        <f>TEXT(Tabela223456[[#This Row],[DATA]],"mmmm")</f>
        <v>janeiro</v>
      </c>
      <c r="C56" s="2"/>
      <c r="D56" s="2"/>
      <c r="E56" s="2"/>
      <c r="F56" s="2"/>
      <c r="G56" s="173"/>
      <c r="H56" s="174"/>
      <c r="I56" s="173" t="e">
        <f>Tabela22[[#This Row],[PESO TOTAL]]/Tabela22[[#This Row],[QUANTIDADE]]</f>
        <v>#DIV/0!</v>
      </c>
      <c r="J56" s="2"/>
      <c r="K56" s="193"/>
      <c r="L56" s="8"/>
      <c r="M56" s="8"/>
      <c r="N56" s="8"/>
      <c r="O56" s="194"/>
      <c r="P56" s="195"/>
    </row>
    <row r="57" spans="1:16">
      <c r="A57" s="3"/>
      <c r="B57" s="3" t="str">
        <f>TEXT(Tabela223456[[#This Row],[DATA]],"mmmm")</f>
        <v>janeiro</v>
      </c>
      <c r="C57" s="2"/>
      <c r="D57" s="2"/>
      <c r="E57" s="2"/>
      <c r="F57" s="2"/>
      <c r="G57" s="173"/>
      <c r="H57" s="174"/>
      <c r="I57" s="173" t="e">
        <f>Tabela22[[#This Row],[PESO TOTAL]]/Tabela22[[#This Row],[QUANTIDADE]]</f>
        <v>#DIV/0!</v>
      </c>
      <c r="J57" s="2"/>
      <c r="K57" s="193"/>
      <c r="L57" s="8"/>
      <c r="M57" s="8"/>
      <c r="N57" s="8"/>
      <c r="O57" s="194"/>
      <c r="P57" s="195"/>
    </row>
    <row r="58" spans="1:16">
      <c r="A58" s="3"/>
      <c r="B58" s="3" t="str">
        <f>TEXT(Tabela223456[[#This Row],[DATA]],"mmmm")</f>
        <v>janeiro</v>
      </c>
      <c r="C58" s="2"/>
      <c r="D58" s="2"/>
      <c r="E58" s="2"/>
      <c r="F58" s="2"/>
      <c r="G58" s="173"/>
      <c r="H58" s="174"/>
      <c r="I58" s="173" t="e">
        <f>Tabela22[[#This Row],[PESO TOTAL]]/Tabela22[[#This Row],[QUANTIDADE]]</f>
        <v>#DIV/0!</v>
      </c>
      <c r="J58" s="2"/>
      <c r="K58" s="193"/>
      <c r="L58" s="8"/>
      <c r="M58" s="8"/>
      <c r="N58" s="8"/>
      <c r="O58" s="194"/>
      <c r="P58" s="195"/>
    </row>
    <row r="59" spans="1:16">
      <c r="A59" s="3"/>
      <c r="B59" s="3" t="str">
        <f>TEXT(Tabela223456[[#This Row],[DATA]],"mmmm")</f>
        <v>janeiro</v>
      </c>
      <c r="C59" s="2"/>
      <c r="D59" s="2"/>
      <c r="E59" s="2"/>
      <c r="F59" s="2"/>
      <c r="G59" s="173"/>
      <c r="H59" s="174"/>
      <c r="I59" s="173" t="e">
        <f>Tabela22[[#This Row],[PESO TOTAL]]/Tabela22[[#This Row],[QUANTIDADE]]</f>
        <v>#DIV/0!</v>
      </c>
      <c r="J59" s="2"/>
      <c r="K59" s="193"/>
      <c r="L59" s="8"/>
      <c r="M59" s="8"/>
      <c r="N59" s="8"/>
      <c r="O59" s="194"/>
      <c r="P59" s="195"/>
    </row>
    <row r="60" spans="1:16">
      <c r="A60" s="3"/>
      <c r="B60" s="3" t="str">
        <f>TEXT(Tabela223456[[#This Row],[DATA]],"mmmm")</f>
        <v>janeiro</v>
      </c>
      <c r="C60" s="2"/>
      <c r="D60" s="2"/>
      <c r="E60" s="2"/>
      <c r="F60" s="2"/>
      <c r="G60" s="173"/>
      <c r="H60" s="174"/>
      <c r="I60" s="173" t="e">
        <f>Tabela22[[#This Row],[PESO TOTAL]]/Tabela22[[#This Row],[QUANTIDADE]]</f>
        <v>#DIV/0!</v>
      </c>
      <c r="J60" s="2"/>
      <c r="K60" s="193"/>
      <c r="L60" s="8"/>
      <c r="M60" s="8"/>
      <c r="N60" s="8"/>
      <c r="O60" s="194"/>
      <c r="P60" s="195"/>
    </row>
    <row r="61" spans="1:16">
      <c r="A61" s="3"/>
      <c r="B61" s="3" t="str">
        <f>TEXT(Tabela223456[[#This Row],[DATA]],"mmmm")</f>
        <v>janeiro</v>
      </c>
      <c r="C61" s="2"/>
      <c r="D61" s="2"/>
      <c r="E61" s="2"/>
      <c r="F61" s="2"/>
      <c r="G61" s="173"/>
      <c r="H61" s="174"/>
      <c r="I61" s="173" t="e">
        <f>Tabela22[[#This Row],[PESO TOTAL]]/Tabela22[[#This Row],[QUANTIDADE]]</f>
        <v>#DIV/0!</v>
      </c>
      <c r="J61" s="2"/>
      <c r="K61" s="193"/>
      <c r="L61" s="8"/>
      <c r="M61" s="8"/>
      <c r="N61" s="8"/>
      <c r="O61" s="194"/>
      <c r="P61" s="195"/>
    </row>
    <row r="62" spans="1:16">
      <c r="A62" s="3"/>
      <c r="B62" s="3" t="str">
        <f>TEXT(Tabela223456[[#This Row],[DATA]],"mmmm")</f>
        <v>janeiro</v>
      </c>
      <c r="C62" s="2"/>
      <c r="D62" s="2"/>
      <c r="E62" s="2"/>
      <c r="F62" s="2"/>
      <c r="G62" s="173"/>
      <c r="H62" s="174"/>
      <c r="I62" s="173" t="e">
        <f>Tabela22[[#This Row],[PESO TOTAL]]/Tabela22[[#This Row],[QUANTIDADE]]</f>
        <v>#DIV/0!</v>
      </c>
      <c r="J62" s="2"/>
      <c r="K62" s="193"/>
      <c r="L62" s="8"/>
      <c r="M62" s="8"/>
      <c r="N62" s="8"/>
      <c r="O62" s="194"/>
      <c r="P62" s="195"/>
    </row>
    <row r="63" spans="1:16">
      <c r="A63" s="3"/>
      <c r="B63" s="3" t="str">
        <f>TEXT(Tabela223456[[#This Row],[DATA]],"mmmm")</f>
        <v>janeiro</v>
      </c>
      <c r="C63" s="2"/>
      <c r="D63" s="2"/>
      <c r="E63" s="2"/>
      <c r="F63" s="2"/>
      <c r="G63" s="173"/>
      <c r="H63" s="174"/>
      <c r="I63" s="173" t="e">
        <f>Tabela22[[#This Row],[PESO TOTAL]]/Tabela22[[#This Row],[QUANTIDADE]]</f>
        <v>#DIV/0!</v>
      </c>
      <c r="J63" s="2"/>
      <c r="K63" s="193"/>
      <c r="L63" s="8"/>
      <c r="M63" s="8"/>
      <c r="N63" s="8"/>
      <c r="O63" s="194"/>
      <c r="P63" s="195"/>
    </row>
    <row r="64" spans="1:16">
      <c r="A64" s="3"/>
      <c r="B64" s="3" t="str">
        <f>TEXT(Tabela223456[[#This Row],[DATA]],"mmmm")</f>
        <v>janeiro</v>
      </c>
      <c r="C64" s="2"/>
      <c r="D64" s="2"/>
      <c r="E64" s="2"/>
      <c r="F64" s="2"/>
      <c r="G64" s="173"/>
      <c r="H64" s="174"/>
      <c r="I64" s="173" t="e">
        <f>Tabela22[[#This Row],[PESO TOTAL]]/Tabela22[[#This Row],[QUANTIDADE]]</f>
        <v>#DIV/0!</v>
      </c>
      <c r="J64" s="2"/>
      <c r="K64" s="193"/>
      <c r="L64" s="8"/>
      <c r="M64" s="8"/>
      <c r="N64" s="8"/>
      <c r="O64" s="194"/>
      <c r="P64" s="195"/>
    </row>
    <row r="65" spans="1:16">
      <c r="A65" s="3"/>
      <c r="B65" s="3" t="str">
        <f>TEXT(Tabela223456[[#This Row],[DATA]],"mmmm")</f>
        <v>janeiro</v>
      </c>
      <c r="C65" s="2"/>
      <c r="D65" s="2"/>
      <c r="E65" s="2"/>
      <c r="F65" s="2"/>
      <c r="G65" s="173"/>
      <c r="H65" s="174"/>
      <c r="I65" s="173" t="e">
        <f>Tabela22[[#This Row],[PESO TOTAL]]/Tabela22[[#This Row],[QUANTIDADE]]</f>
        <v>#DIV/0!</v>
      </c>
      <c r="J65" s="2"/>
      <c r="K65" s="193"/>
      <c r="L65" s="8"/>
      <c r="M65" s="8"/>
      <c r="N65" s="8"/>
      <c r="O65" s="194"/>
      <c r="P65" s="195"/>
    </row>
    <row r="66" spans="1:16">
      <c r="A66" s="3"/>
      <c r="B66" s="3" t="str">
        <f>TEXT(Tabela223456[[#This Row],[DATA]],"mmmm")</f>
        <v>janeiro</v>
      </c>
      <c r="C66" s="2"/>
      <c r="D66" s="2"/>
      <c r="E66" s="2"/>
      <c r="F66" s="2"/>
      <c r="G66" s="173"/>
      <c r="H66" s="174"/>
      <c r="I66" s="173" t="e">
        <f>Tabela22[[#This Row],[PESO TOTAL]]/Tabela22[[#This Row],[QUANTIDADE]]</f>
        <v>#DIV/0!</v>
      </c>
      <c r="J66" s="2"/>
      <c r="K66" s="193"/>
      <c r="L66" s="8"/>
      <c r="M66" s="8"/>
      <c r="N66" s="8"/>
      <c r="O66" s="194"/>
      <c r="P66" s="195"/>
    </row>
    <row r="67" spans="1:16">
      <c r="A67" s="3"/>
      <c r="B67" s="3" t="str">
        <f>TEXT(Tabela223456[[#This Row],[DATA]],"mmmm")</f>
        <v>janeiro</v>
      </c>
      <c r="C67" s="2"/>
      <c r="D67" s="2"/>
      <c r="E67" s="2"/>
      <c r="F67" s="2"/>
      <c r="G67" s="173"/>
      <c r="H67" s="174"/>
      <c r="I67" s="173" t="e">
        <f>Tabela22[[#This Row],[PESO TOTAL]]/Tabela22[[#This Row],[QUANTIDADE]]</f>
        <v>#DIV/0!</v>
      </c>
      <c r="J67" s="2"/>
      <c r="K67" s="193"/>
      <c r="L67" s="8"/>
      <c r="M67" s="8"/>
      <c r="N67" s="8"/>
      <c r="O67" s="194"/>
      <c r="P67" s="195"/>
    </row>
    <row r="68" spans="1:16">
      <c r="A68" s="3"/>
      <c r="B68" s="3" t="str">
        <f>TEXT(Tabela223456[[#This Row],[DATA]],"mmmm")</f>
        <v>janeiro</v>
      </c>
      <c r="C68" s="2"/>
      <c r="D68" s="2"/>
      <c r="E68" s="2"/>
      <c r="F68" s="2"/>
      <c r="G68" s="173"/>
      <c r="H68" s="174"/>
      <c r="I68" s="173" t="e">
        <f>Tabela22[[#This Row],[PESO TOTAL]]/Tabela22[[#This Row],[QUANTIDADE]]</f>
        <v>#DIV/0!</v>
      </c>
      <c r="J68" s="2"/>
      <c r="K68" s="193"/>
      <c r="L68" s="8"/>
      <c r="M68" s="8"/>
      <c r="N68" s="8"/>
      <c r="O68" s="194"/>
      <c r="P68" s="195"/>
    </row>
    <row r="69" spans="1:16">
      <c r="A69" s="3"/>
      <c r="B69" s="3" t="str">
        <f>TEXT(Tabela223456[[#This Row],[DATA]],"mmmm")</f>
        <v>janeiro</v>
      </c>
      <c r="C69" s="2"/>
      <c r="D69" s="2"/>
      <c r="E69" s="2"/>
      <c r="F69" s="2"/>
      <c r="G69" s="173"/>
      <c r="H69" s="174"/>
      <c r="I69" s="173" t="e">
        <f>Tabela22[[#This Row],[PESO TOTAL]]/Tabela22[[#This Row],[QUANTIDADE]]</f>
        <v>#DIV/0!</v>
      </c>
      <c r="J69" s="2"/>
      <c r="K69" s="193"/>
      <c r="L69" s="8"/>
      <c r="M69" s="8"/>
      <c r="N69" s="8"/>
      <c r="O69" s="194"/>
      <c r="P69" s="195"/>
    </row>
    <row r="70" spans="1:16">
      <c r="A70" s="3"/>
      <c r="B70" s="3" t="str">
        <f>TEXT(Tabela223456[[#This Row],[DATA]],"mmmm")</f>
        <v>janeiro</v>
      </c>
      <c r="C70" s="2"/>
      <c r="D70" s="2"/>
      <c r="E70" s="2"/>
      <c r="F70" s="2"/>
      <c r="G70" s="173"/>
      <c r="H70" s="174"/>
      <c r="I70" s="173" t="e">
        <f>Tabela22[[#This Row],[PESO TOTAL]]/Tabela22[[#This Row],[QUANTIDADE]]</f>
        <v>#DIV/0!</v>
      </c>
      <c r="J70" s="2"/>
      <c r="K70" s="193"/>
      <c r="L70" s="8"/>
      <c r="M70" s="8"/>
      <c r="N70" s="8"/>
      <c r="O70" s="194"/>
      <c r="P70" s="195"/>
    </row>
    <row r="71" spans="1:16">
      <c r="A71" s="3"/>
      <c r="B71" s="3" t="str">
        <f>TEXT(Tabela223456[[#This Row],[DATA]],"mmmm")</f>
        <v>janeiro</v>
      </c>
      <c r="C71" s="2"/>
      <c r="D71" s="2"/>
      <c r="E71" s="2"/>
      <c r="F71" s="2"/>
      <c r="G71" s="173"/>
      <c r="H71" s="174"/>
      <c r="I71" s="173" t="e">
        <f>Tabela22[[#This Row],[PESO TOTAL]]/Tabela22[[#This Row],[QUANTIDADE]]</f>
        <v>#DIV/0!</v>
      </c>
      <c r="J71" s="2"/>
      <c r="K71" s="193"/>
      <c r="L71" s="8"/>
      <c r="M71" s="8"/>
      <c r="N71" s="8"/>
      <c r="O71" s="194"/>
      <c r="P71" s="195"/>
    </row>
    <row r="72" spans="1:16">
      <c r="A72" s="3"/>
      <c r="B72" s="3" t="str">
        <f>TEXT(Tabela223456[[#This Row],[DATA]],"mmmm")</f>
        <v>janeiro</v>
      </c>
      <c r="C72" s="2"/>
      <c r="D72" s="2"/>
      <c r="E72" s="2"/>
      <c r="F72" s="2"/>
      <c r="G72" s="173"/>
      <c r="H72" s="174"/>
      <c r="I72" s="173" t="e">
        <f>Tabela22[[#This Row],[PESO TOTAL]]/Tabela22[[#This Row],[QUANTIDADE]]</f>
        <v>#DIV/0!</v>
      </c>
      <c r="J72" s="2"/>
      <c r="K72" s="193"/>
      <c r="L72" s="8"/>
      <c r="M72" s="8"/>
      <c r="N72" s="8"/>
      <c r="O72" s="194"/>
      <c r="P72" s="195"/>
    </row>
    <row r="73" spans="1:16">
      <c r="A73" s="3"/>
      <c r="B73" s="3" t="str">
        <f>TEXT(Tabela223456[[#This Row],[DATA]],"mmmm")</f>
        <v>janeiro</v>
      </c>
      <c r="C73" s="2"/>
      <c r="D73" s="2"/>
      <c r="E73" s="2"/>
      <c r="F73" s="2"/>
      <c r="G73" s="173"/>
      <c r="H73" s="174"/>
      <c r="I73" s="173" t="e">
        <f>Tabela22[[#This Row],[PESO TOTAL]]/Tabela22[[#This Row],[QUANTIDADE]]</f>
        <v>#DIV/0!</v>
      </c>
      <c r="J73" s="2"/>
      <c r="K73" s="193"/>
      <c r="L73" s="8"/>
      <c r="M73" s="8"/>
      <c r="N73" s="8"/>
      <c r="O73" s="194"/>
      <c r="P73" s="195"/>
    </row>
    <row r="74" spans="1:16">
      <c r="A74" s="3"/>
      <c r="B74" s="3" t="str">
        <f>TEXT(Tabela223456[[#This Row],[DATA]],"mmmm")</f>
        <v>janeiro</v>
      </c>
      <c r="C74" s="2"/>
      <c r="D74" s="2"/>
      <c r="E74" s="2"/>
      <c r="F74" s="2"/>
      <c r="G74" s="173"/>
      <c r="H74" s="174"/>
      <c r="I74" s="173" t="e">
        <f>Tabela22[[#This Row],[PESO TOTAL]]/Tabela22[[#This Row],[QUANTIDADE]]</f>
        <v>#DIV/0!</v>
      </c>
      <c r="J74" s="2"/>
      <c r="K74" s="193"/>
      <c r="L74" s="8"/>
      <c r="M74" s="8"/>
      <c r="N74" s="8"/>
      <c r="O74" s="194"/>
      <c r="P74" s="195"/>
    </row>
    <row r="75" spans="1:16">
      <c r="A75" s="3"/>
      <c r="B75" s="3" t="str">
        <f>TEXT(Tabela223456[[#This Row],[DATA]],"mmmm")</f>
        <v>janeiro</v>
      </c>
      <c r="C75" s="2"/>
      <c r="D75" s="2"/>
      <c r="E75" s="2"/>
      <c r="F75" s="2"/>
      <c r="G75" s="173"/>
      <c r="H75" s="174"/>
      <c r="I75" s="173" t="e">
        <f>Tabela22[[#This Row],[PESO TOTAL]]/Tabela22[[#This Row],[QUANTIDADE]]</f>
        <v>#DIV/0!</v>
      </c>
      <c r="J75" s="2"/>
      <c r="K75" s="193"/>
      <c r="L75" s="8"/>
      <c r="M75" s="8"/>
      <c r="N75" s="8"/>
      <c r="O75" s="194"/>
      <c r="P75" s="195"/>
    </row>
    <row r="76" spans="1:16">
      <c r="A76" s="3"/>
      <c r="B76" s="3" t="str">
        <f>TEXT(Tabela223456[[#This Row],[DATA]],"mmmm")</f>
        <v>janeiro</v>
      </c>
      <c r="C76" s="2"/>
      <c r="D76" s="2"/>
      <c r="E76" s="2"/>
      <c r="F76" s="2"/>
      <c r="G76" s="173"/>
      <c r="H76" s="174"/>
      <c r="I76" s="173" t="e">
        <f>Tabela22[[#This Row],[PESO TOTAL]]/Tabela22[[#This Row],[QUANTIDADE]]</f>
        <v>#DIV/0!</v>
      </c>
      <c r="J76" s="2"/>
      <c r="K76" s="193"/>
      <c r="L76" s="8"/>
      <c r="M76" s="8"/>
      <c r="N76" s="8"/>
      <c r="O76" s="194"/>
      <c r="P76" s="195"/>
    </row>
    <row r="77" spans="1:16">
      <c r="A77" s="3"/>
      <c r="B77" s="3" t="str">
        <f>TEXT(Tabela223456[[#This Row],[DATA]],"mmmm")</f>
        <v>janeiro</v>
      </c>
      <c r="C77" s="2"/>
      <c r="D77" s="2"/>
      <c r="E77" s="2"/>
      <c r="F77" s="2"/>
      <c r="G77" s="173"/>
      <c r="H77" s="174"/>
      <c r="I77" s="173" t="e">
        <f>Tabela22[[#This Row],[PESO TOTAL]]/Tabela22[[#This Row],[QUANTIDADE]]</f>
        <v>#DIV/0!</v>
      </c>
      <c r="J77" s="2"/>
      <c r="K77" s="193"/>
      <c r="L77" s="8"/>
      <c r="M77" s="8"/>
      <c r="N77" s="8"/>
      <c r="O77" s="194"/>
      <c r="P77" s="195"/>
    </row>
    <row r="78" spans="1:16">
      <c r="A78" s="3"/>
      <c r="B78" s="3" t="str">
        <f>TEXT(Tabela223456[[#This Row],[DATA]],"mmmm")</f>
        <v>janeiro</v>
      </c>
      <c r="C78" s="2"/>
      <c r="D78" s="2"/>
      <c r="E78" s="2"/>
      <c r="F78" s="2"/>
      <c r="G78" s="173"/>
      <c r="H78" s="174"/>
      <c r="I78" s="173" t="e">
        <f>Tabela22[[#This Row],[PESO TOTAL]]/Tabela22[[#This Row],[QUANTIDADE]]</f>
        <v>#DIV/0!</v>
      </c>
      <c r="J78" s="2"/>
      <c r="K78" s="193"/>
      <c r="L78" s="8"/>
      <c r="M78" s="8"/>
      <c r="N78" s="8"/>
      <c r="O78" s="194"/>
      <c r="P78" s="195"/>
    </row>
    <row r="79" spans="1:16">
      <c r="A79" s="3"/>
      <c r="B79" s="3" t="str">
        <f>TEXT(Tabela223456[[#This Row],[DATA]],"mmmm")</f>
        <v>janeiro</v>
      </c>
      <c r="C79" s="2"/>
      <c r="D79" s="2"/>
      <c r="E79" s="2"/>
      <c r="F79" s="2"/>
      <c r="G79" s="173"/>
      <c r="H79" s="174"/>
      <c r="I79" s="173" t="e">
        <f>Tabela22[[#This Row],[PESO TOTAL]]/Tabela22[[#This Row],[QUANTIDADE]]</f>
        <v>#DIV/0!</v>
      </c>
      <c r="J79" s="2"/>
      <c r="K79" s="193"/>
      <c r="L79" s="8"/>
      <c r="M79" s="8"/>
      <c r="N79" s="8"/>
      <c r="O79" s="194"/>
      <c r="P79" s="195"/>
    </row>
    <row r="80" spans="1:16">
      <c r="A80" s="3"/>
      <c r="B80" s="3" t="str">
        <f>TEXT(Tabela223456[[#This Row],[DATA]],"mmmm")</f>
        <v>janeiro</v>
      </c>
      <c r="C80" s="2"/>
      <c r="D80" s="2"/>
      <c r="E80" s="2"/>
      <c r="F80" s="2"/>
      <c r="G80" s="173"/>
      <c r="H80" s="174"/>
      <c r="I80" s="173" t="e">
        <f>Tabela22[[#This Row],[PESO TOTAL]]/Tabela22[[#This Row],[QUANTIDADE]]</f>
        <v>#DIV/0!</v>
      </c>
      <c r="J80" s="2"/>
      <c r="K80" s="193"/>
      <c r="L80" s="8"/>
      <c r="M80" s="8"/>
      <c r="N80" s="8"/>
      <c r="O80" s="194"/>
      <c r="P80" s="195"/>
    </row>
    <row r="81" spans="1:16">
      <c r="A81" s="3"/>
      <c r="B81" s="3" t="str">
        <f>TEXT(Tabela223456[[#This Row],[DATA]],"mmmm")</f>
        <v>janeiro</v>
      </c>
      <c r="C81" s="2"/>
      <c r="D81" s="2"/>
      <c r="E81" s="2"/>
      <c r="F81" s="2"/>
      <c r="G81" s="173"/>
      <c r="H81" s="174"/>
      <c r="I81" s="173" t="e">
        <f>Tabela22[[#This Row],[PESO TOTAL]]/Tabela22[[#This Row],[QUANTIDADE]]</f>
        <v>#DIV/0!</v>
      </c>
      <c r="J81" s="2"/>
      <c r="K81" s="193"/>
      <c r="L81" s="8"/>
      <c r="M81" s="8"/>
      <c r="N81" s="8"/>
      <c r="O81" s="194"/>
      <c r="P81" s="195"/>
    </row>
    <row r="82" spans="1:16">
      <c r="A82" s="3"/>
      <c r="B82" s="3" t="str">
        <f>TEXT(Tabela223456[[#This Row],[DATA]],"mmmm")</f>
        <v>janeiro</v>
      </c>
      <c r="C82" s="2"/>
      <c r="D82" s="2"/>
      <c r="E82" s="2"/>
      <c r="F82" s="2"/>
      <c r="G82" s="173"/>
      <c r="H82" s="174"/>
      <c r="I82" s="173" t="e">
        <f>Tabela22[[#This Row],[PESO TOTAL]]/Tabela22[[#This Row],[QUANTIDADE]]</f>
        <v>#DIV/0!</v>
      </c>
      <c r="J82" s="2"/>
      <c r="K82" s="193"/>
      <c r="L82" s="8"/>
      <c r="M82" s="8"/>
      <c r="N82" s="8"/>
      <c r="O82" s="194"/>
      <c r="P82" s="195"/>
    </row>
    <row r="83" spans="1:16">
      <c r="A83" s="3"/>
      <c r="B83" s="3" t="str">
        <f>TEXT(Tabela223456[[#This Row],[DATA]],"mmmm")</f>
        <v>janeiro</v>
      </c>
      <c r="C83" s="2"/>
      <c r="D83" s="2"/>
      <c r="E83" s="2"/>
      <c r="F83" s="2"/>
      <c r="G83" s="173"/>
      <c r="H83" s="174"/>
      <c r="I83" s="173" t="e">
        <f>Tabela22[[#This Row],[PESO TOTAL]]/Tabela22[[#This Row],[QUANTIDADE]]</f>
        <v>#DIV/0!</v>
      </c>
      <c r="J83" s="2"/>
      <c r="K83" s="193"/>
      <c r="L83" s="8"/>
      <c r="M83" s="8"/>
      <c r="N83" s="8"/>
      <c r="O83" s="194"/>
      <c r="P83" s="195"/>
    </row>
    <row r="84" spans="1:16">
      <c r="A84" s="3"/>
      <c r="B84" s="3" t="str">
        <f>TEXT(Tabela223456[[#This Row],[DATA]],"mmmm")</f>
        <v>janeiro</v>
      </c>
      <c r="C84" s="2"/>
      <c r="D84" s="2"/>
      <c r="E84" s="2"/>
      <c r="F84" s="2"/>
      <c r="G84" s="173"/>
      <c r="H84" s="174"/>
      <c r="I84" s="173" t="e">
        <f>Tabela22[[#This Row],[PESO TOTAL]]/Tabela22[[#This Row],[QUANTIDADE]]</f>
        <v>#DIV/0!</v>
      </c>
      <c r="J84" s="2"/>
      <c r="K84" s="193"/>
      <c r="L84" s="8"/>
      <c r="M84" s="8"/>
      <c r="N84" s="8"/>
      <c r="O84" s="194"/>
      <c r="P84" s="195"/>
    </row>
    <row r="85" spans="1:16">
      <c r="A85" s="3"/>
      <c r="B85" s="3" t="str">
        <f>TEXT(Tabela223456[[#This Row],[DATA]],"mmmm")</f>
        <v>janeiro</v>
      </c>
      <c r="C85" s="2"/>
      <c r="D85" s="2"/>
      <c r="E85" s="2"/>
      <c r="F85" s="2"/>
      <c r="G85" s="173"/>
      <c r="H85" s="174"/>
      <c r="I85" s="173" t="e">
        <f>Tabela22[[#This Row],[PESO TOTAL]]/Tabela22[[#This Row],[QUANTIDADE]]</f>
        <v>#DIV/0!</v>
      </c>
      <c r="J85" s="2"/>
      <c r="K85" s="193"/>
      <c r="L85" s="8"/>
      <c r="M85" s="8"/>
      <c r="N85" s="8"/>
      <c r="O85" s="194"/>
      <c r="P85" s="195"/>
    </row>
    <row r="86" spans="1:16">
      <c r="A86" s="3"/>
      <c r="B86" s="3" t="str">
        <f>TEXT(Tabela223456[[#This Row],[DATA]],"mmmm")</f>
        <v>janeiro</v>
      </c>
      <c r="C86" s="2"/>
      <c r="D86" s="2"/>
      <c r="E86" s="2"/>
      <c r="F86" s="2"/>
      <c r="G86" s="173"/>
      <c r="H86" s="174"/>
      <c r="I86" s="173" t="e">
        <f>Tabela22[[#This Row],[PESO TOTAL]]/Tabela22[[#This Row],[QUANTIDADE]]</f>
        <v>#DIV/0!</v>
      </c>
      <c r="J86" s="2"/>
      <c r="K86" s="193"/>
      <c r="L86" s="8"/>
      <c r="M86" s="8"/>
      <c r="N86" s="8"/>
      <c r="O86" s="194"/>
      <c r="P86" s="195"/>
    </row>
    <row r="87" spans="1:16">
      <c r="A87" s="3"/>
      <c r="B87" s="3" t="str">
        <f>TEXT(Tabela223456[[#This Row],[DATA]],"mmmm")</f>
        <v>janeiro</v>
      </c>
      <c r="C87" s="2"/>
      <c r="D87" s="2"/>
      <c r="E87" s="2"/>
      <c r="F87" s="2"/>
      <c r="G87" s="173"/>
      <c r="H87" s="174"/>
      <c r="I87" s="173" t="e">
        <f>Tabela22[[#This Row],[PESO TOTAL]]/Tabela22[[#This Row],[QUANTIDADE]]</f>
        <v>#DIV/0!</v>
      </c>
      <c r="J87" s="2"/>
      <c r="K87" s="193"/>
      <c r="L87" s="8"/>
      <c r="M87" s="8"/>
      <c r="N87" s="8"/>
      <c r="O87" s="194"/>
      <c r="P87" s="195"/>
    </row>
    <row r="88" spans="1:16">
      <c r="A88" s="3"/>
      <c r="B88" s="3" t="str">
        <f>TEXT(Tabela223456[[#This Row],[DATA]],"mmmm")</f>
        <v>janeiro</v>
      </c>
      <c r="C88" s="2"/>
      <c r="D88" s="2"/>
      <c r="E88" s="2"/>
      <c r="F88" s="2"/>
      <c r="G88" s="173"/>
      <c r="H88" s="174"/>
      <c r="I88" s="173" t="e">
        <f>Tabela22[[#This Row],[PESO TOTAL]]/Tabela22[[#This Row],[QUANTIDADE]]</f>
        <v>#DIV/0!</v>
      </c>
      <c r="J88" s="2"/>
      <c r="K88" s="193"/>
      <c r="L88" s="8"/>
      <c r="M88" s="8"/>
      <c r="N88" s="8"/>
      <c r="O88" s="194"/>
      <c r="P88" s="195"/>
    </row>
    <row r="89" spans="1:16">
      <c r="A89" s="3"/>
      <c r="B89" s="3" t="str">
        <f>TEXT(Tabela223456[[#This Row],[DATA]],"mmmm")</f>
        <v>janeiro</v>
      </c>
      <c r="C89" s="2"/>
      <c r="D89" s="2"/>
      <c r="E89" s="2"/>
      <c r="F89" s="2"/>
      <c r="G89" s="173"/>
      <c r="H89" s="174"/>
      <c r="I89" s="173" t="e">
        <f>Tabela22[[#This Row],[PESO TOTAL]]/Tabela22[[#This Row],[QUANTIDADE]]</f>
        <v>#DIV/0!</v>
      </c>
      <c r="J89" s="2"/>
      <c r="K89" s="193"/>
      <c r="L89" s="8"/>
      <c r="M89" s="8"/>
      <c r="N89" s="8"/>
      <c r="O89" s="194"/>
      <c r="P89" s="195"/>
    </row>
    <row r="90" spans="1:16">
      <c r="A90" s="3"/>
      <c r="B90" s="3" t="str">
        <f>TEXT(Tabela223456[[#This Row],[DATA]],"mmmm")</f>
        <v>janeiro</v>
      </c>
      <c r="C90" s="2"/>
      <c r="D90" s="2"/>
      <c r="E90" s="2"/>
      <c r="F90" s="2"/>
      <c r="G90" s="173"/>
      <c r="H90" s="174"/>
      <c r="I90" s="173" t="e">
        <f>Tabela22[[#This Row],[PESO TOTAL]]/Tabela22[[#This Row],[QUANTIDADE]]</f>
        <v>#DIV/0!</v>
      </c>
      <c r="J90" s="2"/>
      <c r="K90" s="193"/>
      <c r="L90" s="8"/>
      <c r="M90" s="8"/>
      <c r="N90" s="8"/>
      <c r="O90" s="194"/>
      <c r="P90" s="195"/>
    </row>
    <row r="91" spans="1:16">
      <c r="A91" s="3"/>
      <c r="B91" s="3" t="str">
        <f>TEXT(Tabela223456[[#This Row],[DATA]],"mmmm")</f>
        <v>janeiro</v>
      </c>
      <c r="C91" s="2"/>
      <c r="D91" s="2"/>
      <c r="E91" s="2"/>
      <c r="F91" s="2"/>
      <c r="G91" s="173"/>
      <c r="H91" s="174"/>
      <c r="I91" s="173" t="e">
        <f>Tabela22[[#This Row],[PESO TOTAL]]/Tabela22[[#This Row],[QUANTIDADE]]</f>
        <v>#DIV/0!</v>
      </c>
      <c r="J91" s="2"/>
      <c r="K91" s="193"/>
      <c r="L91" s="8"/>
      <c r="M91" s="8"/>
      <c r="N91" s="8"/>
      <c r="O91" s="194"/>
      <c r="P91" s="195"/>
    </row>
    <row r="92" spans="1:16">
      <c r="A92" s="3"/>
      <c r="B92" s="3" t="str">
        <f>TEXT(Tabela223456[[#This Row],[DATA]],"mmmm")</f>
        <v>janeiro</v>
      </c>
      <c r="C92" s="2"/>
      <c r="D92" s="2"/>
      <c r="E92" s="2"/>
      <c r="F92" s="2"/>
      <c r="G92" s="173"/>
      <c r="H92" s="174"/>
      <c r="I92" s="173" t="e">
        <f>Tabela22[[#This Row],[PESO TOTAL]]/Tabela22[[#This Row],[QUANTIDADE]]</f>
        <v>#DIV/0!</v>
      </c>
      <c r="J92" s="2"/>
      <c r="K92" s="193"/>
      <c r="L92" s="8"/>
      <c r="M92" s="8"/>
      <c r="N92" s="8"/>
      <c r="O92" s="194"/>
      <c r="P92" s="195"/>
    </row>
    <row r="93" spans="1:16">
      <c r="A93" s="3"/>
      <c r="B93" s="3" t="str">
        <f>TEXT(Tabela223456[[#This Row],[DATA]],"mmmm")</f>
        <v>janeiro</v>
      </c>
      <c r="C93" s="2"/>
      <c r="D93" s="2"/>
      <c r="E93" s="2"/>
      <c r="F93" s="2"/>
      <c r="G93" s="173"/>
      <c r="H93" s="174"/>
      <c r="I93" s="173" t="e">
        <f>Tabela22[[#This Row],[PESO TOTAL]]/Tabela22[[#This Row],[QUANTIDADE]]</f>
        <v>#DIV/0!</v>
      </c>
      <c r="J93" s="2"/>
      <c r="K93" s="193"/>
      <c r="L93" s="8"/>
      <c r="M93" s="8"/>
      <c r="N93" s="8"/>
      <c r="O93" s="194"/>
      <c r="P93" s="195"/>
    </row>
    <row r="94" spans="1:16">
      <c r="A94" s="3"/>
      <c r="B94" s="3" t="str">
        <f>TEXT(Tabela223456[[#This Row],[DATA]],"mmmm")</f>
        <v>janeiro</v>
      </c>
      <c r="C94" s="2"/>
      <c r="D94" s="2"/>
      <c r="E94" s="2"/>
      <c r="F94" s="2"/>
      <c r="G94" s="173"/>
      <c r="H94" s="174"/>
      <c r="I94" s="173" t="e">
        <f>Tabela22[[#This Row],[PESO TOTAL]]/Tabela22[[#This Row],[QUANTIDADE]]</f>
        <v>#DIV/0!</v>
      </c>
      <c r="J94" s="2"/>
      <c r="K94" s="193"/>
      <c r="L94" s="8"/>
      <c r="M94" s="8"/>
      <c r="N94" s="8"/>
      <c r="O94" s="194"/>
      <c r="P94" s="195"/>
    </row>
    <row r="95" spans="1:16">
      <c r="A95" s="3"/>
      <c r="B95" s="3" t="str">
        <f>TEXT(Tabela223456[[#This Row],[DATA]],"mmmm")</f>
        <v>janeiro</v>
      </c>
      <c r="C95" s="2"/>
      <c r="D95" s="2"/>
      <c r="E95" s="2"/>
      <c r="F95" s="2"/>
      <c r="G95" s="173"/>
      <c r="H95" s="174"/>
      <c r="I95" s="173" t="e">
        <f>Tabela22[[#This Row],[PESO TOTAL]]/Tabela22[[#This Row],[QUANTIDADE]]</f>
        <v>#DIV/0!</v>
      </c>
      <c r="J95" s="2"/>
      <c r="K95" s="193"/>
      <c r="L95" s="8"/>
      <c r="M95" s="8"/>
      <c r="N95" s="8"/>
      <c r="O95" s="194"/>
      <c r="P95" s="195"/>
    </row>
    <row r="96" spans="1:16">
      <c r="A96" s="3"/>
      <c r="B96" s="3" t="str">
        <f>TEXT(Tabela223456[[#This Row],[DATA]],"mmmm")</f>
        <v>janeiro</v>
      </c>
      <c r="C96" s="2"/>
      <c r="D96" s="2"/>
      <c r="E96" s="2"/>
      <c r="F96" s="2"/>
      <c r="G96" s="173"/>
      <c r="H96" s="174"/>
      <c r="I96" s="173" t="e">
        <f>Tabela22[[#This Row],[PESO TOTAL]]/Tabela22[[#This Row],[QUANTIDADE]]</f>
        <v>#DIV/0!</v>
      </c>
      <c r="J96" s="2"/>
      <c r="K96" s="193"/>
      <c r="L96" s="8"/>
      <c r="M96" s="8"/>
      <c r="N96" s="8"/>
      <c r="O96" s="194"/>
      <c r="P96" s="195"/>
    </row>
    <row r="97" spans="1:16">
      <c r="A97" s="3"/>
      <c r="B97" s="3" t="str">
        <f>TEXT(Tabela223456[[#This Row],[DATA]],"mmmm")</f>
        <v>janeiro</v>
      </c>
      <c r="C97" s="2"/>
      <c r="D97" s="2"/>
      <c r="E97" s="2"/>
      <c r="F97" s="2"/>
      <c r="G97" s="173"/>
      <c r="H97" s="174"/>
      <c r="I97" s="173" t="e">
        <f>Tabela22[[#This Row],[PESO TOTAL]]/Tabela22[[#This Row],[QUANTIDADE]]</f>
        <v>#DIV/0!</v>
      </c>
      <c r="J97" s="2"/>
      <c r="K97" s="193"/>
      <c r="L97" s="8"/>
      <c r="M97" s="8"/>
      <c r="N97" s="8"/>
      <c r="O97" s="194"/>
      <c r="P97" s="195"/>
    </row>
    <row r="98" spans="1:16">
      <c r="A98" s="3"/>
      <c r="B98" s="3" t="str">
        <f>TEXT(Tabela223456[[#This Row],[DATA]],"mmmm")</f>
        <v>janeiro</v>
      </c>
      <c r="C98" s="2"/>
      <c r="D98" s="2"/>
      <c r="E98" s="2"/>
      <c r="F98" s="2"/>
      <c r="G98" s="173"/>
      <c r="H98" s="174"/>
      <c r="I98" s="173" t="e">
        <f>Tabela22[[#This Row],[PESO TOTAL]]/Tabela22[[#This Row],[QUANTIDADE]]</f>
        <v>#DIV/0!</v>
      </c>
      <c r="J98" s="2"/>
      <c r="K98" s="193"/>
      <c r="L98" s="8"/>
      <c r="M98" s="8"/>
      <c r="N98" s="8"/>
      <c r="O98" s="194"/>
      <c r="P98" s="195"/>
    </row>
    <row r="99" spans="1:16">
      <c r="A99" s="3"/>
      <c r="B99" s="3" t="str">
        <f>TEXT(Tabela223456[[#This Row],[DATA]],"mmmm")</f>
        <v>janeiro</v>
      </c>
      <c r="C99" s="2"/>
      <c r="D99" s="2"/>
      <c r="E99" s="2"/>
      <c r="F99" s="2"/>
      <c r="G99" s="173"/>
      <c r="H99" s="174"/>
      <c r="I99" s="173" t="e">
        <f>Tabela22[[#This Row],[PESO TOTAL]]/Tabela22[[#This Row],[QUANTIDADE]]</f>
        <v>#DIV/0!</v>
      </c>
      <c r="J99" s="2"/>
      <c r="K99" s="193"/>
      <c r="L99" s="8"/>
      <c r="M99" s="8"/>
      <c r="N99" s="8"/>
      <c r="O99" s="194"/>
      <c r="P99" s="195"/>
    </row>
    <row r="100" spans="1:16">
      <c r="A100" s="3"/>
      <c r="B100" s="3" t="str">
        <f>TEXT(Tabela223456[[#This Row],[DATA]],"mmmm")</f>
        <v>janeiro</v>
      </c>
      <c r="C100" s="2"/>
      <c r="D100" s="2"/>
      <c r="E100" s="2"/>
      <c r="F100" s="2"/>
      <c r="G100" s="173"/>
      <c r="H100" s="174"/>
      <c r="I100" s="173" t="e">
        <f>Tabela22[[#This Row],[PESO TOTAL]]/Tabela22[[#This Row],[QUANTIDADE]]</f>
        <v>#DIV/0!</v>
      </c>
      <c r="J100" s="2"/>
      <c r="K100" s="193"/>
      <c r="L100" s="8"/>
      <c r="M100" s="8"/>
      <c r="N100" s="8"/>
      <c r="O100" s="194"/>
      <c r="P100" s="195"/>
    </row>
    <row r="101" spans="1:16">
      <c r="A101" s="3"/>
      <c r="B101" s="3" t="str">
        <f>TEXT(Tabela223456[[#This Row],[DATA]],"mmmm")</f>
        <v>janeiro</v>
      </c>
      <c r="C101" s="2"/>
      <c r="D101" s="2"/>
      <c r="E101" s="2"/>
      <c r="F101" s="2"/>
      <c r="G101" s="173"/>
      <c r="H101" s="174"/>
      <c r="I101" s="173" t="e">
        <f>Tabela22[[#This Row],[PESO TOTAL]]/Tabela22[[#This Row],[QUANTIDADE]]</f>
        <v>#DIV/0!</v>
      </c>
      <c r="J101" s="2"/>
      <c r="K101" s="193"/>
      <c r="L101" s="8"/>
      <c r="M101" s="8"/>
      <c r="N101" s="8"/>
      <c r="O101" s="194"/>
      <c r="P101" s="195"/>
    </row>
    <row r="102" spans="1:16">
      <c r="A102" s="3"/>
      <c r="B102" s="3" t="str">
        <f>TEXT(Tabela223456[[#This Row],[DATA]],"mmmm")</f>
        <v>janeiro</v>
      </c>
      <c r="C102" s="2"/>
      <c r="D102" s="2"/>
      <c r="E102" s="2"/>
      <c r="F102" s="2"/>
      <c r="G102" s="173"/>
      <c r="H102" s="174"/>
      <c r="I102" s="173" t="e">
        <f>Tabela22[[#This Row],[PESO TOTAL]]/Tabela22[[#This Row],[QUANTIDADE]]</f>
        <v>#DIV/0!</v>
      </c>
      <c r="J102" s="2"/>
      <c r="K102" s="193"/>
      <c r="L102" s="8"/>
      <c r="M102" s="8"/>
      <c r="N102" s="8"/>
      <c r="O102" s="194"/>
      <c r="P102" s="195"/>
    </row>
    <row r="103" spans="1:16">
      <c r="A103" s="3"/>
      <c r="B103" s="3" t="str">
        <f>TEXT(Tabela223456[[#This Row],[DATA]],"mmmm")</f>
        <v>janeiro</v>
      </c>
      <c r="C103" s="2"/>
      <c r="D103" s="2"/>
      <c r="E103" s="2"/>
      <c r="F103" s="2"/>
      <c r="G103" s="173"/>
      <c r="H103" s="174"/>
      <c r="I103" s="173" t="e">
        <f>Tabela22[[#This Row],[PESO TOTAL]]/Tabela22[[#This Row],[QUANTIDADE]]</f>
        <v>#DIV/0!</v>
      </c>
      <c r="J103" s="2"/>
      <c r="K103" s="193"/>
      <c r="L103" s="8"/>
      <c r="M103" s="8"/>
      <c r="N103" s="8"/>
      <c r="O103" s="194"/>
      <c r="P103" s="195"/>
    </row>
    <row r="104" spans="1:16">
      <c r="A104" s="3"/>
      <c r="B104" s="3" t="str">
        <f>TEXT(Tabela223456[[#This Row],[DATA]],"mmmm")</f>
        <v>janeiro</v>
      </c>
      <c r="C104" s="2"/>
      <c r="D104" s="2"/>
      <c r="E104" s="2"/>
      <c r="F104" s="2"/>
      <c r="G104" s="173"/>
      <c r="H104" s="174"/>
      <c r="I104" s="173" t="e">
        <f>Tabela22[[#This Row],[PESO TOTAL]]/Tabela22[[#This Row],[QUANTIDADE]]</f>
        <v>#DIV/0!</v>
      </c>
      <c r="J104" s="2"/>
      <c r="K104" s="193"/>
      <c r="L104" s="8"/>
      <c r="M104" s="8"/>
      <c r="N104" s="8"/>
      <c r="O104" s="194"/>
      <c r="P104" s="195"/>
    </row>
    <row r="105" spans="1:16">
      <c r="A105" s="3"/>
      <c r="B105" s="3" t="str">
        <f>TEXT(Tabela223456[[#This Row],[DATA]],"mmmm")</f>
        <v>janeiro</v>
      </c>
      <c r="C105" s="2"/>
      <c r="D105" s="2"/>
      <c r="E105" s="2"/>
      <c r="F105" s="2"/>
      <c r="G105" s="173"/>
      <c r="H105" s="174"/>
      <c r="I105" s="173" t="e">
        <f>Tabela22[[#This Row],[PESO TOTAL]]/Tabela22[[#This Row],[QUANTIDADE]]</f>
        <v>#DIV/0!</v>
      </c>
      <c r="J105" s="2"/>
      <c r="K105" s="193"/>
      <c r="L105" s="8"/>
      <c r="M105" s="8"/>
      <c r="N105" s="8"/>
      <c r="O105" s="194"/>
      <c r="P105" s="195"/>
    </row>
    <row r="106" spans="1:16">
      <c r="A106" s="3"/>
      <c r="B106" s="3" t="str">
        <f>TEXT(Tabela223456[[#This Row],[DATA]],"mmmm")</f>
        <v>janeiro</v>
      </c>
      <c r="C106" s="2"/>
      <c r="D106" s="2"/>
      <c r="E106" s="2"/>
      <c r="F106" s="2"/>
      <c r="G106" s="173"/>
      <c r="H106" s="174"/>
      <c r="I106" s="173" t="e">
        <f>Tabela22[[#This Row],[PESO TOTAL]]/Tabela22[[#This Row],[QUANTIDADE]]</f>
        <v>#DIV/0!</v>
      </c>
      <c r="J106" s="2"/>
      <c r="K106" s="193"/>
      <c r="L106" s="8"/>
      <c r="M106" s="8"/>
      <c r="N106" s="8"/>
      <c r="O106" s="194"/>
      <c r="P106" s="195"/>
    </row>
    <row r="107" spans="1:16">
      <c r="A107" s="3"/>
      <c r="B107" s="3" t="str">
        <f>TEXT(Tabela223456[[#This Row],[DATA]],"mmmm")</f>
        <v>janeiro</v>
      </c>
      <c r="C107" s="2"/>
      <c r="D107" s="2"/>
      <c r="E107" s="2"/>
      <c r="F107" s="2"/>
      <c r="G107" s="173"/>
      <c r="H107" s="174"/>
      <c r="I107" s="173" t="e">
        <f>Tabela22[[#This Row],[PESO TOTAL]]/Tabela22[[#This Row],[QUANTIDADE]]</f>
        <v>#DIV/0!</v>
      </c>
      <c r="J107" s="2"/>
      <c r="K107" s="193"/>
      <c r="L107" s="8"/>
      <c r="M107" s="8"/>
      <c r="N107" s="8"/>
      <c r="O107" s="194"/>
      <c r="P107" s="195"/>
    </row>
    <row r="108" spans="1:16">
      <c r="A108" s="3"/>
      <c r="B108" s="3" t="str">
        <f>TEXT(Tabela223456[[#This Row],[DATA]],"mmmm")</f>
        <v>janeiro</v>
      </c>
      <c r="C108" s="2"/>
      <c r="D108" s="2"/>
      <c r="E108" s="2"/>
      <c r="F108" s="2"/>
      <c r="G108" s="173"/>
      <c r="H108" s="174"/>
      <c r="I108" s="173" t="e">
        <f>Tabela22[[#This Row],[PESO TOTAL]]/Tabela22[[#This Row],[QUANTIDADE]]</f>
        <v>#DIV/0!</v>
      </c>
      <c r="J108" s="2"/>
      <c r="K108" s="193"/>
      <c r="L108" s="8"/>
      <c r="M108" s="8"/>
      <c r="N108" s="8"/>
      <c r="O108" s="194"/>
      <c r="P108" s="195"/>
    </row>
    <row r="109" spans="1:16">
      <c r="A109" s="3"/>
      <c r="B109" s="3" t="str">
        <f>TEXT(Tabela223456[[#This Row],[DATA]],"mmmm")</f>
        <v>janeiro</v>
      </c>
      <c r="C109" s="2"/>
      <c r="D109" s="2"/>
      <c r="E109" s="2"/>
      <c r="F109" s="2"/>
      <c r="G109" s="173"/>
      <c r="H109" s="174"/>
      <c r="I109" s="173" t="e">
        <f>Tabela22[[#This Row],[PESO TOTAL]]/Tabela22[[#This Row],[QUANTIDADE]]</f>
        <v>#DIV/0!</v>
      </c>
      <c r="J109" s="2"/>
      <c r="K109" s="193"/>
      <c r="L109" s="8"/>
      <c r="M109" s="8"/>
      <c r="N109" s="8"/>
      <c r="O109" s="194"/>
      <c r="P109" s="195"/>
    </row>
    <row r="110" spans="1:16">
      <c r="A110" s="3"/>
      <c r="B110" s="3" t="str">
        <f>TEXT(Tabela223456[[#This Row],[DATA]],"mmmm")</f>
        <v>janeiro</v>
      </c>
      <c r="C110" s="2"/>
      <c r="D110" s="2"/>
      <c r="E110" s="2"/>
      <c r="F110" s="2"/>
      <c r="G110" s="173"/>
      <c r="H110" s="174"/>
      <c r="I110" s="173" t="e">
        <f>Tabela22[[#This Row],[PESO TOTAL]]/Tabela22[[#This Row],[QUANTIDADE]]</f>
        <v>#DIV/0!</v>
      </c>
      <c r="J110" s="2"/>
      <c r="K110" s="193"/>
      <c r="L110" s="8"/>
      <c r="M110" s="8"/>
      <c r="N110" s="8"/>
      <c r="O110" s="194"/>
      <c r="P110" s="195"/>
    </row>
    <row r="111" spans="1:16">
      <c r="A111" s="3"/>
      <c r="B111" s="3" t="str">
        <f>TEXT(Tabela223456[[#This Row],[DATA]],"mmmm")</f>
        <v>janeiro</v>
      </c>
      <c r="C111" s="2"/>
      <c r="D111" s="2"/>
      <c r="E111" s="2"/>
      <c r="F111" s="2"/>
      <c r="G111" s="173"/>
      <c r="H111" s="174"/>
      <c r="I111" s="173" t="e">
        <f>Tabela22[[#This Row],[PESO TOTAL]]/Tabela22[[#This Row],[QUANTIDADE]]</f>
        <v>#DIV/0!</v>
      </c>
      <c r="J111" s="2"/>
      <c r="K111" s="193"/>
      <c r="L111" s="8"/>
      <c r="M111" s="8"/>
      <c r="N111" s="8"/>
      <c r="O111" s="194"/>
      <c r="P111" s="195"/>
    </row>
    <row r="112" spans="1:16">
      <c r="A112" s="3"/>
      <c r="B112" s="3" t="str">
        <f>TEXT(Tabela223456[[#This Row],[DATA]],"mmmm")</f>
        <v>janeiro</v>
      </c>
      <c r="C112" s="2"/>
      <c r="D112" s="2"/>
      <c r="E112" s="2"/>
      <c r="F112" s="2"/>
      <c r="G112" s="173"/>
      <c r="H112" s="174"/>
      <c r="I112" s="173" t="e">
        <f>Tabela22[[#This Row],[PESO TOTAL]]/Tabela22[[#This Row],[QUANTIDADE]]</f>
        <v>#DIV/0!</v>
      </c>
      <c r="J112" s="2"/>
      <c r="K112" s="193"/>
      <c r="L112" s="8"/>
      <c r="M112" s="8"/>
      <c r="N112" s="8"/>
      <c r="O112" s="194"/>
      <c r="P112" s="195"/>
    </row>
    <row r="113" spans="1:16">
      <c r="A113" s="3"/>
      <c r="B113" s="3" t="str">
        <f>TEXT(Tabela223456[[#This Row],[DATA]],"mmmm")</f>
        <v>janeiro</v>
      </c>
      <c r="C113" s="2"/>
      <c r="D113" s="2"/>
      <c r="E113" s="2"/>
      <c r="F113" s="2"/>
      <c r="G113" s="173"/>
      <c r="H113" s="174"/>
      <c r="I113" s="173" t="e">
        <f>Tabela22[[#This Row],[PESO TOTAL]]/Tabela22[[#This Row],[QUANTIDADE]]</f>
        <v>#DIV/0!</v>
      </c>
      <c r="J113" s="2"/>
      <c r="K113" s="193"/>
      <c r="L113" s="8"/>
      <c r="M113" s="8"/>
      <c r="N113" s="8"/>
      <c r="O113" s="194"/>
      <c r="P113" s="195"/>
    </row>
    <row r="114" spans="1:16">
      <c r="A114" s="3"/>
      <c r="B114" s="3" t="str">
        <f>TEXT(Tabela223456[[#This Row],[DATA]],"mmmm")</f>
        <v>janeiro</v>
      </c>
      <c r="C114" s="2"/>
      <c r="D114" s="2"/>
      <c r="E114" s="2"/>
      <c r="F114" s="2"/>
      <c r="G114" s="173"/>
      <c r="H114" s="174"/>
      <c r="I114" s="173" t="e">
        <f>Tabela22[[#This Row],[PESO TOTAL]]/Tabela22[[#This Row],[QUANTIDADE]]</f>
        <v>#DIV/0!</v>
      </c>
      <c r="J114" s="2"/>
      <c r="K114" s="193"/>
      <c r="L114" s="8"/>
      <c r="M114" s="8"/>
      <c r="N114" s="8"/>
      <c r="O114" s="194"/>
      <c r="P114" s="195"/>
    </row>
    <row r="115" spans="1:16">
      <c r="A115" s="3"/>
      <c r="B115" s="3" t="str">
        <f>TEXT(Tabela223456[[#This Row],[DATA]],"mmmm")</f>
        <v>janeiro</v>
      </c>
      <c r="C115" s="2"/>
      <c r="D115" s="2"/>
      <c r="E115" s="2"/>
      <c r="F115" s="2"/>
      <c r="G115" s="173"/>
      <c r="H115" s="174"/>
      <c r="I115" s="173" t="e">
        <f>Tabela22[[#This Row],[PESO TOTAL]]/Tabela22[[#This Row],[QUANTIDADE]]</f>
        <v>#DIV/0!</v>
      </c>
      <c r="J115" s="2"/>
      <c r="K115" s="193"/>
      <c r="L115" s="8"/>
      <c r="M115" s="8"/>
      <c r="N115" s="8"/>
      <c r="O115" s="194"/>
      <c r="P115" s="195"/>
    </row>
    <row r="116" spans="1:16">
      <c r="A116" s="3"/>
      <c r="B116" s="3" t="str">
        <f>TEXT(Tabela223456[[#This Row],[DATA]],"mmmm")</f>
        <v>janeiro</v>
      </c>
      <c r="C116" s="2"/>
      <c r="D116" s="2"/>
      <c r="E116" s="2"/>
      <c r="F116" s="2"/>
      <c r="G116" s="173"/>
      <c r="H116" s="174"/>
      <c r="I116" s="173" t="e">
        <f>Tabela22[[#This Row],[PESO TOTAL]]/Tabela22[[#This Row],[QUANTIDADE]]</f>
        <v>#DIV/0!</v>
      </c>
      <c r="J116" s="2"/>
      <c r="K116" s="193"/>
      <c r="L116" s="8"/>
      <c r="M116" s="8"/>
      <c r="N116" s="8"/>
      <c r="O116" s="194"/>
      <c r="P116" s="195"/>
    </row>
    <row r="117" spans="1:16">
      <c r="A117" s="3"/>
      <c r="B117" s="3" t="str">
        <f>TEXT(Tabela223456[[#This Row],[DATA]],"mmmm")</f>
        <v>janeiro</v>
      </c>
      <c r="C117" s="2"/>
      <c r="D117" s="2"/>
      <c r="E117" s="2"/>
      <c r="F117" s="2"/>
      <c r="G117" s="173"/>
      <c r="H117" s="174"/>
      <c r="I117" s="173" t="e">
        <f>Tabela22[[#This Row],[PESO TOTAL]]/Tabela22[[#This Row],[QUANTIDADE]]</f>
        <v>#DIV/0!</v>
      </c>
      <c r="J117" s="2"/>
      <c r="K117" s="193"/>
      <c r="L117" s="8"/>
      <c r="M117" s="8"/>
      <c r="N117" s="8"/>
      <c r="O117" s="194"/>
      <c r="P117" s="195"/>
    </row>
    <row r="118" spans="1:16">
      <c r="A118" s="3"/>
      <c r="B118" s="3" t="str">
        <f>TEXT(Tabela223456[[#This Row],[DATA]],"mmmm")</f>
        <v>janeiro</v>
      </c>
      <c r="C118" s="2"/>
      <c r="D118" s="2"/>
      <c r="E118" s="2"/>
      <c r="F118" s="2"/>
      <c r="G118" s="173"/>
      <c r="H118" s="174"/>
      <c r="I118" s="173" t="e">
        <f>Tabela22[[#This Row],[PESO TOTAL]]/Tabela22[[#This Row],[QUANTIDADE]]</f>
        <v>#DIV/0!</v>
      </c>
      <c r="J118" s="2"/>
      <c r="K118" s="193"/>
      <c r="L118" s="8"/>
      <c r="M118" s="8"/>
      <c r="N118" s="8"/>
      <c r="O118" s="194"/>
      <c r="P118" s="195"/>
    </row>
    <row r="119" spans="1:16">
      <c r="A119" s="3"/>
      <c r="B119" s="3" t="str">
        <f>TEXT(Tabela223456[[#This Row],[DATA]],"mmmm")</f>
        <v>janeiro</v>
      </c>
      <c r="C119" s="2"/>
      <c r="D119" s="2"/>
      <c r="E119" s="2"/>
      <c r="F119" s="2"/>
      <c r="G119" s="173"/>
      <c r="H119" s="174"/>
      <c r="I119" s="173" t="e">
        <f>Tabela22[[#This Row],[PESO TOTAL]]/Tabela22[[#This Row],[QUANTIDADE]]</f>
        <v>#DIV/0!</v>
      </c>
      <c r="J119" s="2"/>
      <c r="K119" s="193"/>
      <c r="L119" s="8"/>
      <c r="M119" s="8"/>
      <c r="N119" s="8"/>
      <c r="O119" s="194"/>
      <c r="P119" s="195"/>
    </row>
    <row r="120" spans="1:16">
      <c r="A120" s="3"/>
      <c r="B120" s="3" t="str">
        <f>TEXT(Tabela223456[[#This Row],[DATA]],"mmmm")</f>
        <v>janeiro</v>
      </c>
      <c r="C120" s="2"/>
      <c r="D120" s="2"/>
      <c r="E120" s="2"/>
      <c r="F120" s="2"/>
      <c r="G120" s="173"/>
      <c r="H120" s="174"/>
      <c r="I120" s="173" t="e">
        <f>Tabela22[[#This Row],[PESO TOTAL]]/Tabela22[[#This Row],[QUANTIDADE]]</f>
        <v>#DIV/0!</v>
      </c>
      <c r="J120" s="2"/>
      <c r="K120" s="193"/>
      <c r="L120" s="8"/>
      <c r="M120" s="8"/>
      <c r="N120" s="8"/>
      <c r="O120" s="194"/>
      <c r="P120" s="195"/>
    </row>
    <row r="121" spans="1:16">
      <c r="A121" s="3"/>
      <c r="B121" s="3" t="str">
        <f>TEXT(Tabela223456[[#This Row],[DATA]],"mmmm")</f>
        <v>janeiro</v>
      </c>
      <c r="C121" s="2"/>
      <c r="D121" s="2"/>
      <c r="E121" s="2"/>
      <c r="F121" s="2"/>
      <c r="G121" s="173"/>
      <c r="H121" s="174"/>
      <c r="I121" s="173" t="e">
        <f>Tabela22[[#This Row],[PESO TOTAL]]/Tabela22[[#This Row],[QUANTIDADE]]</f>
        <v>#DIV/0!</v>
      </c>
      <c r="J121" s="2"/>
      <c r="K121" s="193"/>
      <c r="L121" s="8"/>
      <c r="M121" s="8"/>
      <c r="N121" s="8"/>
      <c r="O121" s="194"/>
      <c r="P121" s="195"/>
    </row>
    <row r="122" spans="1:16">
      <c r="A122" s="3"/>
      <c r="B122" s="3" t="str">
        <f>TEXT(Tabela223456[[#This Row],[DATA]],"mmmm")</f>
        <v>janeiro</v>
      </c>
      <c r="C122" s="2"/>
      <c r="D122" s="2"/>
      <c r="E122" s="2"/>
      <c r="F122" s="2"/>
      <c r="G122" s="173"/>
      <c r="H122" s="174"/>
      <c r="I122" s="173" t="e">
        <f>Tabela22[[#This Row],[PESO TOTAL]]/Tabela22[[#This Row],[QUANTIDADE]]</f>
        <v>#DIV/0!</v>
      </c>
      <c r="J122" s="2"/>
      <c r="K122" s="193"/>
      <c r="L122" s="8"/>
      <c r="M122" s="8"/>
      <c r="N122" s="8"/>
      <c r="O122" s="194"/>
      <c r="P122" s="195"/>
    </row>
    <row r="123" spans="1:16">
      <c r="A123" s="3"/>
      <c r="B123" s="3" t="str">
        <f>TEXT(Tabela223456[[#This Row],[DATA]],"mmmm")</f>
        <v>janeiro</v>
      </c>
      <c r="C123" s="2"/>
      <c r="D123" s="2"/>
      <c r="E123" s="2"/>
      <c r="F123" s="2"/>
      <c r="G123" s="173"/>
      <c r="H123" s="174"/>
      <c r="I123" s="173" t="e">
        <f>Tabela22[[#This Row],[PESO TOTAL]]/Tabela22[[#This Row],[QUANTIDADE]]</f>
        <v>#DIV/0!</v>
      </c>
      <c r="J123" s="2"/>
      <c r="K123" s="193"/>
      <c r="L123" s="8"/>
      <c r="M123" s="8"/>
      <c r="N123" s="8"/>
      <c r="O123" s="194"/>
      <c r="P123" s="195"/>
    </row>
    <row r="124" spans="1:16">
      <c r="A124" s="3"/>
      <c r="B124" s="3" t="str">
        <f>TEXT(Tabela223456[[#This Row],[DATA]],"mmmm")</f>
        <v>janeiro</v>
      </c>
      <c r="C124" s="2"/>
      <c r="D124" s="2"/>
      <c r="E124" s="2"/>
      <c r="F124" s="2"/>
      <c r="G124" s="173"/>
      <c r="H124" s="174"/>
      <c r="I124" s="173" t="e">
        <f>Tabela22[[#This Row],[PESO TOTAL]]/Tabela22[[#This Row],[QUANTIDADE]]</f>
        <v>#DIV/0!</v>
      </c>
      <c r="J124" s="2"/>
      <c r="K124" s="193"/>
      <c r="L124" s="8"/>
      <c r="M124" s="8"/>
      <c r="N124" s="8"/>
      <c r="O124" s="194"/>
      <c r="P124" s="195"/>
    </row>
    <row r="125" spans="1:16">
      <c r="A125" s="3"/>
      <c r="B125" s="3" t="str">
        <f>TEXT(Tabela223456[[#This Row],[DATA]],"mmmm")</f>
        <v>janeiro</v>
      </c>
      <c r="C125" s="2"/>
      <c r="D125" s="2"/>
      <c r="E125" s="2"/>
      <c r="F125" s="2"/>
      <c r="G125" s="173"/>
      <c r="H125" s="174"/>
      <c r="I125" s="173" t="e">
        <f>Tabela22[[#This Row],[PESO TOTAL]]/Tabela22[[#This Row],[QUANTIDADE]]</f>
        <v>#DIV/0!</v>
      </c>
      <c r="J125" s="2"/>
      <c r="K125" s="193"/>
      <c r="L125" s="8"/>
      <c r="M125" s="8"/>
      <c r="N125" s="8"/>
      <c r="O125" s="194"/>
      <c r="P125" s="195"/>
    </row>
    <row r="126" spans="1:16">
      <c r="A126" s="3"/>
      <c r="B126" s="3" t="str">
        <f>TEXT(Tabela223456[[#This Row],[DATA]],"mmmm")</f>
        <v>janeiro</v>
      </c>
      <c r="C126" s="2"/>
      <c r="D126" s="2"/>
      <c r="E126" s="2"/>
      <c r="F126" s="2"/>
      <c r="G126" s="173"/>
      <c r="H126" s="174"/>
      <c r="I126" s="173" t="e">
        <f>Tabela22[[#This Row],[PESO TOTAL]]/Tabela22[[#This Row],[QUANTIDADE]]</f>
        <v>#DIV/0!</v>
      </c>
      <c r="J126" s="2"/>
      <c r="K126" s="193"/>
      <c r="L126" s="8"/>
      <c r="M126" s="8"/>
      <c r="N126" s="8"/>
      <c r="O126" s="194"/>
      <c r="P126" s="195"/>
    </row>
    <row r="127" spans="1:16">
      <c r="A127" s="3"/>
      <c r="B127" s="3" t="str">
        <f>TEXT(Tabela223456[[#This Row],[DATA]],"mmmm")</f>
        <v>janeiro</v>
      </c>
      <c r="C127" s="2"/>
      <c r="D127" s="2"/>
      <c r="E127" s="2"/>
      <c r="F127" s="2"/>
      <c r="G127" s="173"/>
      <c r="H127" s="174"/>
      <c r="I127" s="173" t="e">
        <f>Tabela22[[#This Row],[PESO TOTAL]]/Tabela22[[#This Row],[QUANTIDADE]]</f>
        <v>#DIV/0!</v>
      </c>
      <c r="J127" s="2"/>
      <c r="K127" s="193"/>
      <c r="L127" s="8"/>
      <c r="M127" s="8"/>
      <c r="N127" s="8"/>
      <c r="O127" s="194"/>
      <c r="P127" s="195"/>
    </row>
    <row r="128" spans="1:16">
      <c r="A128" s="3"/>
      <c r="B128" s="3" t="str">
        <f>TEXT(Tabela223456[[#This Row],[DATA]],"mmmm")</f>
        <v>janeiro</v>
      </c>
      <c r="C128" s="2"/>
      <c r="D128" s="2"/>
      <c r="E128" s="2"/>
      <c r="F128" s="2"/>
      <c r="G128" s="173"/>
      <c r="H128" s="174"/>
      <c r="I128" s="173" t="e">
        <f>Tabela22[[#This Row],[PESO TOTAL]]/Tabela22[[#This Row],[QUANTIDADE]]</f>
        <v>#DIV/0!</v>
      </c>
      <c r="J128" s="2"/>
      <c r="K128" s="193"/>
      <c r="L128" s="8"/>
      <c r="M128" s="8"/>
      <c r="N128" s="8"/>
      <c r="O128" s="194"/>
      <c r="P128" s="195"/>
    </row>
    <row r="129" spans="1:16">
      <c r="A129" s="3"/>
      <c r="B129" s="3" t="str">
        <f>TEXT(Tabela223456[[#This Row],[DATA]],"mmmm")</f>
        <v>janeiro</v>
      </c>
      <c r="C129" s="2"/>
      <c r="D129" s="2"/>
      <c r="E129" s="2"/>
      <c r="F129" s="2"/>
      <c r="G129" s="173"/>
      <c r="H129" s="174"/>
      <c r="I129" s="173" t="e">
        <f>Tabela22[[#This Row],[PESO TOTAL]]/Tabela22[[#This Row],[QUANTIDADE]]</f>
        <v>#DIV/0!</v>
      </c>
      <c r="J129" s="2"/>
      <c r="K129" s="193"/>
      <c r="L129" s="8"/>
      <c r="M129" s="8"/>
      <c r="N129" s="8"/>
      <c r="O129" s="194"/>
      <c r="P129" s="195"/>
    </row>
    <row r="130" spans="1:16">
      <c r="A130" s="3"/>
      <c r="B130" s="3" t="str">
        <f>TEXT(Tabela223456[[#This Row],[DATA]],"mmmm")</f>
        <v>janeiro</v>
      </c>
      <c r="C130" s="2"/>
      <c r="D130" s="2"/>
      <c r="E130" s="2"/>
      <c r="F130" s="2"/>
      <c r="G130" s="173"/>
      <c r="H130" s="174"/>
      <c r="I130" s="173" t="e">
        <f>Tabela22[[#This Row],[PESO TOTAL]]/Tabela22[[#This Row],[QUANTIDADE]]</f>
        <v>#DIV/0!</v>
      </c>
      <c r="J130" s="2"/>
      <c r="K130" s="193"/>
      <c r="L130" s="8"/>
      <c r="M130" s="8"/>
      <c r="N130" s="8"/>
      <c r="O130" s="194"/>
      <c r="P130" s="195"/>
    </row>
    <row r="131" spans="1:16">
      <c r="A131" s="3"/>
      <c r="B131" s="3" t="str">
        <f>TEXT(Tabela223456[[#This Row],[DATA]],"mmmm")</f>
        <v>janeiro</v>
      </c>
      <c r="C131" s="2"/>
      <c r="D131" s="2"/>
      <c r="E131" s="2"/>
      <c r="F131" s="2"/>
      <c r="G131" s="173"/>
      <c r="H131" s="174"/>
      <c r="I131" s="173" t="e">
        <f>Tabela22[[#This Row],[PESO TOTAL]]/Tabela22[[#This Row],[QUANTIDADE]]</f>
        <v>#DIV/0!</v>
      </c>
      <c r="J131" s="2"/>
      <c r="K131" s="193"/>
      <c r="L131" s="8"/>
      <c r="M131" s="8"/>
      <c r="N131" s="8"/>
      <c r="O131" s="194"/>
      <c r="P131" s="195"/>
    </row>
    <row r="132" spans="1:16">
      <c r="A132" s="3"/>
      <c r="B132" s="3" t="str">
        <f>TEXT(Tabela223456[[#This Row],[DATA]],"mmmm")</f>
        <v>janeiro</v>
      </c>
      <c r="C132" s="2"/>
      <c r="D132" s="2"/>
      <c r="E132" s="2"/>
      <c r="F132" s="2"/>
      <c r="G132" s="173"/>
      <c r="H132" s="174"/>
      <c r="I132" s="173" t="e">
        <f>Tabela22[[#This Row],[PESO TOTAL]]/Tabela22[[#This Row],[QUANTIDADE]]</f>
        <v>#DIV/0!</v>
      </c>
      <c r="J132" s="2"/>
      <c r="K132" s="193"/>
      <c r="L132" s="8"/>
      <c r="M132" s="8"/>
      <c r="N132" s="8"/>
      <c r="O132" s="194"/>
      <c r="P132" s="195"/>
    </row>
    <row r="133" spans="1:16">
      <c r="A133" s="3"/>
      <c r="B133" s="3" t="str">
        <f>TEXT(Tabela223456[[#This Row],[DATA]],"mmmm")</f>
        <v>janeiro</v>
      </c>
      <c r="C133" s="2"/>
      <c r="D133" s="2"/>
      <c r="E133" s="2"/>
      <c r="F133" s="2"/>
      <c r="G133" s="173"/>
      <c r="H133" s="174"/>
      <c r="I133" s="173" t="e">
        <f>Tabela22[[#This Row],[PESO TOTAL]]/Tabela22[[#This Row],[QUANTIDADE]]</f>
        <v>#DIV/0!</v>
      </c>
      <c r="J133" s="2"/>
      <c r="K133" s="193"/>
      <c r="L133" s="8"/>
      <c r="M133" s="8"/>
      <c r="N133" s="8"/>
      <c r="O133" s="194"/>
      <c r="P133" s="195"/>
    </row>
    <row r="134" spans="1:16">
      <c r="A134" s="3"/>
      <c r="B134" s="3" t="str">
        <f>TEXT(Tabela223456[[#This Row],[DATA]],"mmmm")</f>
        <v>janeiro</v>
      </c>
      <c r="C134" s="2"/>
      <c r="D134" s="2"/>
      <c r="E134" s="2"/>
      <c r="F134" s="2"/>
      <c r="G134" s="173"/>
      <c r="H134" s="174"/>
      <c r="I134" s="173" t="e">
        <f>Tabela22[[#This Row],[PESO TOTAL]]/Tabela22[[#This Row],[QUANTIDADE]]</f>
        <v>#DIV/0!</v>
      </c>
      <c r="J134" s="2"/>
      <c r="K134" s="193"/>
      <c r="L134" s="8"/>
      <c r="M134" s="8"/>
      <c r="N134" s="8"/>
      <c r="O134" s="194"/>
      <c r="P134" s="195"/>
    </row>
    <row r="135" spans="1:16">
      <c r="A135" s="3"/>
      <c r="B135" s="3" t="str">
        <f>TEXT(Tabela223456[[#This Row],[DATA]],"mmmm")</f>
        <v>janeiro</v>
      </c>
      <c r="C135" s="2"/>
      <c r="D135" s="2"/>
      <c r="E135" s="2"/>
      <c r="F135" s="2"/>
      <c r="G135" s="173"/>
      <c r="H135" s="174"/>
      <c r="I135" s="173" t="e">
        <f>Tabela22[[#This Row],[PESO TOTAL]]/Tabela22[[#This Row],[QUANTIDADE]]</f>
        <v>#DIV/0!</v>
      </c>
      <c r="J135" s="2"/>
      <c r="K135" s="193"/>
      <c r="L135" s="8"/>
      <c r="M135" s="8"/>
      <c r="N135" s="8"/>
      <c r="O135" s="194"/>
      <c r="P135" s="195"/>
    </row>
    <row r="136" spans="1:16">
      <c r="A136" s="3"/>
      <c r="B136" s="3" t="str">
        <f>TEXT(Tabela223456[[#This Row],[DATA]],"mmmm")</f>
        <v>janeiro</v>
      </c>
      <c r="C136" s="2"/>
      <c r="D136" s="2"/>
      <c r="E136" s="2"/>
      <c r="F136" s="2"/>
      <c r="G136" s="173"/>
      <c r="H136" s="174"/>
      <c r="I136" s="173" t="e">
        <f>Tabela22[[#This Row],[PESO TOTAL]]/Tabela22[[#This Row],[QUANTIDADE]]</f>
        <v>#DIV/0!</v>
      </c>
      <c r="J136" s="2"/>
      <c r="K136" s="193"/>
      <c r="L136" s="8"/>
      <c r="M136" s="8"/>
      <c r="N136" s="8"/>
      <c r="O136" s="194"/>
      <c r="P136" s="195"/>
    </row>
    <row r="137" spans="1:16">
      <c r="A137" s="3"/>
      <c r="B137" s="3" t="str">
        <f>TEXT(Tabela223456[[#This Row],[DATA]],"mmmm")</f>
        <v>janeiro</v>
      </c>
      <c r="C137" s="2"/>
      <c r="D137" s="2"/>
      <c r="E137" s="2"/>
      <c r="F137" s="2"/>
      <c r="G137" s="173"/>
      <c r="H137" s="174"/>
      <c r="I137" s="173" t="e">
        <f>Tabela22[[#This Row],[PESO TOTAL]]/Tabela22[[#This Row],[QUANTIDADE]]</f>
        <v>#DIV/0!</v>
      </c>
      <c r="J137" s="2"/>
      <c r="K137" s="193"/>
      <c r="L137" s="8"/>
      <c r="M137" s="8"/>
      <c r="N137" s="8"/>
      <c r="O137" s="194"/>
      <c r="P137" s="195"/>
    </row>
    <row r="138" spans="1:16">
      <c r="A138" s="3"/>
      <c r="B138" s="3" t="str">
        <f>TEXT(Tabela223456[[#This Row],[DATA]],"mmmm")</f>
        <v>janeiro</v>
      </c>
      <c r="C138" s="2"/>
      <c r="D138" s="2"/>
      <c r="E138" s="2"/>
      <c r="F138" s="2"/>
      <c r="G138" s="173"/>
      <c r="H138" s="174"/>
      <c r="I138" s="173" t="e">
        <f>Tabela22[[#This Row],[PESO TOTAL]]/Tabela22[[#This Row],[QUANTIDADE]]</f>
        <v>#DIV/0!</v>
      </c>
      <c r="J138" s="2"/>
      <c r="K138" s="193"/>
      <c r="L138" s="8"/>
      <c r="M138" s="8"/>
      <c r="N138" s="8"/>
      <c r="O138" s="194"/>
      <c r="P138" s="195"/>
    </row>
    <row r="139" spans="1:16">
      <c r="A139" s="3"/>
      <c r="B139" s="3" t="str">
        <f>TEXT(Tabela223456[[#This Row],[DATA]],"mmmm")</f>
        <v>janeiro</v>
      </c>
      <c r="C139" s="2"/>
      <c r="D139" s="2"/>
      <c r="E139" s="2"/>
      <c r="F139" s="2"/>
      <c r="G139" s="173"/>
      <c r="H139" s="174"/>
      <c r="I139" s="173" t="e">
        <f>Tabela22[[#This Row],[PESO TOTAL]]/Tabela22[[#This Row],[QUANTIDADE]]</f>
        <v>#DIV/0!</v>
      </c>
      <c r="J139" s="2"/>
      <c r="K139" s="193"/>
      <c r="L139" s="8"/>
      <c r="M139" s="8"/>
      <c r="N139" s="8"/>
      <c r="O139" s="194"/>
      <c r="P139" s="195"/>
    </row>
    <row r="140" spans="1:16">
      <c r="A140" s="3"/>
      <c r="B140" s="3" t="str">
        <f>TEXT(Tabela223456[[#This Row],[DATA]],"mmmm")</f>
        <v>janeiro</v>
      </c>
      <c r="C140" s="2"/>
      <c r="D140" s="2"/>
      <c r="E140" s="2"/>
      <c r="F140" s="2"/>
      <c r="G140" s="173"/>
      <c r="H140" s="174"/>
      <c r="I140" s="173" t="e">
        <f>Tabela22[[#This Row],[PESO TOTAL]]/Tabela22[[#This Row],[QUANTIDADE]]</f>
        <v>#DIV/0!</v>
      </c>
      <c r="J140" s="2"/>
      <c r="K140" s="193"/>
      <c r="L140" s="8"/>
      <c r="M140" s="8"/>
      <c r="N140" s="8"/>
      <c r="O140" s="194"/>
      <c r="P140" s="195"/>
    </row>
    <row r="141" spans="1:16">
      <c r="A141" s="3"/>
      <c r="B141" s="3" t="str">
        <f>TEXT(Tabela223456[[#This Row],[DATA]],"mmmm")</f>
        <v>janeiro</v>
      </c>
      <c r="C141" s="2"/>
      <c r="D141" s="2"/>
      <c r="E141" s="2"/>
      <c r="F141" s="2"/>
      <c r="G141" s="173"/>
      <c r="H141" s="174"/>
      <c r="I141" s="173" t="e">
        <f>Tabela22[[#This Row],[PESO TOTAL]]/Tabela22[[#This Row],[QUANTIDADE]]</f>
        <v>#DIV/0!</v>
      </c>
      <c r="J141" s="2"/>
      <c r="K141" s="193"/>
      <c r="L141" s="8"/>
      <c r="M141" s="8"/>
      <c r="N141" s="8"/>
      <c r="O141" s="194"/>
      <c r="P141" s="195"/>
    </row>
    <row r="142" spans="1:16">
      <c r="A142" s="3"/>
      <c r="B142" s="3" t="str">
        <f>TEXT(Tabela223456[[#This Row],[DATA]],"mmmm")</f>
        <v>janeiro</v>
      </c>
      <c r="C142" s="2"/>
      <c r="D142" s="2"/>
      <c r="E142" s="2"/>
      <c r="F142" s="2"/>
      <c r="G142" s="173"/>
      <c r="H142" s="174"/>
      <c r="I142" s="173" t="e">
        <f>Tabela22[[#This Row],[PESO TOTAL]]/Tabela22[[#This Row],[QUANTIDADE]]</f>
        <v>#DIV/0!</v>
      </c>
      <c r="J142" s="2"/>
      <c r="K142" s="193"/>
      <c r="L142" s="8"/>
      <c r="M142" s="8"/>
      <c r="N142" s="8"/>
      <c r="O142" s="194"/>
      <c r="P142" s="195"/>
    </row>
    <row r="143" spans="1:16">
      <c r="A143" s="3"/>
      <c r="B143" s="3" t="str">
        <f>TEXT(Tabela223456[[#This Row],[DATA]],"mmmm")</f>
        <v>janeiro</v>
      </c>
      <c r="C143" s="2"/>
      <c r="D143" s="2"/>
      <c r="E143" s="2"/>
      <c r="F143" s="2"/>
      <c r="G143" s="173"/>
      <c r="H143" s="174"/>
      <c r="I143" s="173" t="e">
        <f>Tabela22[[#This Row],[PESO TOTAL]]/Tabela22[[#This Row],[QUANTIDADE]]</f>
        <v>#DIV/0!</v>
      </c>
      <c r="J143" s="2"/>
      <c r="K143" s="193"/>
      <c r="L143" s="8"/>
      <c r="M143" s="8"/>
      <c r="N143" s="8"/>
      <c r="O143" s="194"/>
      <c r="P143" s="195"/>
    </row>
    <row r="144" spans="1:16">
      <c r="A144" s="3"/>
      <c r="B144" s="3" t="str">
        <f>TEXT(Tabela223456[[#This Row],[DATA]],"mmmm")</f>
        <v>janeiro</v>
      </c>
      <c r="C144" s="2"/>
      <c r="D144" s="2"/>
      <c r="E144" s="2"/>
      <c r="F144" s="2"/>
      <c r="G144" s="173"/>
      <c r="H144" s="174"/>
      <c r="I144" s="173" t="e">
        <f>Tabela22[[#This Row],[PESO TOTAL]]/Tabela22[[#This Row],[QUANTIDADE]]</f>
        <v>#DIV/0!</v>
      </c>
      <c r="J144" s="2"/>
      <c r="K144" s="193"/>
      <c r="L144" s="8"/>
      <c r="M144" s="8"/>
      <c r="N144" s="8"/>
      <c r="O144" s="194"/>
      <c r="P144" s="195"/>
    </row>
    <row r="145" spans="1:16">
      <c r="A145" s="3"/>
      <c r="B145" s="3" t="str">
        <f>TEXT(Tabela223456[[#This Row],[DATA]],"mmmm")</f>
        <v>janeiro</v>
      </c>
      <c r="C145" s="2"/>
      <c r="D145" s="2"/>
      <c r="E145" s="2"/>
      <c r="F145" s="2"/>
      <c r="G145" s="173"/>
      <c r="H145" s="174"/>
      <c r="I145" s="173" t="e">
        <f>Tabela22[[#This Row],[PESO TOTAL]]/Tabela22[[#This Row],[QUANTIDADE]]</f>
        <v>#DIV/0!</v>
      </c>
      <c r="J145" s="2"/>
      <c r="K145" s="193"/>
      <c r="L145" s="8"/>
      <c r="M145" s="8"/>
      <c r="N145" s="8"/>
      <c r="O145" s="194"/>
      <c r="P145" s="195"/>
    </row>
    <row r="146" spans="1:16">
      <c r="A146" s="3"/>
      <c r="B146" s="3" t="str">
        <f>TEXT(Tabela223456[[#This Row],[DATA]],"mmmm")</f>
        <v>janeiro</v>
      </c>
      <c r="C146" s="2"/>
      <c r="D146" s="2"/>
      <c r="E146" s="2"/>
      <c r="F146" s="2"/>
      <c r="G146" s="173"/>
      <c r="H146" s="174"/>
      <c r="I146" s="173" t="e">
        <f>Tabela22[[#This Row],[PESO TOTAL]]/Tabela22[[#This Row],[QUANTIDADE]]</f>
        <v>#DIV/0!</v>
      </c>
      <c r="J146" s="2"/>
      <c r="K146" s="193"/>
      <c r="L146" s="8"/>
      <c r="M146" s="8"/>
      <c r="N146" s="8"/>
      <c r="O146" s="194"/>
      <c r="P146" s="195"/>
    </row>
    <row r="147" spans="1:16">
      <c r="A147" s="3"/>
      <c r="B147" s="3" t="str">
        <f>TEXT(Tabela223456[[#This Row],[DATA]],"mmmm")</f>
        <v>janeiro</v>
      </c>
      <c r="C147" s="2"/>
      <c r="D147" s="2"/>
      <c r="E147" s="2"/>
      <c r="F147" s="2"/>
      <c r="G147" s="173"/>
      <c r="H147" s="174"/>
      <c r="I147" s="173" t="e">
        <f>Tabela22[[#This Row],[PESO TOTAL]]/Tabela22[[#This Row],[QUANTIDADE]]</f>
        <v>#DIV/0!</v>
      </c>
      <c r="J147" s="2"/>
      <c r="K147" s="193"/>
      <c r="L147" s="8"/>
      <c r="M147" s="8"/>
      <c r="N147" s="8"/>
      <c r="O147" s="194"/>
      <c r="P147" s="195"/>
    </row>
    <row r="148" spans="1:16">
      <c r="A148" s="3"/>
      <c r="B148" s="3" t="str">
        <f>TEXT(Tabela223456[[#This Row],[DATA]],"mmmm")</f>
        <v>janeiro</v>
      </c>
      <c r="C148" s="2"/>
      <c r="D148" s="2"/>
      <c r="E148" s="2"/>
      <c r="F148" s="2"/>
      <c r="G148" s="173"/>
      <c r="H148" s="174"/>
      <c r="I148" s="173" t="e">
        <f>Tabela22[[#This Row],[PESO TOTAL]]/Tabela22[[#This Row],[QUANTIDADE]]</f>
        <v>#DIV/0!</v>
      </c>
      <c r="J148" s="2"/>
      <c r="K148" s="193"/>
      <c r="L148" s="8"/>
      <c r="M148" s="8"/>
      <c r="N148" s="8"/>
      <c r="O148" s="194"/>
      <c r="P148" s="195"/>
    </row>
    <row r="149" spans="1:16">
      <c r="A149" s="3"/>
      <c r="B149" s="3" t="str">
        <f>TEXT(Tabela223456[[#This Row],[DATA]],"mmmm")</f>
        <v>janeiro</v>
      </c>
      <c r="C149" s="2"/>
      <c r="D149" s="2"/>
      <c r="E149" s="2"/>
      <c r="F149" s="2"/>
      <c r="G149" s="173"/>
      <c r="H149" s="174"/>
      <c r="I149" s="173" t="e">
        <f>Tabela22[[#This Row],[PESO TOTAL]]/Tabela22[[#This Row],[QUANTIDADE]]</f>
        <v>#DIV/0!</v>
      </c>
      <c r="J149" s="2"/>
      <c r="K149" s="193"/>
      <c r="L149" s="8"/>
      <c r="M149" s="8"/>
      <c r="N149" s="8"/>
      <c r="O149" s="194"/>
      <c r="P149" s="195"/>
    </row>
    <row r="150" spans="1:16">
      <c r="A150" s="3"/>
      <c r="B150" s="3" t="str">
        <f>TEXT(Tabela223456[[#This Row],[DATA]],"mmmm")</f>
        <v>janeiro</v>
      </c>
      <c r="C150" s="2"/>
      <c r="D150" s="2"/>
      <c r="E150" s="2"/>
      <c r="F150" s="2"/>
      <c r="G150" s="173"/>
      <c r="H150" s="174"/>
      <c r="I150" s="173" t="e">
        <f>Tabela22[[#This Row],[PESO TOTAL]]/Tabela22[[#This Row],[QUANTIDADE]]</f>
        <v>#DIV/0!</v>
      </c>
      <c r="J150" s="2"/>
      <c r="K150" s="193"/>
      <c r="L150" s="8"/>
      <c r="M150" s="8"/>
      <c r="N150" s="8"/>
      <c r="O150" s="194"/>
      <c r="P150" s="195"/>
    </row>
    <row r="151" spans="1:16">
      <c r="A151" s="3"/>
      <c r="B151" s="3" t="str">
        <f>TEXT(Tabela223456[[#This Row],[DATA]],"mmmm")</f>
        <v>janeiro</v>
      </c>
      <c r="C151" s="2"/>
      <c r="D151" s="2"/>
      <c r="E151" s="2"/>
      <c r="F151" s="2"/>
      <c r="G151" s="173"/>
      <c r="H151" s="174"/>
      <c r="I151" s="173" t="e">
        <f>Tabela22[[#This Row],[PESO TOTAL]]/Tabela22[[#This Row],[QUANTIDADE]]</f>
        <v>#DIV/0!</v>
      </c>
      <c r="J151" s="2"/>
      <c r="K151" s="193"/>
      <c r="L151" s="8"/>
      <c r="M151" s="8"/>
      <c r="N151" s="8"/>
      <c r="O151" s="194"/>
      <c r="P151" s="195"/>
    </row>
    <row r="152" spans="1:16">
      <c r="A152" s="3"/>
      <c r="B152" s="3" t="str">
        <f>TEXT(Tabela223456[[#This Row],[DATA]],"mmmm")</f>
        <v>janeiro</v>
      </c>
      <c r="C152" s="2"/>
      <c r="D152" s="2"/>
      <c r="E152" s="2"/>
      <c r="F152" s="2"/>
      <c r="G152" s="173"/>
      <c r="H152" s="174"/>
      <c r="I152" s="173" t="e">
        <f>Tabela22[[#This Row],[PESO TOTAL]]/Tabela22[[#This Row],[QUANTIDADE]]</f>
        <v>#DIV/0!</v>
      </c>
      <c r="J152" s="2"/>
      <c r="K152" s="193"/>
      <c r="L152" s="8"/>
      <c r="M152" s="8"/>
      <c r="N152" s="8"/>
      <c r="O152" s="194"/>
      <c r="P152" s="195"/>
    </row>
    <row r="153" spans="1:16">
      <c r="A153" s="3"/>
      <c r="B153" s="3" t="str">
        <f>TEXT(Tabela223456[[#This Row],[DATA]],"mmmm")</f>
        <v>janeiro</v>
      </c>
      <c r="C153" s="2"/>
      <c r="D153" s="2"/>
      <c r="E153" s="2"/>
      <c r="F153" s="2"/>
      <c r="G153" s="173"/>
      <c r="H153" s="174"/>
      <c r="I153" s="173" t="e">
        <f>Tabela22[[#This Row],[PESO TOTAL]]/Tabela22[[#This Row],[QUANTIDADE]]</f>
        <v>#DIV/0!</v>
      </c>
      <c r="J153" s="2"/>
      <c r="K153" s="193"/>
      <c r="L153" s="8"/>
      <c r="M153" s="8"/>
      <c r="N153" s="8"/>
      <c r="O153" s="194"/>
      <c r="P153" s="195"/>
    </row>
    <row r="154" spans="1:16">
      <c r="A154" s="3"/>
      <c r="B154" s="3" t="str">
        <f>TEXT(Tabela223456[[#This Row],[DATA]],"mmmm")</f>
        <v>janeiro</v>
      </c>
      <c r="C154" s="2"/>
      <c r="D154" s="2"/>
      <c r="E154" s="2"/>
      <c r="F154" s="2"/>
      <c r="G154" s="173"/>
      <c r="H154" s="174"/>
      <c r="I154" s="173" t="e">
        <f>Tabela22[[#This Row],[PESO TOTAL]]/Tabela22[[#This Row],[QUANTIDADE]]</f>
        <v>#DIV/0!</v>
      </c>
      <c r="J154" s="2"/>
      <c r="K154" s="193"/>
      <c r="L154" s="8"/>
      <c r="M154" s="8"/>
      <c r="N154" s="8"/>
      <c r="O154" s="194"/>
      <c r="P154" s="195"/>
    </row>
    <row r="155" spans="1:16">
      <c r="A155" s="3"/>
      <c r="B155" s="3" t="str">
        <f>TEXT(Tabela223456[[#This Row],[DATA]],"mmmm")</f>
        <v>janeiro</v>
      </c>
      <c r="C155" s="2"/>
      <c r="D155" s="2"/>
      <c r="E155" s="2"/>
      <c r="F155" s="2"/>
      <c r="G155" s="173"/>
      <c r="H155" s="174"/>
      <c r="I155" s="173" t="e">
        <f>Tabela22[[#This Row],[PESO TOTAL]]/Tabela22[[#This Row],[QUANTIDADE]]</f>
        <v>#DIV/0!</v>
      </c>
      <c r="J155" s="2"/>
      <c r="K155" s="193"/>
      <c r="L155" s="8"/>
      <c r="M155" s="8"/>
      <c r="N155" s="8"/>
      <c r="O155" s="194"/>
      <c r="P155" s="195"/>
    </row>
    <row r="156" spans="1:16">
      <c r="A156" s="3"/>
      <c r="B156" s="3" t="str">
        <f>TEXT(Tabela223456[[#This Row],[DATA]],"mmmm")</f>
        <v>janeiro</v>
      </c>
      <c r="C156" s="2"/>
      <c r="D156" s="2"/>
      <c r="E156" s="2"/>
      <c r="F156" s="2"/>
      <c r="G156" s="173"/>
      <c r="H156" s="174"/>
      <c r="I156" s="173" t="e">
        <f>Tabela22[[#This Row],[PESO TOTAL]]/Tabela22[[#This Row],[QUANTIDADE]]</f>
        <v>#DIV/0!</v>
      </c>
      <c r="J156" s="2"/>
      <c r="K156" s="193"/>
      <c r="L156" s="8"/>
      <c r="M156" s="8"/>
      <c r="N156" s="8"/>
      <c r="O156" s="194"/>
      <c r="P156" s="195"/>
    </row>
    <row r="157" spans="1:16">
      <c r="A157" s="3"/>
      <c r="B157" s="3" t="str">
        <f>TEXT(Tabela223456[[#This Row],[DATA]],"mmmm")</f>
        <v>janeiro</v>
      </c>
      <c r="C157" s="2"/>
      <c r="D157" s="2"/>
      <c r="E157" s="2"/>
      <c r="F157" s="2"/>
      <c r="G157" s="173"/>
      <c r="H157" s="174"/>
      <c r="I157" s="173" t="e">
        <f>Tabela22[[#This Row],[PESO TOTAL]]/Tabela22[[#This Row],[QUANTIDADE]]</f>
        <v>#DIV/0!</v>
      </c>
      <c r="J157" s="2"/>
      <c r="K157" s="193"/>
      <c r="L157" s="8"/>
      <c r="M157" s="8"/>
      <c r="N157" s="8"/>
      <c r="O157" s="194"/>
      <c r="P157" s="195"/>
    </row>
    <row r="158" spans="1:16">
      <c r="A158" s="3"/>
      <c r="B158" s="3" t="str">
        <f>TEXT(Tabela223456[[#This Row],[DATA]],"mmmm")</f>
        <v>janeiro</v>
      </c>
      <c r="C158" s="2"/>
      <c r="D158" s="2"/>
      <c r="E158" s="2"/>
      <c r="F158" s="2"/>
      <c r="G158" s="173"/>
      <c r="H158" s="174"/>
      <c r="I158" s="173" t="e">
        <f>Tabela22[[#This Row],[PESO TOTAL]]/Tabela22[[#This Row],[QUANTIDADE]]</f>
        <v>#DIV/0!</v>
      </c>
      <c r="J158" s="2"/>
      <c r="K158" s="193"/>
      <c r="L158" s="8"/>
      <c r="M158" s="8"/>
      <c r="N158" s="8"/>
      <c r="O158" s="194"/>
      <c r="P158" s="195"/>
    </row>
    <row r="159" spans="1:16">
      <c r="A159" s="3"/>
      <c r="B159" s="3" t="str">
        <f>TEXT(Tabela223456[[#This Row],[DATA]],"mmmm")</f>
        <v>janeiro</v>
      </c>
      <c r="C159" s="2"/>
      <c r="D159" s="2"/>
      <c r="E159" s="2"/>
      <c r="F159" s="2"/>
      <c r="G159" s="173"/>
      <c r="H159" s="174"/>
      <c r="I159" s="173" t="e">
        <f>Tabela22[[#This Row],[PESO TOTAL]]/Tabela22[[#This Row],[QUANTIDADE]]</f>
        <v>#DIV/0!</v>
      </c>
      <c r="J159" s="2"/>
      <c r="K159" s="193"/>
      <c r="L159" s="8"/>
      <c r="M159" s="8"/>
      <c r="N159" s="8"/>
      <c r="O159" s="194"/>
      <c r="P159" s="195"/>
    </row>
    <row r="160" spans="1:16">
      <c r="A160" s="3"/>
      <c r="B160" s="3" t="str">
        <f>TEXT(Tabela223456[[#This Row],[DATA]],"mmmm")</f>
        <v>janeiro</v>
      </c>
      <c r="C160" s="2"/>
      <c r="D160" s="2"/>
      <c r="E160" s="2"/>
      <c r="F160" s="2"/>
      <c r="G160" s="173"/>
      <c r="H160" s="174"/>
      <c r="I160" s="173" t="e">
        <f>Tabela22[[#This Row],[PESO TOTAL]]/Tabela22[[#This Row],[QUANTIDADE]]</f>
        <v>#DIV/0!</v>
      </c>
      <c r="J160" s="2"/>
      <c r="K160" s="193"/>
      <c r="L160" s="8"/>
      <c r="M160" s="8"/>
      <c r="N160" s="8"/>
      <c r="O160" s="194"/>
      <c r="P160" s="195"/>
    </row>
    <row r="161" spans="1:16">
      <c r="A161" s="3"/>
      <c r="B161" s="3" t="str">
        <f>TEXT(Tabela223456[[#This Row],[DATA]],"mmmm")</f>
        <v>janeiro</v>
      </c>
      <c r="C161" s="2"/>
      <c r="D161" s="2"/>
      <c r="E161" s="2"/>
      <c r="F161" s="2"/>
      <c r="G161" s="173"/>
      <c r="H161" s="174"/>
      <c r="I161" s="173" t="e">
        <f>Tabela22[[#This Row],[PESO TOTAL]]/Tabela22[[#This Row],[QUANTIDADE]]</f>
        <v>#DIV/0!</v>
      </c>
      <c r="J161" s="2"/>
      <c r="K161" s="193"/>
      <c r="L161" s="8"/>
      <c r="M161" s="8"/>
      <c r="N161" s="8"/>
      <c r="O161" s="194"/>
      <c r="P161" s="195"/>
    </row>
    <row r="162" spans="1:16">
      <c r="A162" s="3"/>
      <c r="B162" s="3" t="str">
        <f>TEXT(Tabela223456[[#This Row],[DATA]],"mmmm")</f>
        <v>janeiro</v>
      </c>
      <c r="C162" s="2"/>
      <c r="D162" s="2"/>
      <c r="E162" s="2"/>
      <c r="F162" s="2"/>
      <c r="G162" s="173"/>
      <c r="H162" s="174"/>
      <c r="I162" s="173" t="e">
        <f>Tabela22[[#This Row],[PESO TOTAL]]/Tabela22[[#This Row],[QUANTIDADE]]</f>
        <v>#DIV/0!</v>
      </c>
      <c r="J162" s="2"/>
      <c r="K162" s="193"/>
      <c r="L162" s="8"/>
      <c r="M162" s="8"/>
      <c r="N162" s="8"/>
      <c r="O162" s="194"/>
      <c r="P162" s="195"/>
    </row>
    <row r="163" spans="1:16">
      <c r="A163" s="3"/>
      <c r="B163" s="3" t="str">
        <f>TEXT(Tabela223456[[#This Row],[DATA]],"mmmm")</f>
        <v>janeiro</v>
      </c>
      <c r="C163" s="2"/>
      <c r="D163" s="2"/>
      <c r="E163" s="2"/>
      <c r="F163" s="2"/>
      <c r="G163" s="173"/>
      <c r="H163" s="174"/>
      <c r="I163" s="173" t="e">
        <f>Tabela22[[#This Row],[PESO TOTAL]]/Tabela22[[#This Row],[QUANTIDADE]]</f>
        <v>#DIV/0!</v>
      </c>
      <c r="J163" s="2"/>
      <c r="K163" s="193"/>
      <c r="L163" s="8"/>
      <c r="M163" s="8"/>
      <c r="N163" s="8"/>
      <c r="O163" s="194"/>
      <c r="P163" s="195"/>
    </row>
    <row r="164" spans="1:16">
      <c r="A164" s="3"/>
      <c r="B164" s="3" t="str">
        <f>TEXT(Tabela223456[[#This Row],[DATA]],"mmmm")</f>
        <v>janeiro</v>
      </c>
      <c r="C164" s="2"/>
      <c r="D164" s="2"/>
      <c r="E164" s="2"/>
      <c r="F164" s="2"/>
      <c r="G164" s="173"/>
      <c r="H164" s="174"/>
      <c r="I164" s="173" t="e">
        <f>Tabela22[[#This Row],[PESO TOTAL]]/Tabela22[[#This Row],[QUANTIDADE]]</f>
        <v>#DIV/0!</v>
      </c>
      <c r="J164" s="2"/>
      <c r="K164" s="193"/>
      <c r="L164" s="8"/>
      <c r="M164" s="8"/>
      <c r="N164" s="8"/>
      <c r="O164" s="194"/>
      <c r="P164" s="195"/>
    </row>
    <row r="165" spans="1:16">
      <c r="A165" s="3"/>
      <c r="B165" s="3" t="str">
        <f>TEXT(Tabela223456[[#This Row],[DATA]],"mmmm")</f>
        <v>janeiro</v>
      </c>
      <c r="C165" s="2"/>
      <c r="D165" s="2"/>
      <c r="E165" s="2"/>
      <c r="F165" s="2"/>
      <c r="G165" s="173"/>
      <c r="H165" s="174"/>
      <c r="I165" s="173" t="e">
        <f>Tabela22[[#This Row],[PESO TOTAL]]/Tabela22[[#This Row],[QUANTIDADE]]</f>
        <v>#DIV/0!</v>
      </c>
      <c r="J165" s="2"/>
      <c r="K165" s="193"/>
      <c r="L165" s="8"/>
      <c r="M165" s="8"/>
      <c r="N165" s="8"/>
      <c r="O165" s="194"/>
      <c r="P165" s="195"/>
    </row>
    <row r="166" spans="1:16">
      <c r="A166" s="3"/>
      <c r="B166" s="3" t="str">
        <f>TEXT(Tabela223456[[#This Row],[DATA]],"mmmm")</f>
        <v>janeiro</v>
      </c>
      <c r="C166" s="2"/>
      <c r="D166" s="2"/>
      <c r="E166" s="2"/>
      <c r="F166" s="2"/>
      <c r="G166" s="173"/>
      <c r="H166" s="174"/>
      <c r="I166" s="173" t="e">
        <f>Tabela22[[#This Row],[PESO TOTAL]]/Tabela22[[#This Row],[QUANTIDADE]]</f>
        <v>#DIV/0!</v>
      </c>
      <c r="J166" s="2"/>
      <c r="K166" s="193"/>
      <c r="L166" s="8"/>
      <c r="M166" s="8"/>
      <c r="N166" s="8"/>
      <c r="O166" s="194"/>
      <c r="P166" s="195"/>
    </row>
    <row r="167" spans="1:16">
      <c r="A167" s="3"/>
      <c r="B167" s="3" t="str">
        <f>TEXT(Tabela223456[[#This Row],[DATA]],"mmmm")</f>
        <v>janeiro</v>
      </c>
      <c r="C167" s="2"/>
      <c r="D167" s="2"/>
      <c r="E167" s="2"/>
      <c r="F167" s="2"/>
      <c r="G167" s="173"/>
      <c r="H167" s="174"/>
      <c r="I167" s="173" t="e">
        <f>Tabela22[[#This Row],[PESO TOTAL]]/Tabela22[[#This Row],[QUANTIDADE]]</f>
        <v>#DIV/0!</v>
      </c>
      <c r="J167" s="2"/>
      <c r="K167" s="193"/>
      <c r="L167" s="8"/>
      <c r="M167" s="8"/>
      <c r="N167" s="8"/>
      <c r="O167" s="194"/>
      <c r="P167" s="195"/>
    </row>
    <row r="168" spans="1:16">
      <c r="A168" s="3"/>
      <c r="B168" s="3" t="str">
        <f>TEXT(Tabela223456[[#This Row],[DATA]],"mmmm")</f>
        <v>janeiro</v>
      </c>
      <c r="C168" s="2"/>
      <c r="D168" s="2"/>
      <c r="E168" s="2"/>
      <c r="F168" s="2"/>
      <c r="G168" s="173"/>
      <c r="H168" s="174"/>
      <c r="I168" s="173" t="e">
        <f>Tabela22[[#This Row],[PESO TOTAL]]/Tabela22[[#This Row],[QUANTIDADE]]</f>
        <v>#DIV/0!</v>
      </c>
      <c r="J168" s="2"/>
      <c r="K168" s="193"/>
      <c r="L168" s="8"/>
      <c r="M168" s="8"/>
      <c r="N168" s="8"/>
      <c r="O168" s="194"/>
      <c r="P168" s="195"/>
    </row>
    <row r="169" spans="1:16">
      <c r="A169" s="3"/>
      <c r="B169" s="3" t="str">
        <f>TEXT(Tabela223456[[#This Row],[DATA]],"mmmm")</f>
        <v>janeiro</v>
      </c>
      <c r="C169" s="2"/>
      <c r="D169" s="2"/>
      <c r="E169" s="2"/>
      <c r="F169" s="2"/>
      <c r="G169" s="173"/>
      <c r="H169" s="174"/>
      <c r="I169" s="173" t="e">
        <f>Tabela22[[#This Row],[PESO TOTAL]]/Tabela22[[#This Row],[QUANTIDADE]]</f>
        <v>#DIV/0!</v>
      </c>
      <c r="J169" s="2"/>
      <c r="K169" s="193"/>
      <c r="L169" s="8"/>
      <c r="M169" s="8"/>
      <c r="N169" s="8"/>
      <c r="O169" s="194"/>
      <c r="P169" s="195"/>
    </row>
    <row r="170" spans="1:16">
      <c r="A170" s="3"/>
      <c r="B170" s="3" t="str">
        <f>TEXT(Tabela223456[[#This Row],[DATA]],"mmmm")</f>
        <v>janeiro</v>
      </c>
      <c r="C170" s="2"/>
      <c r="D170" s="2"/>
      <c r="E170" s="2"/>
      <c r="F170" s="2"/>
      <c r="G170" s="173"/>
      <c r="H170" s="174"/>
      <c r="I170" s="173" t="e">
        <f>Tabela22[[#This Row],[PESO TOTAL]]/Tabela22[[#This Row],[QUANTIDADE]]</f>
        <v>#DIV/0!</v>
      </c>
      <c r="J170" s="2"/>
      <c r="K170" s="193"/>
      <c r="L170" s="8"/>
      <c r="M170" s="8"/>
      <c r="N170" s="8"/>
      <c r="O170" s="194"/>
      <c r="P170" s="195"/>
    </row>
    <row r="171" spans="1:16">
      <c r="A171" s="3"/>
      <c r="B171" s="3" t="str">
        <f>TEXT(Tabela223456[[#This Row],[DATA]],"mmmm")</f>
        <v>janeiro</v>
      </c>
      <c r="C171" s="2"/>
      <c r="D171" s="2"/>
      <c r="E171" s="2"/>
      <c r="F171" s="2"/>
      <c r="G171" s="173"/>
      <c r="H171" s="174"/>
      <c r="I171" s="173" t="e">
        <f>Tabela22[[#This Row],[PESO TOTAL]]/Tabela22[[#This Row],[QUANTIDADE]]</f>
        <v>#DIV/0!</v>
      </c>
      <c r="J171" s="2"/>
      <c r="K171" s="193"/>
      <c r="L171" s="8"/>
      <c r="M171" s="8"/>
      <c r="N171" s="8"/>
      <c r="O171" s="194"/>
      <c r="P171" s="195"/>
    </row>
    <row r="172" spans="1:16">
      <c r="A172" s="3"/>
      <c r="B172" s="3" t="str">
        <f>TEXT(Tabela223456[[#This Row],[DATA]],"mmmm")</f>
        <v>janeiro</v>
      </c>
      <c r="C172" s="2"/>
      <c r="D172" s="2"/>
      <c r="E172" s="2"/>
      <c r="F172" s="2"/>
      <c r="G172" s="173"/>
      <c r="H172" s="174"/>
      <c r="I172" s="173" t="e">
        <f>Tabela22[[#This Row],[PESO TOTAL]]/Tabela22[[#This Row],[QUANTIDADE]]</f>
        <v>#DIV/0!</v>
      </c>
      <c r="J172" s="2"/>
      <c r="K172" s="193"/>
      <c r="L172" s="8"/>
      <c r="M172" s="8"/>
      <c r="N172" s="8"/>
      <c r="O172" s="194"/>
      <c r="P172" s="195"/>
    </row>
    <row r="173" spans="1:16">
      <c r="A173" s="3"/>
      <c r="B173" s="3" t="str">
        <f>TEXT(Tabela223456[[#This Row],[DATA]],"mmmm")</f>
        <v>janeiro</v>
      </c>
      <c r="C173" s="2"/>
      <c r="D173" s="2"/>
      <c r="E173" s="2"/>
      <c r="F173" s="2"/>
      <c r="G173" s="173"/>
      <c r="H173" s="174"/>
      <c r="I173" s="173" t="e">
        <f>Tabela22[[#This Row],[PESO TOTAL]]/Tabela22[[#This Row],[QUANTIDADE]]</f>
        <v>#DIV/0!</v>
      </c>
      <c r="J173" s="2"/>
      <c r="K173" s="193"/>
      <c r="L173" s="8"/>
      <c r="M173" s="8"/>
      <c r="N173" s="8"/>
      <c r="O173" s="194"/>
      <c r="P173" s="195"/>
    </row>
    <row r="174" spans="1:16">
      <c r="A174" s="3"/>
      <c r="B174" s="3" t="str">
        <f>TEXT(Tabela223456[[#This Row],[DATA]],"mmmm")</f>
        <v>janeiro</v>
      </c>
      <c r="C174" s="2"/>
      <c r="D174" s="2"/>
      <c r="E174" s="2"/>
      <c r="F174" s="2"/>
      <c r="G174" s="173"/>
      <c r="H174" s="174"/>
      <c r="I174" s="173" t="e">
        <f>Tabela22[[#This Row],[PESO TOTAL]]/Tabela22[[#This Row],[QUANTIDADE]]</f>
        <v>#DIV/0!</v>
      </c>
      <c r="J174" s="2"/>
      <c r="K174" s="193"/>
      <c r="L174" s="8"/>
      <c r="M174" s="8"/>
      <c r="N174" s="8"/>
      <c r="O174" s="194"/>
      <c r="P174" s="195"/>
    </row>
    <row r="175" spans="1:16">
      <c r="A175" s="3"/>
      <c r="B175" s="3" t="str">
        <f>TEXT(Tabela223456[[#This Row],[DATA]],"mmmm")</f>
        <v>janeiro</v>
      </c>
      <c r="C175" s="2"/>
      <c r="D175" s="2"/>
      <c r="E175" s="2"/>
      <c r="F175" s="2"/>
      <c r="G175" s="173"/>
      <c r="H175" s="174"/>
      <c r="I175" s="173" t="e">
        <f>Tabela22[[#This Row],[PESO TOTAL]]/Tabela22[[#This Row],[QUANTIDADE]]</f>
        <v>#DIV/0!</v>
      </c>
      <c r="J175" s="2"/>
      <c r="K175" s="193"/>
      <c r="L175" s="8"/>
      <c r="M175" s="8"/>
      <c r="N175" s="8"/>
      <c r="O175" s="194"/>
      <c r="P175" s="195"/>
    </row>
    <row r="176" spans="1:16">
      <c r="A176" s="3"/>
      <c r="B176" s="3" t="str">
        <f>TEXT(Tabela223456[[#This Row],[DATA]],"mmmm")</f>
        <v>janeiro</v>
      </c>
      <c r="C176" s="2"/>
      <c r="D176" s="2"/>
      <c r="E176" s="2"/>
      <c r="F176" s="2"/>
      <c r="G176" s="173"/>
      <c r="H176" s="174"/>
      <c r="I176" s="173" t="e">
        <f>Tabela22[[#This Row],[PESO TOTAL]]/Tabela22[[#This Row],[QUANTIDADE]]</f>
        <v>#DIV/0!</v>
      </c>
      <c r="J176" s="2"/>
      <c r="K176" s="193"/>
      <c r="L176" s="8"/>
      <c r="M176" s="8"/>
      <c r="N176" s="8"/>
      <c r="O176" s="194"/>
      <c r="P176" s="195"/>
    </row>
    <row r="177" spans="1:16">
      <c r="A177" s="3"/>
      <c r="B177" s="3" t="str">
        <f>TEXT(Tabela223456[[#This Row],[DATA]],"mmmm")</f>
        <v>janeiro</v>
      </c>
      <c r="C177" s="2"/>
      <c r="D177" s="2"/>
      <c r="E177" s="2"/>
      <c r="F177" s="2"/>
      <c r="G177" s="173"/>
      <c r="H177" s="174"/>
      <c r="I177" s="173" t="e">
        <f>Tabela22[[#This Row],[PESO TOTAL]]/Tabela22[[#This Row],[QUANTIDADE]]</f>
        <v>#DIV/0!</v>
      </c>
      <c r="J177" s="2"/>
      <c r="K177" s="193"/>
      <c r="L177" s="8"/>
      <c r="M177" s="8"/>
      <c r="N177" s="8"/>
      <c r="O177" s="194"/>
      <c r="P177" s="195"/>
    </row>
    <row r="178" spans="1:16">
      <c r="A178" s="3"/>
      <c r="B178" s="3" t="str">
        <f>TEXT(Tabela223456[[#This Row],[DATA]],"mmmm")</f>
        <v>janeiro</v>
      </c>
      <c r="C178" s="2"/>
      <c r="D178" s="2"/>
      <c r="E178" s="2"/>
      <c r="F178" s="2"/>
      <c r="G178" s="173"/>
      <c r="H178" s="174"/>
      <c r="I178" s="173" t="e">
        <f>Tabela22[[#This Row],[PESO TOTAL]]/Tabela22[[#This Row],[QUANTIDADE]]</f>
        <v>#DIV/0!</v>
      </c>
      <c r="J178" s="2"/>
      <c r="K178" s="193"/>
      <c r="L178" s="8"/>
      <c r="M178" s="8"/>
      <c r="N178" s="8"/>
      <c r="O178" s="194"/>
      <c r="P178" s="195"/>
    </row>
    <row r="179" spans="1:16">
      <c r="A179" s="3"/>
      <c r="B179" s="3" t="str">
        <f>TEXT(Tabela223456[[#This Row],[DATA]],"mmmm")</f>
        <v>janeiro</v>
      </c>
      <c r="C179" s="2"/>
      <c r="D179" s="2"/>
      <c r="E179" s="2"/>
      <c r="F179" s="2"/>
      <c r="G179" s="173"/>
      <c r="H179" s="174"/>
      <c r="I179" s="173" t="e">
        <f>Tabela22[[#This Row],[PESO TOTAL]]/Tabela22[[#This Row],[QUANTIDADE]]</f>
        <v>#DIV/0!</v>
      </c>
      <c r="J179" s="2"/>
      <c r="K179" s="193"/>
      <c r="L179" s="8"/>
      <c r="M179" s="8"/>
      <c r="N179" s="8"/>
      <c r="O179" s="194"/>
      <c r="P179" s="195"/>
    </row>
    <row r="180" spans="1:16">
      <c r="A180" s="3"/>
      <c r="B180" s="3" t="str">
        <f>TEXT(Tabela223456[[#This Row],[DATA]],"mmmm")</f>
        <v>janeiro</v>
      </c>
      <c r="C180" s="2"/>
      <c r="D180" s="2"/>
      <c r="E180" s="2"/>
      <c r="F180" s="2"/>
      <c r="G180" s="173"/>
      <c r="H180" s="174"/>
      <c r="I180" s="173" t="e">
        <f>Tabela22[[#This Row],[PESO TOTAL]]/Tabela22[[#This Row],[QUANTIDADE]]</f>
        <v>#DIV/0!</v>
      </c>
      <c r="J180" s="2"/>
      <c r="K180" s="193"/>
      <c r="L180" s="8"/>
      <c r="M180" s="8"/>
      <c r="N180" s="8"/>
      <c r="O180" s="194"/>
      <c r="P180" s="195"/>
    </row>
    <row r="181" spans="1:16">
      <c r="A181" s="3"/>
      <c r="B181" s="3" t="str">
        <f>TEXT(Tabela223456[[#This Row],[DATA]],"mmmm")</f>
        <v>janeiro</v>
      </c>
      <c r="C181" s="2"/>
      <c r="D181" s="2"/>
      <c r="E181" s="2"/>
      <c r="F181" s="2"/>
      <c r="G181" s="173"/>
      <c r="H181" s="174"/>
      <c r="I181" s="173" t="e">
        <f>Tabela22[[#This Row],[PESO TOTAL]]/Tabela22[[#This Row],[QUANTIDADE]]</f>
        <v>#DIV/0!</v>
      </c>
      <c r="J181" s="2"/>
      <c r="K181" s="193"/>
      <c r="L181" s="8"/>
      <c r="M181" s="8"/>
      <c r="N181" s="8"/>
      <c r="O181" s="194"/>
      <c r="P181" s="195"/>
    </row>
    <row r="182" spans="1:16">
      <c r="A182" s="3"/>
      <c r="B182" s="3" t="str">
        <f>TEXT(Tabela223456[[#This Row],[DATA]],"mmmm")</f>
        <v>janeiro</v>
      </c>
      <c r="C182" s="2"/>
      <c r="D182" s="2"/>
      <c r="E182" s="2"/>
      <c r="F182" s="2"/>
      <c r="G182" s="173"/>
      <c r="H182" s="174"/>
      <c r="I182" s="173" t="e">
        <f>Tabela22[[#This Row],[PESO TOTAL]]/Tabela22[[#This Row],[QUANTIDADE]]</f>
        <v>#DIV/0!</v>
      </c>
      <c r="J182" s="2"/>
      <c r="K182" s="193"/>
      <c r="L182" s="8"/>
      <c r="M182" s="8"/>
      <c r="N182" s="8"/>
      <c r="O182" s="194"/>
      <c r="P182" s="195"/>
    </row>
    <row r="183" spans="1:16">
      <c r="A183" s="3"/>
      <c r="B183" s="3" t="str">
        <f>TEXT(Tabela223456[[#This Row],[DATA]],"mmmm")</f>
        <v>janeiro</v>
      </c>
      <c r="C183" s="2"/>
      <c r="D183" s="2"/>
      <c r="E183" s="2"/>
      <c r="F183" s="2"/>
      <c r="G183" s="173"/>
      <c r="H183" s="174"/>
      <c r="I183" s="173" t="e">
        <f>Tabela22[[#This Row],[PESO TOTAL]]/Tabela22[[#This Row],[QUANTIDADE]]</f>
        <v>#DIV/0!</v>
      </c>
      <c r="J183" s="2"/>
      <c r="K183" s="193"/>
      <c r="L183" s="8"/>
      <c r="M183" s="8"/>
      <c r="N183" s="8"/>
      <c r="O183" s="194"/>
      <c r="P183" s="195"/>
    </row>
    <row r="184" spans="1:16">
      <c r="A184" s="3"/>
      <c r="B184" s="3" t="str">
        <f>TEXT(Tabela223456[[#This Row],[DATA]],"mmmm")</f>
        <v>janeiro</v>
      </c>
      <c r="C184" s="2"/>
      <c r="D184" s="2"/>
      <c r="E184" s="2"/>
      <c r="F184" s="2"/>
      <c r="G184" s="173"/>
      <c r="H184" s="174"/>
      <c r="I184" s="173" t="e">
        <f>Tabela22[[#This Row],[PESO TOTAL]]/Tabela22[[#This Row],[QUANTIDADE]]</f>
        <v>#DIV/0!</v>
      </c>
      <c r="J184" s="2"/>
      <c r="K184" s="193"/>
      <c r="L184" s="8"/>
      <c r="M184" s="8"/>
      <c r="N184" s="8"/>
      <c r="O184" s="194"/>
      <c r="P184" s="195"/>
    </row>
    <row r="185" spans="1:16">
      <c r="A185" s="3"/>
      <c r="B185" s="3" t="str">
        <f>TEXT(Tabela223456[[#This Row],[DATA]],"mmmm")</f>
        <v>janeiro</v>
      </c>
      <c r="C185" s="2"/>
      <c r="D185" s="2"/>
      <c r="E185" s="2"/>
      <c r="F185" s="2"/>
      <c r="G185" s="173"/>
      <c r="H185" s="174"/>
      <c r="I185" s="173" t="e">
        <f>Tabela22[[#This Row],[PESO TOTAL]]/Tabela22[[#This Row],[QUANTIDADE]]</f>
        <v>#DIV/0!</v>
      </c>
      <c r="J185" s="2"/>
      <c r="K185" s="193"/>
      <c r="L185" s="8"/>
      <c r="M185" s="8"/>
      <c r="N185" s="8"/>
      <c r="O185" s="194"/>
      <c r="P185" s="195"/>
    </row>
    <row r="186" spans="1:16">
      <c r="A186" s="3"/>
      <c r="B186" s="3" t="str">
        <f>TEXT(Tabela223456[[#This Row],[DATA]],"mmmm")</f>
        <v>janeiro</v>
      </c>
      <c r="C186" s="2"/>
      <c r="D186" s="2"/>
      <c r="E186" s="2"/>
      <c r="F186" s="2"/>
      <c r="G186" s="173"/>
      <c r="H186" s="174"/>
      <c r="I186" s="173" t="e">
        <f>Tabela22[[#This Row],[PESO TOTAL]]/Tabela22[[#This Row],[QUANTIDADE]]</f>
        <v>#DIV/0!</v>
      </c>
      <c r="J186" s="2"/>
      <c r="K186" s="193"/>
      <c r="L186" s="8"/>
      <c r="M186" s="8"/>
      <c r="N186" s="8"/>
      <c r="O186" s="194"/>
      <c r="P186" s="195"/>
    </row>
    <row r="187" spans="1:16">
      <c r="A187" s="3"/>
      <c r="B187" s="3" t="str">
        <f>TEXT(Tabela223456[[#This Row],[DATA]],"mmmm")</f>
        <v>janeiro</v>
      </c>
      <c r="C187" s="2"/>
      <c r="D187" s="2"/>
      <c r="E187" s="2"/>
      <c r="F187" s="2"/>
      <c r="G187" s="173"/>
      <c r="H187" s="174"/>
      <c r="I187" s="173" t="e">
        <f>Tabela22[[#This Row],[PESO TOTAL]]/Tabela22[[#This Row],[QUANTIDADE]]</f>
        <v>#DIV/0!</v>
      </c>
      <c r="J187" s="2"/>
      <c r="K187" s="193"/>
      <c r="L187" s="8"/>
      <c r="M187" s="8"/>
      <c r="N187" s="8"/>
      <c r="O187" s="194"/>
      <c r="P187" s="195"/>
    </row>
    <row r="188" spans="1:16">
      <c r="A188" s="3"/>
      <c r="B188" s="3" t="str">
        <f>TEXT(Tabela223456[[#This Row],[DATA]],"mmmm")</f>
        <v>janeiro</v>
      </c>
      <c r="C188" s="2"/>
      <c r="D188" s="2"/>
      <c r="E188" s="2"/>
      <c r="F188" s="2"/>
      <c r="G188" s="173"/>
      <c r="H188" s="174"/>
      <c r="I188" s="173" t="e">
        <f>Tabela22[[#This Row],[PESO TOTAL]]/Tabela22[[#This Row],[QUANTIDADE]]</f>
        <v>#DIV/0!</v>
      </c>
      <c r="J188" s="2"/>
      <c r="K188" s="193"/>
      <c r="L188" s="8"/>
      <c r="M188" s="8"/>
      <c r="N188" s="8"/>
      <c r="O188" s="194"/>
      <c r="P188" s="195"/>
    </row>
    <row r="189" spans="1:16">
      <c r="A189" s="3"/>
      <c r="B189" s="3" t="str">
        <f>TEXT(Tabela223456[[#This Row],[DATA]],"mmmm")</f>
        <v>janeiro</v>
      </c>
      <c r="C189" s="2"/>
      <c r="D189" s="2"/>
      <c r="E189" s="2"/>
      <c r="F189" s="2"/>
      <c r="G189" s="173"/>
      <c r="H189" s="174"/>
      <c r="I189" s="173" t="e">
        <f>Tabela22[[#This Row],[PESO TOTAL]]/Tabela22[[#This Row],[QUANTIDADE]]</f>
        <v>#DIV/0!</v>
      </c>
      <c r="J189" s="2"/>
      <c r="K189" s="193"/>
      <c r="L189" s="8"/>
      <c r="M189" s="8"/>
      <c r="N189" s="8"/>
      <c r="O189" s="194"/>
      <c r="P189" s="195"/>
    </row>
    <row r="190" spans="1:16">
      <c r="A190" s="3"/>
      <c r="B190" s="3" t="str">
        <f>TEXT(Tabela223456[[#This Row],[DATA]],"mmmm")</f>
        <v>janeiro</v>
      </c>
      <c r="C190" s="2"/>
      <c r="D190" s="2"/>
      <c r="E190" s="2"/>
      <c r="F190" s="2"/>
      <c r="G190" s="173"/>
      <c r="H190" s="174"/>
      <c r="I190" s="173" t="e">
        <f>Tabela22[[#This Row],[PESO TOTAL]]/Tabela22[[#This Row],[QUANTIDADE]]</f>
        <v>#DIV/0!</v>
      </c>
      <c r="J190" s="2"/>
      <c r="K190" s="193"/>
      <c r="L190" s="8"/>
      <c r="M190" s="8"/>
      <c r="N190" s="8"/>
      <c r="O190" s="194"/>
      <c r="P190" s="195"/>
    </row>
    <row r="191" spans="1:16">
      <c r="A191" s="3"/>
      <c r="B191" s="3" t="str">
        <f>TEXT(Tabela223456[[#This Row],[DATA]],"mmmm")</f>
        <v>janeiro</v>
      </c>
      <c r="C191" s="2"/>
      <c r="D191" s="2"/>
      <c r="E191" s="2"/>
      <c r="F191" s="2"/>
      <c r="G191" s="173"/>
      <c r="H191" s="174"/>
      <c r="I191" s="173" t="e">
        <f>Tabela22[[#This Row],[PESO TOTAL]]/Tabela22[[#This Row],[QUANTIDADE]]</f>
        <v>#DIV/0!</v>
      </c>
      <c r="J191" s="2"/>
      <c r="K191" s="193"/>
      <c r="L191" s="8"/>
      <c r="M191" s="8"/>
      <c r="N191" s="8"/>
      <c r="O191" s="194"/>
      <c r="P191" s="195"/>
    </row>
    <row r="192" spans="1:16">
      <c r="A192" s="3"/>
      <c r="B192" s="3" t="str">
        <f>TEXT(Tabela223456[[#This Row],[DATA]],"mmmm")</f>
        <v>janeiro</v>
      </c>
      <c r="C192" s="2"/>
      <c r="D192" s="2"/>
      <c r="E192" s="2"/>
      <c r="F192" s="2"/>
      <c r="G192" s="173"/>
      <c r="H192" s="174"/>
      <c r="I192" s="173" t="e">
        <f>Tabela22[[#This Row],[PESO TOTAL]]/Tabela22[[#This Row],[QUANTIDADE]]</f>
        <v>#DIV/0!</v>
      </c>
      <c r="J192" s="2"/>
      <c r="K192" s="193"/>
      <c r="L192" s="8"/>
      <c r="M192" s="8"/>
      <c r="N192" s="8"/>
      <c r="O192" s="194"/>
      <c r="P192" s="195"/>
    </row>
    <row r="193" spans="1:16">
      <c r="A193" s="3"/>
      <c r="B193" s="3" t="str">
        <f>TEXT(Tabela223456[[#This Row],[DATA]],"mmmm")</f>
        <v>janeiro</v>
      </c>
      <c r="C193" s="2"/>
      <c r="D193" s="2"/>
      <c r="E193" s="2"/>
      <c r="F193" s="2"/>
      <c r="G193" s="173"/>
      <c r="H193" s="174"/>
      <c r="I193" s="173" t="e">
        <f>Tabela22[[#This Row],[PESO TOTAL]]/Tabela22[[#This Row],[QUANTIDADE]]</f>
        <v>#DIV/0!</v>
      </c>
      <c r="J193" s="2"/>
      <c r="K193" s="193"/>
      <c r="L193" s="8"/>
      <c r="M193" s="8"/>
      <c r="N193" s="8"/>
      <c r="O193" s="194"/>
      <c r="P193" s="195"/>
    </row>
    <row r="194" spans="1:16">
      <c r="A194" s="3"/>
      <c r="B194" s="3" t="str">
        <f>TEXT(Tabela223456[[#This Row],[DATA]],"mmmm")</f>
        <v>janeiro</v>
      </c>
      <c r="C194" s="2"/>
      <c r="D194" s="2"/>
      <c r="E194" s="2"/>
      <c r="F194" s="2"/>
      <c r="G194" s="173"/>
      <c r="H194" s="174"/>
      <c r="I194" s="173" t="e">
        <f>Tabela22[[#This Row],[PESO TOTAL]]/Tabela22[[#This Row],[QUANTIDADE]]</f>
        <v>#DIV/0!</v>
      </c>
      <c r="J194" s="2"/>
      <c r="K194" s="193"/>
      <c r="L194" s="8"/>
      <c r="M194" s="8"/>
      <c r="N194" s="8"/>
      <c r="O194" s="194"/>
      <c r="P194" s="195"/>
    </row>
    <row r="195" spans="1:16">
      <c r="A195" s="3"/>
      <c r="B195" s="3" t="str">
        <f>TEXT(Tabela223456[[#This Row],[DATA]],"mmmm")</f>
        <v>janeiro</v>
      </c>
      <c r="C195" s="2"/>
      <c r="D195" s="2"/>
      <c r="E195" s="2"/>
      <c r="F195" s="2"/>
      <c r="G195" s="173"/>
      <c r="H195" s="174"/>
      <c r="I195" s="173" t="e">
        <f>Tabela22[[#This Row],[PESO TOTAL]]/Tabela22[[#This Row],[QUANTIDADE]]</f>
        <v>#DIV/0!</v>
      </c>
      <c r="J195" s="2"/>
      <c r="K195" s="193"/>
      <c r="L195" s="8"/>
      <c r="M195" s="8"/>
      <c r="N195" s="8"/>
      <c r="O195" s="194"/>
      <c r="P195" s="195"/>
    </row>
    <row r="196" spans="1:16">
      <c r="A196" s="3"/>
      <c r="B196" s="3" t="str">
        <f>TEXT(Tabela223456[[#This Row],[DATA]],"mmmm")</f>
        <v>janeiro</v>
      </c>
      <c r="C196" s="2"/>
      <c r="D196" s="2"/>
      <c r="E196" s="2"/>
      <c r="F196" s="2"/>
      <c r="G196" s="173"/>
      <c r="H196" s="174"/>
      <c r="I196" s="173" t="e">
        <f>Tabela22[[#This Row],[PESO TOTAL]]/Tabela22[[#This Row],[QUANTIDADE]]</f>
        <v>#DIV/0!</v>
      </c>
      <c r="J196" s="2"/>
      <c r="K196" s="193"/>
      <c r="L196" s="8"/>
      <c r="M196" s="8"/>
      <c r="N196" s="8"/>
      <c r="O196" s="194"/>
      <c r="P196" s="195"/>
    </row>
    <row r="197" spans="1:16">
      <c r="A197" s="3"/>
      <c r="B197" s="3" t="str">
        <f>TEXT(Tabela223456[[#This Row],[DATA]],"mmmm")</f>
        <v>janeiro</v>
      </c>
      <c r="C197" s="2"/>
      <c r="D197" s="2"/>
      <c r="E197" s="2"/>
      <c r="F197" s="2"/>
      <c r="G197" s="173"/>
      <c r="H197" s="174"/>
      <c r="I197" s="173" t="e">
        <f>Tabela22[[#This Row],[PESO TOTAL]]/Tabela22[[#This Row],[QUANTIDADE]]</f>
        <v>#DIV/0!</v>
      </c>
      <c r="J197" s="2"/>
      <c r="K197" s="193"/>
      <c r="L197" s="8"/>
      <c r="M197" s="8"/>
      <c r="N197" s="8"/>
      <c r="O197" s="194"/>
      <c r="P197" s="195"/>
    </row>
    <row r="198" spans="1:16">
      <c r="A198" s="3"/>
      <c r="B198" s="3" t="str">
        <f>TEXT(Tabela223456[[#This Row],[DATA]],"mmmm")</f>
        <v>janeiro</v>
      </c>
      <c r="C198" s="2"/>
      <c r="D198" s="2"/>
      <c r="E198" s="2"/>
      <c r="F198" s="2"/>
      <c r="G198" s="173"/>
      <c r="H198" s="174"/>
      <c r="I198" s="173" t="e">
        <f>Tabela22[[#This Row],[PESO TOTAL]]/Tabela22[[#This Row],[QUANTIDADE]]</f>
        <v>#DIV/0!</v>
      </c>
      <c r="J198" s="2"/>
      <c r="K198" s="193"/>
      <c r="L198" s="8"/>
      <c r="M198" s="8"/>
      <c r="N198" s="8"/>
      <c r="O198" s="194"/>
      <c r="P198" s="195"/>
    </row>
    <row r="199" spans="1:16">
      <c r="A199" s="3"/>
      <c r="B199" s="3" t="str">
        <f>TEXT(Tabela223456[[#This Row],[DATA]],"mmmm")</f>
        <v>janeiro</v>
      </c>
      <c r="C199" s="2"/>
      <c r="D199" s="2"/>
      <c r="E199" s="2"/>
      <c r="F199" s="2"/>
      <c r="G199" s="173"/>
      <c r="H199" s="174"/>
      <c r="I199" s="173" t="e">
        <f>Tabela22[[#This Row],[PESO TOTAL]]/Tabela22[[#This Row],[QUANTIDADE]]</f>
        <v>#DIV/0!</v>
      </c>
      <c r="J199" s="2"/>
      <c r="K199" s="193"/>
      <c r="L199" s="8"/>
      <c r="M199" s="8"/>
      <c r="N199" s="8"/>
      <c r="O199" s="194"/>
      <c r="P199" s="195"/>
    </row>
    <row r="200" spans="1:16">
      <c r="A200" s="3"/>
      <c r="B200" s="3" t="str">
        <f>TEXT(Tabela223456[[#This Row],[DATA]],"mmmm")</f>
        <v>janeiro</v>
      </c>
      <c r="C200" s="2"/>
      <c r="D200" s="2"/>
      <c r="E200" s="2"/>
      <c r="F200" s="2"/>
      <c r="G200" s="173"/>
      <c r="H200" s="174"/>
      <c r="I200" s="173" t="e">
        <f>Tabela22[[#This Row],[PESO TOTAL]]/Tabela22[[#This Row],[QUANTIDADE]]</f>
        <v>#DIV/0!</v>
      </c>
      <c r="J200" s="2"/>
      <c r="K200" s="193"/>
      <c r="L200" s="8"/>
      <c r="M200" s="8"/>
      <c r="N200" s="8"/>
      <c r="O200" s="194"/>
      <c r="P200" s="195"/>
    </row>
    <row r="201" spans="1:16">
      <c r="A201" s="3"/>
      <c r="B201" s="3" t="str">
        <f>TEXT(Tabela223456[[#This Row],[DATA]],"mmmm")</f>
        <v>janeiro</v>
      </c>
      <c r="C201" s="2"/>
      <c r="D201" s="2"/>
      <c r="E201" s="2"/>
      <c r="F201" s="2"/>
      <c r="G201" s="173"/>
      <c r="H201" s="174"/>
      <c r="I201" s="173" t="e">
        <f>Tabela22[[#This Row],[PESO TOTAL]]/Tabela22[[#This Row],[QUANTIDADE]]</f>
        <v>#DIV/0!</v>
      </c>
      <c r="J201" s="2"/>
      <c r="K201" s="193"/>
      <c r="L201" s="8"/>
      <c r="M201" s="8"/>
      <c r="N201" s="8"/>
      <c r="O201" s="194"/>
      <c r="P201" s="195"/>
    </row>
    <row r="202" spans="1:16">
      <c r="A202" s="3"/>
      <c r="B202" s="3" t="str">
        <f>TEXT(Tabela223456[[#This Row],[DATA]],"mmmm")</f>
        <v>janeiro</v>
      </c>
      <c r="C202" s="2"/>
      <c r="D202" s="2"/>
      <c r="E202" s="2"/>
      <c r="F202" s="2"/>
      <c r="G202" s="173"/>
      <c r="H202" s="174"/>
      <c r="I202" s="173" t="e">
        <f>Tabela22[[#This Row],[PESO TOTAL]]/Tabela22[[#This Row],[QUANTIDADE]]</f>
        <v>#DIV/0!</v>
      </c>
      <c r="J202" s="2"/>
      <c r="K202" s="193"/>
      <c r="L202" s="8"/>
      <c r="M202" s="8"/>
      <c r="N202" s="8"/>
      <c r="O202" s="194"/>
      <c r="P202" s="195"/>
    </row>
    <row r="203" spans="1:16">
      <c r="A203" s="3"/>
      <c r="B203" s="3" t="str">
        <f>TEXT(Tabela223456[[#This Row],[DATA]],"mmmm")</f>
        <v>janeiro</v>
      </c>
      <c r="C203" s="2"/>
      <c r="D203" s="2"/>
      <c r="E203" s="2"/>
      <c r="F203" s="2"/>
      <c r="G203" s="173"/>
      <c r="H203" s="174"/>
      <c r="I203" s="173" t="e">
        <f>Tabela22[[#This Row],[PESO TOTAL]]/Tabela22[[#This Row],[QUANTIDADE]]</f>
        <v>#DIV/0!</v>
      </c>
      <c r="J203" s="2"/>
      <c r="K203" s="193"/>
      <c r="L203" s="8"/>
      <c r="M203" s="8"/>
      <c r="N203" s="8"/>
      <c r="O203" s="194"/>
      <c r="P203" s="195"/>
    </row>
    <row r="204" spans="1:16">
      <c r="A204" s="3"/>
      <c r="B204" s="3" t="str">
        <f>TEXT(Tabela223456[[#This Row],[DATA]],"mmmm")</f>
        <v>janeiro</v>
      </c>
      <c r="C204" s="2"/>
      <c r="D204" s="2"/>
      <c r="E204" s="2"/>
      <c r="F204" s="2"/>
      <c r="G204" s="173"/>
      <c r="H204" s="174"/>
      <c r="I204" s="173" t="e">
        <f>Tabela22[[#This Row],[PESO TOTAL]]/Tabela22[[#This Row],[QUANTIDADE]]</f>
        <v>#DIV/0!</v>
      </c>
      <c r="J204" s="2"/>
      <c r="K204" s="193"/>
      <c r="L204" s="8"/>
      <c r="M204" s="8"/>
      <c r="N204" s="8"/>
      <c r="O204" s="194"/>
      <c r="P204" s="195"/>
    </row>
    <row r="205" spans="1:16">
      <c r="A205" s="3"/>
      <c r="B205" s="3" t="str">
        <f>TEXT(Tabela223456[[#This Row],[DATA]],"mmmm")</f>
        <v>janeiro</v>
      </c>
      <c r="C205" s="2"/>
      <c r="D205" s="2"/>
      <c r="E205" s="2"/>
      <c r="F205" s="2"/>
      <c r="G205" s="173"/>
      <c r="H205" s="174"/>
      <c r="I205" s="173" t="e">
        <f>Tabela22[[#This Row],[PESO TOTAL]]/Tabela22[[#This Row],[QUANTIDADE]]</f>
        <v>#DIV/0!</v>
      </c>
      <c r="J205" s="2"/>
      <c r="K205" s="193"/>
      <c r="L205" s="8"/>
      <c r="M205" s="8"/>
      <c r="N205" s="8"/>
      <c r="O205" s="194"/>
      <c r="P205" s="195"/>
    </row>
    <row r="206" spans="1:16">
      <c r="A206" s="3"/>
      <c r="B206" s="3" t="str">
        <f>TEXT(Tabela223456[[#This Row],[DATA]],"mmmm")</f>
        <v>janeiro</v>
      </c>
      <c r="C206" s="2"/>
      <c r="D206" s="2"/>
      <c r="E206" s="2"/>
      <c r="F206" s="2"/>
      <c r="G206" s="173"/>
      <c r="H206" s="174"/>
      <c r="I206" s="173" t="e">
        <f>Tabela22[[#This Row],[PESO TOTAL]]/Tabela22[[#This Row],[QUANTIDADE]]</f>
        <v>#DIV/0!</v>
      </c>
      <c r="J206" s="2"/>
      <c r="K206" s="193"/>
      <c r="L206" s="8"/>
      <c r="M206" s="8"/>
      <c r="N206" s="8"/>
      <c r="O206" s="194"/>
      <c r="P206" s="195"/>
    </row>
    <row r="207" spans="1:16">
      <c r="A207" s="3"/>
      <c r="B207" s="3" t="str">
        <f>TEXT(Tabela223456[[#This Row],[DATA]],"mmmm")</f>
        <v>janeiro</v>
      </c>
      <c r="C207" s="2"/>
      <c r="D207" s="2"/>
      <c r="E207" s="2"/>
      <c r="F207" s="2"/>
      <c r="G207" s="173"/>
      <c r="H207" s="174"/>
      <c r="I207" s="173" t="e">
        <f>Tabela22[[#This Row],[PESO TOTAL]]/Tabela22[[#This Row],[QUANTIDADE]]</f>
        <v>#DIV/0!</v>
      </c>
      <c r="J207" s="2"/>
      <c r="K207" s="193"/>
      <c r="L207" s="8"/>
      <c r="M207" s="8"/>
      <c r="N207" s="8"/>
      <c r="O207" s="194"/>
      <c r="P207" s="195"/>
    </row>
    <row r="208" spans="1:16">
      <c r="A208" s="3"/>
      <c r="B208" s="3" t="str">
        <f>TEXT(Tabela223456[[#This Row],[DATA]],"mmmm")</f>
        <v>janeiro</v>
      </c>
      <c r="C208" s="2"/>
      <c r="D208" s="2"/>
      <c r="E208" s="2"/>
      <c r="F208" s="2"/>
      <c r="G208" s="173"/>
      <c r="H208" s="174"/>
      <c r="I208" s="173" t="e">
        <f>Tabela22[[#This Row],[PESO TOTAL]]/Tabela22[[#This Row],[QUANTIDADE]]</f>
        <v>#DIV/0!</v>
      </c>
      <c r="J208" s="2"/>
      <c r="K208" s="193"/>
      <c r="L208" s="8"/>
      <c r="M208" s="8"/>
      <c r="N208" s="8"/>
      <c r="O208" s="194"/>
      <c r="P208" s="195"/>
    </row>
    <row r="209" spans="1:16">
      <c r="A209" s="3"/>
      <c r="B209" s="3" t="str">
        <f>TEXT(Tabela223456[[#This Row],[DATA]],"mmmm")</f>
        <v>janeiro</v>
      </c>
      <c r="C209" s="2"/>
      <c r="D209" s="2"/>
      <c r="E209" s="2"/>
      <c r="F209" s="2"/>
      <c r="G209" s="173"/>
      <c r="H209" s="174"/>
      <c r="I209" s="173" t="e">
        <f>Tabela22[[#This Row],[PESO TOTAL]]/Tabela22[[#This Row],[QUANTIDADE]]</f>
        <v>#DIV/0!</v>
      </c>
      <c r="J209" s="2"/>
      <c r="K209" s="193"/>
      <c r="L209" s="8"/>
      <c r="M209" s="8"/>
      <c r="N209" s="8"/>
      <c r="O209" s="194"/>
      <c r="P209" s="195"/>
    </row>
    <row r="210" spans="1:16">
      <c r="A210" s="3"/>
      <c r="B210" s="3" t="str">
        <f>TEXT(Tabela223456[[#This Row],[DATA]],"mmmm")</f>
        <v>janeiro</v>
      </c>
      <c r="C210" s="2"/>
      <c r="D210" s="2"/>
      <c r="E210" s="2"/>
      <c r="F210" s="2"/>
      <c r="G210" s="173"/>
      <c r="H210" s="174"/>
      <c r="I210" s="173" t="e">
        <f>Tabela22[[#This Row],[PESO TOTAL]]/Tabela22[[#This Row],[QUANTIDADE]]</f>
        <v>#DIV/0!</v>
      </c>
      <c r="J210" s="2"/>
      <c r="K210" s="193"/>
      <c r="L210" s="8"/>
      <c r="M210" s="8"/>
      <c r="N210" s="8"/>
      <c r="O210" s="194"/>
      <c r="P210" s="195"/>
    </row>
    <row r="211" spans="1:16">
      <c r="A211" s="3"/>
      <c r="B211" s="3" t="str">
        <f>TEXT(Tabela223456[[#This Row],[DATA]],"mmmm")</f>
        <v>janeiro</v>
      </c>
      <c r="C211" s="2"/>
      <c r="D211" s="2"/>
      <c r="E211" s="2"/>
      <c r="F211" s="2"/>
      <c r="G211" s="173"/>
      <c r="H211" s="174"/>
      <c r="I211" s="173" t="e">
        <f>Tabela22[[#This Row],[PESO TOTAL]]/Tabela22[[#This Row],[QUANTIDADE]]</f>
        <v>#DIV/0!</v>
      </c>
      <c r="J211" s="2"/>
      <c r="K211" s="193"/>
      <c r="L211" s="8"/>
      <c r="M211" s="8"/>
      <c r="N211" s="8"/>
      <c r="O211" s="194"/>
      <c r="P211" s="195"/>
    </row>
    <row r="212" spans="1:16">
      <c r="A212" s="3"/>
      <c r="B212" s="3" t="str">
        <f>TEXT(Tabela223456[[#This Row],[DATA]],"mmmm")</f>
        <v>janeiro</v>
      </c>
      <c r="C212" s="2"/>
      <c r="D212" s="2"/>
      <c r="E212" s="2"/>
      <c r="F212" s="2"/>
      <c r="G212" s="173"/>
      <c r="H212" s="174"/>
      <c r="I212" s="173" t="e">
        <f>Tabela22[[#This Row],[PESO TOTAL]]/Tabela22[[#This Row],[QUANTIDADE]]</f>
        <v>#DIV/0!</v>
      </c>
      <c r="J212" s="2"/>
      <c r="K212" s="193"/>
      <c r="L212" s="8"/>
      <c r="M212" s="8"/>
      <c r="N212" s="8"/>
      <c r="O212" s="194"/>
      <c r="P212" s="195"/>
    </row>
    <row r="213" spans="1:16">
      <c r="A213" s="3"/>
      <c r="B213" s="3" t="str">
        <f>TEXT(Tabela223456[[#This Row],[DATA]],"mmmm")</f>
        <v>janeiro</v>
      </c>
      <c r="C213" s="2"/>
      <c r="D213" s="2"/>
      <c r="E213" s="2"/>
      <c r="F213" s="2"/>
      <c r="G213" s="173"/>
      <c r="H213" s="174"/>
      <c r="I213" s="173" t="e">
        <f>Tabela22[[#This Row],[PESO TOTAL]]/Tabela22[[#This Row],[QUANTIDADE]]</f>
        <v>#DIV/0!</v>
      </c>
      <c r="J213" s="2"/>
      <c r="K213" s="193"/>
      <c r="L213" s="8"/>
      <c r="M213" s="8"/>
      <c r="N213" s="8"/>
      <c r="O213" s="194"/>
      <c r="P213" s="195"/>
    </row>
    <row r="214" spans="1:16">
      <c r="A214" s="3"/>
      <c r="B214" s="3" t="str">
        <f>TEXT(Tabela223456[[#This Row],[DATA]],"mmmm")</f>
        <v>janeiro</v>
      </c>
      <c r="C214" s="2"/>
      <c r="D214" s="2"/>
      <c r="E214" s="2"/>
      <c r="F214" s="2"/>
      <c r="G214" s="173"/>
      <c r="H214" s="174"/>
      <c r="I214" s="173" t="e">
        <f>Tabela22[[#This Row],[PESO TOTAL]]/Tabela22[[#This Row],[QUANTIDADE]]</f>
        <v>#DIV/0!</v>
      </c>
      <c r="J214" s="2"/>
      <c r="K214" s="193"/>
      <c r="L214" s="8"/>
      <c r="M214" s="8"/>
      <c r="N214" s="8"/>
      <c r="O214" s="194"/>
      <c r="P214" s="195"/>
    </row>
    <row r="215" spans="1:16">
      <c r="A215" s="3"/>
      <c r="B215" s="3" t="str">
        <f>TEXT(Tabela223456[[#This Row],[DATA]],"mmmm")</f>
        <v>janeiro</v>
      </c>
      <c r="C215" s="2"/>
      <c r="D215" s="2"/>
      <c r="E215" s="2"/>
      <c r="F215" s="2"/>
      <c r="G215" s="173"/>
      <c r="H215" s="174"/>
      <c r="I215" s="173" t="e">
        <f>Tabela22[[#This Row],[PESO TOTAL]]/Tabela22[[#This Row],[QUANTIDADE]]</f>
        <v>#DIV/0!</v>
      </c>
      <c r="J215" s="2"/>
      <c r="K215" s="193"/>
      <c r="L215" s="8"/>
      <c r="M215" s="8"/>
      <c r="N215" s="8"/>
      <c r="O215" s="194"/>
      <c r="P215" s="195"/>
    </row>
    <row r="216" spans="1:16">
      <c r="A216" s="3"/>
      <c r="B216" s="3" t="str">
        <f>TEXT(Tabela223456[[#This Row],[DATA]],"mmmm")</f>
        <v>janeiro</v>
      </c>
      <c r="C216" s="2"/>
      <c r="D216" s="2"/>
      <c r="E216" s="2"/>
      <c r="F216" s="2"/>
      <c r="G216" s="173"/>
      <c r="H216" s="174"/>
      <c r="I216" s="173" t="e">
        <f>Tabela22[[#This Row],[PESO TOTAL]]/Tabela22[[#This Row],[QUANTIDADE]]</f>
        <v>#DIV/0!</v>
      </c>
      <c r="J216" s="2"/>
      <c r="K216" s="193"/>
      <c r="L216" s="8"/>
      <c r="M216" s="8"/>
      <c r="N216" s="8"/>
      <c r="O216" s="194"/>
      <c r="P216" s="195"/>
    </row>
    <row r="217" spans="1:16">
      <c r="A217" s="3"/>
      <c r="B217" s="3" t="str">
        <f>TEXT(Tabela223456[[#This Row],[DATA]],"mmmm")</f>
        <v>janeiro</v>
      </c>
      <c r="C217" s="2"/>
      <c r="D217" s="2"/>
      <c r="E217" s="2"/>
      <c r="F217" s="2"/>
      <c r="G217" s="173"/>
      <c r="H217" s="174"/>
      <c r="I217" s="173" t="e">
        <f>Tabela22[[#This Row],[PESO TOTAL]]/Tabela22[[#This Row],[QUANTIDADE]]</f>
        <v>#DIV/0!</v>
      </c>
      <c r="J217" s="2"/>
      <c r="K217" s="193"/>
      <c r="L217" s="8"/>
      <c r="M217" s="8"/>
      <c r="N217" s="8"/>
      <c r="O217" s="194"/>
      <c r="P217" s="195"/>
    </row>
    <row r="218" spans="1:16">
      <c r="A218" s="3"/>
      <c r="B218" s="3" t="str">
        <f>TEXT(Tabela223456[[#This Row],[DATA]],"mmmm")</f>
        <v>janeiro</v>
      </c>
      <c r="C218" s="2"/>
      <c r="D218" s="2"/>
      <c r="E218" s="2"/>
      <c r="F218" s="2"/>
      <c r="G218" s="173"/>
      <c r="H218" s="174"/>
      <c r="I218" s="173" t="e">
        <f>Tabela22[[#This Row],[PESO TOTAL]]/Tabela22[[#This Row],[QUANTIDADE]]</f>
        <v>#DIV/0!</v>
      </c>
      <c r="J218" s="2"/>
      <c r="K218" s="193"/>
      <c r="L218" s="8"/>
      <c r="M218" s="8"/>
      <c r="N218" s="8"/>
      <c r="O218" s="194"/>
      <c r="P218" s="195"/>
    </row>
    <row r="219" spans="1:16">
      <c r="A219" s="3"/>
      <c r="B219" s="3" t="str">
        <f>TEXT(Tabela223456[[#This Row],[DATA]],"mmmm")</f>
        <v>janeiro</v>
      </c>
      <c r="C219" s="2"/>
      <c r="D219" s="2"/>
      <c r="E219" s="2"/>
      <c r="F219" s="2"/>
      <c r="G219" s="173"/>
      <c r="H219" s="174"/>
      <c r="I219" s="173" t="e">
        <f>Tabela22[[#This Row],[PESO TOTAL]]/Tabela22[[#This Row],[QUANTIDADE]]</f>
        <v>#DIV/0!</v>
      </c>
      <c r="J219" s="2"/>
      <c r="K219" s="193"/>
      <c r="L219" s="8"/>
      <c r="M219" s="8"/>
      <c r="N219" s="8"/>
      <c r="O219" s="194"/>
      <c r="P219" s="195"/>
    </row>
    <row r="220" spans="1:16">
      <c r="A220" s="3"/>
      <c r="B220" s="3" t="str">
        <f>TEXT(Tabela223456[[#This Row],[DATA]],"mmmm")</f>
        <v>janeiro</v>
      </c>
      <c r="C220" s="2"/>
      <c r="D220" s="2"/>
      <c r="E220" s="2"/>
      <c r="F220" s="2"/>
      <c r="G220" s="173"/>
      <c r="H220" s="174"/>
      <c r="I220" s="173" t="e">
        <f>Tabela22[[#This Row],[PESO TOTAL]]/Tabela22[[#This Row],[QUANTIDADE]]</f>
        <v>#DIV/0!</v>
      </c>
      <c r="J220" s="2"/>
      <c r="K220" s="193"/>
      <c r="L220" s="8"/>
      <c r="M220" s="8"/>
      <c r="N220" s="8"/>
      <c r="O220" s="194"/>
      <c r="P220" s="195"/>
    </row>
    <row r="221" spans="1:16">
      <c r="A221" s="3"/>
      <c r="B221" s="3" t="str">
        <f>TEXT(Tabela223456[[#This Row],[DATA]],"mmmm")</f>
        <v>janeiro</v>
      </c>
      <c r="C221" s="2"/>
      <c r="D221" s="2"/>
      <c r="E221" s="2"/>
      <c r="F221" s="2"/>
      <c r="G221" s="173"/>
      <c r="H221" s="174"/>
      <c r="I221" s="173" t="e">
        <f>Tabela22[[#This Row],[PESO TOTAL]]/Tabela22[[#This Row],[QUANTIDADE]]</f>
        <v>#DIV/0!</v>
      </c>
      <c r="J221" s="2"/>
      <c r="K221" s="193"/>
      <c r="L221" s="8"/>
      <c r="M221" s="8"/>
      <c r="N221" s="8"/>
      <c r="O221" s="194"/>
      <c r="P221" s="195"/>
    </row>
    <row r="222" spans="1:16">
      <c r="A222" s="3"/>
      <c r="B222" s="3" t="str">
        <f>TEXT(Tabela223456[[#This Row],[DATA]],"mmmm")</f>
        <v>janeiro</v>
      </c>
      <c r="C222" s="2"/>
      <c r="D222" s="2"/>
      <c r="E222" s="2"/>
      <c r="F222" s="2"/>
      <c r="G222" s="173"/>
      <c r="H222" s="174"/>
      <c r="I222" s="173" t="e">
        <f>Tabela22[[#This Row],[PESO TOTAL]]/Tabela22[[#This Row],[QUANTIDADE]]</f>
        <v>#DIV/0!</v>
      </c>
      <c r="J222" s="2"/>
      <c r="K222" s="193"/>
      <c r="L222" s="8"/>
      <c r="M222" s="8"/>
      <c r="N222" s="8"/>
      <c r="O222" s="194"/>
      <c r="P222" s="195"/>
    </row>
    <row r="223" spans="1:16">
      <c r="A223" s="3"/>
      <c r="B223" s="3" t="str">
        <f>TEXT(Tabela223456[[#This Row],[DATA]],"mmmm")</f>
        <v>janeiro</v>
      </c>
      <c r="C223" s="2"/>
      <c r="D223" s="2"/>
      <c r="E223" s="2"/>
      <c r="F223" s="2"/>
      <c r="G223" s="173"/>
      <c r="H223" s="174"/>
      <c r="I223" s="173" t="e">
        <f>Tabela22[[#This Row],[PESO TOTAL]]/Tabela22[[#This Row],[QUANTIDADE]]</f>
        <v>#DIV/0!</v>
      </c>
      <c r="J223" s="2"/>
      <c r="K223" s="193"/>
      <c r="L223" s="8"/>
      <c r="M223" s="8"/>
      <c r="N223" s="8"/>
      <c r="O223" s="194"/>
      <c r="P223" s="195"/>
    </row>
    <row r="224" spans="1:16">
      <c r="A224" s="3"/>
      <c r="B224" s="3" t="str">
        <f>TEXT(Tabela223456[[#This Row],[DATA]],"mmmm")</f>
        <v>janeiro</v>
      </c>
      <c r="C224" s="2"/>
      <c r="D224" s="2"/>
      <c r="E224" s="2"/>
      <c r="F224" s="2"/>
      <c r="G224" s="173"/>
      <c r="H224" s="174"/>
      <c r="I224" s="173" t="e">
        <f>Tabela22[[#This Row],[PESO TOTAL]]/Tabela22[[#This Row],[QUANTIDADE]]</f>
        <v>#DIV/0!</v>
      </c>
      <c r="J224" s="2"/>
      <c r="K224" s="193"/>
      <c r="L224" s="8"/>
      <c r="M224" s="8"/>
      <c r="N224" s="8"/>
      <c r="O224" s="194"/>
      <c r="P224" s="195"/>
    </row>
    <row r="225" spans="1:16">
      <c r="A225" s="3"/>
      <c r="B225" s="3" t="str">
        <f>TEXT(Tabela223456[[#This Row],[DATA]],"mmmm")</f>
        <v>janeiro</v>
      </c>
      <c r="C225" s="2"/>
      <c r="D225" s="2"/>
      <c r="E225" s="2"/>
      <c r="F225" s="2"/>
      <c r="G225" s="173"/>
      <c r="H225" s="174"/>
      <c r="I225" s="173" t="e">
        <f>Tabela22[[#This Row],[PESO TOTAL]]/Tabela22[[#This Row],[QUANTIDADE]]</f>
        <v>#DIV/0!</v>
      </c>
      <c r="J225" s="2"/>
      <c r="K225" s="193"/>
      <c r="L225" s="8"/>
      <c r="M225" s="8"/>
      <c r="N225" s="8"/>
      <c r="O225" s="194"/>
      <c r="P225" s="195"/>
    </row>
    <row r="226" spans="1:16">
      <c r="A226" s="3"/>
      <c r="B226" s="3" t="str">
        <f>TEXT(Tabela223456[[#This Row],[DATA]],"mmmm")</f>
        <v>janeiro</v>
      </c>
      <c r="C226" s="2"/>
      <c r="D226" s="2"/>
      <c r="E226" s="2"/>
      <c r="F226" s="2"/>
      <c r="G226" s="173"/>
      <c r="H226" s="174"/>
      <c r="I226" s="173" t="e">
        <f>Tabela22[[#This Row],[PESO TOTAL]]/Tabela22[[#This Row],[QUANTIDADE]]</f>
        <v>#DIV/0!</v>
      </c>
      <c r="J226" s="2"/>
      <c r="K226" s="193"/>
      <c r="L226" s="8"/>
      <c r="M226" s="8"/>
      <c r="N226" s="8"/>
      <c r="O226" s="194"/>
      <c r="P226" s="195"/>
    </row>
    <row r="227" spans="1:16">
      <c r="A227" s="3"/>
      <c r="B227" s="3" t="str">
        <f>TEXT(Tabela223456[[#This Row],[DATA]],"mmmm")</f>
        <v>janeiro</v>
      </c>
      <c r="C227" s="2"/>
      <c r="D227" s="2"/>
      <c r="E227" s="2"/>
      <c r="F227" s="2"/>
      <c r="G227" s="173"/>
      <c r="H227" s="174"/>
      <c r="I227" s="173" t="e">
        <f>Tabela22[[#This Row],[PESO TOTAL]]/Tabela22[[#This Row],[QUANTIDADE]]</f>
        <v>#DIV/0!</v>
      </c>
      <c r="J227" s="2"/>
      <c r="K227" s="193"/>
      <c r="L227" s="8"/>
      <c r="M227" s="8"/>
      <c r="N227" s="8"/>
      <c r="O227" s="194"/>
      <c r="P227" s="195"/>
    </row>
    <row r="228" spans="1:16">
      <c r="A228" s="3"/>
      <c r="B228" s="3" t="str">
        <f>TEXT(Tabela223456[[#This Row],[DATA]],"mmmm")</f>
        <v>janeiro</v>
      </c>
      <c r="C228" s="2"/>
      <c r="D228" s="2"/>
      <c r="E228" s="2"/>
      <c r="F228" s="2"/>
      <c r="G228" s="173"/>
      <c r="H228" s="174"/>
      <c r="I228" s="173" t="e">
        <f>Tabela22[[#This Row],[PESO TOTAL]]/Tabela22[[#This Row],[QUANTIDADE]]</f>
        <v>#DIV/0!</v>
      </c>
      <c r="J228" s="2"/>
      <c r="K228" s="193"/>
      <c r="L228" s="8"/>
      <c r="M228" s="8"/>
      <c r="N228" s="8"/>
      <c r="O228" s="194"/>
      <c r="P228" s="195"/>
    </row>
    <row r="229" spans="1:16">
      <c r="A229" s="3"/>
      <c r="B229" s="3" t="str">
        <f>TEXT(Tabela223456[[#This Row],[DATA]],"mmmm")</f>
        <v>janeiro</v>
      </c>
      <c r="C229" s="2"/>
      <c r="D229" s="2"/>
      <c r="E229" s="2"/>
      <c r="F229" s="2"/>
      <c r="G229" s="173"/>
      <c r="H229" s="174"/>
      <c r="I229" s="173" t="e">
        <f>Tabela22[[#This Row],[PESO TOTAL]]/Tabela22[[#This Row],[QUANTIDADE]]</f>
        <v>#DIV/0!</v>
      </c>
      <c r="J229" s="2"/>
      <c r="K229" s="193"/>
      <c r="L229" s="8"/>
      <c r="M229" s="8"/>
      <c r="N229" s="8"/>
      <c r="O229" s="194"/>
      <c r="P229" s="195"/>
    </row>
    <row r="230" spans="1:16">
      <c r="A230" s="3"/>
      <c r="B230" s="3" t="str">
        <f>TEXT(Tabela223456[[#This Row],[DATA]],"mmmm")</f>
        <v>janeiro</v>
      </c>
      <c r="C230" s="2"/>
      <c r="D230" s="2"/>
      <c r="E230" s="2"/>
      <c r="F230" s="2"/>
      <c r="G230" s="173"/>
      <c r="H230" s="174"/>
      <c r="I230" s="173" t="e">
        <f>Tabela22[[#This Row],[PESO TOTAL]]/Tabela22[[#This Row],[QUANTIDADE]]</f>
        <v>#DIV/0!</v>
      </c>
      <c r="J230" s="2"/>
      <c r="K230" s="193"/>
      <c r="L230" s="8"/>
      <c r="M230" s="8"/>
      <c r="N230" s="8"/>
      <c r="O230" s="194"/>
      <c r="P230" s="195"/>
    </row>
    <row r="231" spans="1:16">
      <c r="A231" s="3"/>
      <c r="B231" s="3" t="str">
        <f>TEXT(Tabela223456[[#This Row],[DATA]],"mmmm")</f>
        <v>janeiro</v>
      </c>
      <c r="C231" s="2"/>
      <c r="D231" s="2"/>
      <c r="E231" s="2"/>
      <c r="F231" s="2"/>
      <c r="G231" s="173"/>
      <c r="H231" s="174"/>
      <c r="I231" s="173" t="e">
        <f>Tabela22[[#This Row],[PESO TOTAL]]/Tabela22[[#This Row],[QUANTIDADE]]</f>
        <v>#DIV/0!</v>
      </c>
      <c r="J231" s="2"/>
      <c r="K231" s="193"/>
      <c r="L231" s="8"/>
      <c r="M231" s="8"/>
      <c r="N231" s="8"/>
      <c r="O231" s="194"/>
      <c r="P231" s="195"/>
    </row>
    <row r="232" spans="1:16">
      <c r="A232" s="3"/>
      <c r="B232" s="3" t="str">
        <f>TEXT(Tabela223456[[#This Row],[DATA]],"mmmm")</f>
        <v>janeiro</v>
      </c>
      <c r="C232" s="2"/>
      <c r="D232" s="2"/>
      <c r="E232" s="2"/>
      <c r="F232" s="2"/>
      <c r="G232" s="173"/>
      <c r="H232" s="174"/>
      <c r="I232" s="173" t="e">
        <f>Tabela22[[#This Row],[PESO TOTAL]]/Tabela22[[#This Row],[QUANTIDADE]]</f>
        <v>#DIV/0!</v>
      </c>
      <c r="J232" s="2"/>
      <c r="K232" s="193"/>
      <c r="L232" s="8"/>
      <c r="M232" s="8"/>
      <c r="N232" s="8"/>
      <c r="O232" s="194"/>
      <c r="P232" s="195"/>
    </row>
    <row r="233" spans="1:16">
      <c r="A233" s="3"/>
      <c r="B233" s="3" t="str">
        <f>TEXT(Tabela223456[[#This Row],[DATA]],"mmmm")</f>
        <v>janeiro</v>
      </c>
      <c r="C233" s="2"/>
      <c r="D233" s="2"/>
      <c r="E233" s="2"/>
      <c r="F233" s="2"/>
      <c r="G233" s="173"/>
      <c r="H233" s="174"/>
      <c r="I233" s="173" t="e">
        <f>Tabela22[[#This Row],[PESO TOTAL]]/Tabela22[[#This Row],[QUANTIDADE]]</f>
        <v>#DIV/0!</v>
      </c>
      <c r="J233" s="2"/>
      <c r="K233" s="193"/>
      <c r="L233" s="8"/>
      <c r="M233" s="8"/>
      <c r="N233" s="8"/>
      <c r="O233" s="194"/>
      <c r="P233" s="195"/>
    </row>
    <row r="234" spans="1:16">
      <c r="A234" s="3"/>
      <c r="B234" s="3" t="str">
        <f>TEXT(Tabela223456[[#This Row],[DATA]],"mmmm")</f>
        <v>janeiro</v>
      </c>
      <c r="C234" s="2"/>
      <c r="D234" s="2"/>
      <c r="E234" s="2"/>
      <c r="F234" s="2"/>
      <c r="G234" s="173"/>
      <c r="H234" s="174"/>
      <c r="I234" s="173" t="e">
        <f>Tabela22[[#This Row],[PESO TOTAL]]/Tabela22[[#This Row],[QUANTIDADE]]</f>
        <v>#DIV/0!</v>
      </c>
      <c r="J234" s="2"/>
      <c r="K234" s="193"/>
      <c r="L234" s="8"/>
      <c r="M234" s="8"/>
      <c r="N234" s="8"/>
      <c r="O234" s="194"/>
      <c r="P234" s="195"/>
    </row>
    <row r="235" spans="1:16">
      <c r="A235" s="3"/>
      <c r="B235" s="3" t="str">
        <f>TEXT(Tabela223456[[#This Row],[DATA]],"mmmm")</f>
        <v>janeiro</v>
      </c>
      <c r="C235" s="2"/>
      <c r="D235" s="2"/>
      <c r="E235" s="2"/>
      <c r="F235" s="2"/>
      <c r="G235" s="173"/>
      <c r="H235" s="174"/>
      <c r="I235" s="173" t="e">
        <f>Tabela22[[#This Row],[PESO TOTAL]]/Tabela22[[#This Row],[QUANTIDADE]]</f>
        <v>#DIV/0!</v>
      </c>
      <c r="J235" s="2"/>
      <c r="K235" s="193"/>
      <c r="L235" s="8"/>
      <c r="M235" s="8"/>
      <c r="N235" s="8"/>
      <c r="O235" s="194"/>
      <c r="P235" s="195"/>
    </row>
    <row r="236" spans="1:16">
      <c r="A236" s="3"/>
      <c r="B236" s="3" t="str">
        <f>TEXT(Tabela223456[[#This Row],[DATA]],"mmmm")</f>
        <v>janeiro</v>
      </c>
      <c r="C236" s="2"/>
      <c r="D236" s="2"/>
      <c r="E236" s="2"/>
      <c r="F236" s="2"/>
      <c r="G236" s="173"/>
      <c r="H236" s="174"/>
      <c r="I236" s="173" t="e">
        <f>Tabela22[[#This Row],[PESO TOTAL]]/Tabela22[[#This Row],[QUANTIDADE]]</f>
        <v>#DIV/0!</v>
      </c>
      <c r="J236" s="2"/>
      <c r="K236" s="193"/>
      <c r="L236" s="8"/>
      <c r="M236" s="8"/>
      <c r="N236" s="8"/>
      <c r="O236" s="194"/>
      <c r="P236" s="195"/>
    </row>
    <row r="237" spans="1:16">
      <c r="A237" s="3"/>
      <c r="B237" s="3" t="str">
        <f>TEXT(Tabela223456[[#This Row],[DATA]],"mmmm")</f>
        <v>janeiro</v>
      </c>
      <c r="C237" s="2"/>
      <c r="D237" s="2"/>
      <c r="E237" s="2"/>
      <c r="F237" s="2"/>
      <c r="G237" s="173"/>
      <c r="H237" s="174"/>
      <c r="I237" s="173" t="e">
        <f>Tabela22[[#This Row],[PESO TOTAL]]/Tabela22[[#This Row],[QUANTIDADE]]</f>
        <v>#DIV/0!</v>
      </c>
      <c r="J237" s="2"/>
      <c r="K237" s="193"/>
      <c r="L237" s="8"/>
      <c r="M237" s="8"/>
      <c r="N237" s="8"/>
      <c r="O237" s="194"/>
      <c r="P237" s="195"/>
    </row>
    <row r="238" spans="1:16">
      <c r="A238" s="3"/>
      <c r="B238" s="3" t="str">
        <f>TEXT(Tabela223456[[#This Row],[DATA]],"mmmm")</f>
        <v>janeiro</v>
      </c>
      <c r="C238" s="2"/>
      <c r="D238" s="2"/>
      <c r="E238" s="2"/>
      <c r="F238" s="2"/>
      <c r="G238" s="173"/>
      <c r="H238" s="174"/>
      <c r="I238" s="173" t="e">
        <f>Tabela22[[#This Row],[PESO TOTAL]]/Tabela22[[#This Row],[QUANTIDADE]]</f>
        <v>#DIV/0!</v>
      </c>
      <c r="J238" s="2"/>
      <c r="K238" s="193"/>
      <c r="L238" s="8"/>
      <c r="M238" s="8"/>
      <c r="N238" s="8"/>
      <c r="O238" s="194"/>
      <c r="P238" s="195"/>
    </row>
    <row r="239" spans="1:16">
      <c r="A239" s="3"/>
      <c r="B239" s="3" t="str">
        <f>TEXT(Tabela223456[[#This Row],[DATA]],"mmmm")</f>
        <v>janeiro</v>
      </c>
      <c r="C239" s="2"/>
      <c r="D239" s="2"/>
      <c r="E239" s="2"/>
      <c r="F239" s="2"/>
      <c r="G239" s="173"/>
      <c r="H239" s="174"/>
      <c r="I239" s="173" t="e">
        <f>Tabela22[[#This Row],[PESO TOTAL]]/Tabela22[[#This Row],[QUANTIDADE]]</f>
        <v>#DIV/0!</v>
      </c>
      <c r="J239" s="2"/>
      <c r="K239" s="193"/>
      <c r="L239" s="8"/>
      <c r="M239" s="8"/>
      <c r="N239" s="8"/>
      <c r="O239" s="194"/>
      <c r="P239" s="195"/>
    </row>
    <row r="240" spans="1:16">
      <c r="A240" s="3"/>
      <c r="B240" s="3" t="str">
        <f>TEXT(Tabela223456[[#This Row],[DATA]],"mmmm")</f>
        <v>janeiro</v>
      </c>
      <c r="C240" s="2"/>
      <c r="D240" s="2"/>
      <c r="E240" s="2"/>
      <c r="F240" s="2"/>
      <c r="G240" s="173"/>
      <c r="H240" s="174"/>
      <c r="I240" s="173" t="e">
        <f>Tabela22[[#This Row],[PESO TOTAL]]/Tabela22[[#This Row],[QUANTIDADE]]</f>
        <v>#DIV/0!</v>
      </c>
      <c r="J240" s="2"/>
      <c r="K240" s="193"/>
      <c r="L240" s="8"/>
      <c r="M240" s="8"/>
      <c r="N240" s="8"/>
      <c r="O240" s="194"/>
      <c r="P240" s="195"/>
    </row>
    <row r="241" spans="1:16">
      <c r="A241" s="3"/>
      <c r="B241" s="3" t="str">
        <f>TEXT(Tabela223456[[#This Row],[DATA]],"mmmm")</f>
        <v>janeiro</v>
      </c>
      <c r="C241" s="2"/>
      <c r="D241" s="2"/>
      <c r="E241" s="2"/>
      <c r="F241" s="2"/>
      <c r="G241" s="173"/>
      <c r="H241" s="174"/>
      <c r="I241" s="173" t="e">
        <f>Tabela22[[#This Row],[PESO TOTAL]]/Tabela22[[#This Row],[QUANTIDADE]]</f>
        <v>#DIV/0!</v>
      </c>
      <c r="J241" s="2"/>
      <c r="K241" s="193"/>
      <c r="L241" s="8"/>
      <c r="M241" s="8"/>
      <c r="N241" s="8"/>
      <c r="O241" s="194"/>
      <c r="P241" s="195"/>
    </row>
    <row r="242" spans="1:16">
      <c r="A242" s="3"/>
      <c r="B242" s="3" t="str">
        <f>TEXT(Tabela223456[[#This Row],[DATA]],"mmmm")</f>
        <v>janeiro</v>
      </c>
      <c r="C242" s="2"/>
      <c r="D242" s="2"/>
      <c r="E242" s="2"/>
      <c r="F242" s="2"/>
      <c r="G242" s="173"/>
      <c r="H242" s="174"/>
      <c r="I242" s="173" t="e">
        <f>Tabela22[[#This Row],[PESO TOTAL]]/Tabela22[[#This Row],[QUANTIDADE]]</f>
        <v>#DIV/0!</v>
      </c>
      <c r="J242" s="2"/>
      <c r="K242" s="193"/>
      <c r="L242" s="8"/>
      <c r="M242" s="8"/>
      <c r="N242" s="8"/>
      <c r="O242" s="194"/>
      <c r="P242" s="195"/>
    </row>
    <row r="243" spans="1:16">
      <c r="A243" s="3"/>
      <c r="B243" s="3" t="str">
        <f>TEXT(Tabela223456[[#This Row],[DATA]],"mmmm")</f>
        <v>janeiro</v>
      </c>
      <c r="C243" s="2"/>
      <c r="D243" s="2"/>
      <c r="E243" s="2"/>
      <c r="F243" s="2"/>
      <c r="G243" s="173"/>
      <c r="H243" s="174"/>
      <c r="I243" s="173" t="e">
        <f>Tabela22[[#This Row],[PESO TOTAL]]/Tabela22[[#This Row],[QUANTIDADE]]</f>
        <v>#DIV/0!</v>
      </c>
      <c r="J243" s="2"/>
      <c r="K243" s="193"/>
      <c r="L243" s="8"/>
      <c r="M243" s="8"/>
      <c r="N243" s="8"/>
      <c r="O243" s="194"/>
      <c r="P243" s="195"/>
    </row>
    <row r="244" spans="1:16">
      <c r="A244" s="3"/>
      <c r="B244" s="3" t="str">
        <f>TEXT(Tabela223456[[#This Row],[DATA]],"mmmm")</f>
        <v>janeiro</v>
      </c>
      <c r="C244" s="2"/>
      <c r="D244" s="2"/>
      <c r="E244" s="2"/>
      <c r="F244" s="2"/>
      <c r="G244" s="173"/>
      <c r="H244" s="174"/>
      <c r="I244" s="173" t="e">
        <f>Tabela22[[#This Row],[PESO TOTAL]]/Tabela22[[#This Row],[QUANTIDADE]]</f>
        <v>#DIV/0!</v>
      </c>
      <c r="J244" s="2"/>
      <c r="K244" s="193"/>
      <c r="L244" s="8"/>
      <c r="M244" s="8"/>
      <c r="N244" s="8"/>
      <c r="O244" s="194"/>
      <c r="P244" s="195"/>
    </row>
    <row r="245" spans="1:16">
      <c r="A245" s="3"/>
      <c r="B245" s="3" t="str">
        <f>TEXT(Tabela223456[[#This Row],[DATA]],"mmmm")</f>
        <v>janeiro</v>
      </c>
      <c r="C245" s="2"/>
      <c r="D245" s="2"/>
      <c r="E245" s="2"/>
      <c r="F245" s="2"/>
      <c r="G245" s="173"/>
      <c r="H245" s="174"/>
      <c r="I245" s="173" t="e">
        <f>Tabela22[[#This Row],[PESO TOTAL]]/Tabela22[[#This Row],[QUANTIDADE]]</f>
        <v>#DIV/0!</v>
      </c>
      <c r="J245" s="2"/>
      <c r="K245" s="193"/>
      <c r="L245" s="8"/>
      <c r="M245" s="8"/>
      <c r="N245" s="8"/>
      <c r="O245" s="194"/>
      <c r="P245" s="195"/>
    </row>
    <row r="246" spans="1:16">
      <c r="A246" s="3"/>
      <c r="B246" s="3" t="str">
        <f>TEXT(Tabela223456[[#This Row],[DATA]],"mmmm")</f>
        <v>janeiro</v>
      </c>
      <c r="C246" s="2"/>
      <c r="D246" s="2"/>
      <c r="E246" s="2"/>
      <c r="F246" s="2"/>
      <c r="G246" s="173"/>
      <c r="H246" s="174"/>
      <c r="I246" s="173" t="e">
        <f>Tabela22[[#This Row],[PESO TOTAL]]/Tabela22[[#This Row],[QUANTIDADE]]</f>
        <v>#DIV/0!</v>
      </c>
      <c r="J246" s="2"/>
      <c r="K246" s="193"/>
      <c r="L246" s="8"/>
      <c r="M246" s="8"/>
      <c r="N246" s="8"/>
      <c r="O246" s="194"/>
      <c r="P246" s="195"/>
    </row>
    <row r="247" spans="1:16">
      <c r="A247" s="3"/>
      <c r="B247" s="3" t="str">
        <f>TEXT(Tabela223456[[#This Row],[DATA]],"mmmm")</f>
        <v>janeiro</v>
      </c>
      <c r="C247" s="2"/>
      <c r="D247" s="2"/>
      <c r="E247" s="2"/>
      <c r="F247" s="2"/>
      <c r="G247" s="173"/>
      <c r="H247" s="174"/>
      <c r="I247" s="173" t="e">
        <f>Tabela22[[#This Row],[PESO TOTAL]]/Tabela22[[#This Row],[QUANTIDADE]]</f>
        <v>#DIV/0!</v>
      </c>
      <c r="J247" s="2"/>
      <c r="K247" s="193"/>
      <c r="L247" s="8"/>
      <c r="M247" s="8"/>
      <c r="N247" s="8"/>
      <c r="O247" s="194"/>
      <c r="P247" s="195"/>
    </row>
    <row r="248" spans="1:16">
      <c r="A248" s="3"/>
      <c r="B248" s="3" t="str">
        <f>TEXT(Tabela223456[[#This Row],[DATA]],"mmmm")</f>
        <v>janeiro</v>
      </c>
      <c r="C248" s="2"/>
      <c r="D248" s="2"/>
      <c r="E248" s="2"/>
      <c r="F248" s="2"/>
      <c r="G248" s="173"/>
      <c r="H248" s="174"/>
      <c r="I248" s="173" t="e">
        <f>Tabela22[[#This Row],[PESO TOTAL]]/Tabela22[[#This Row],[QUANTIDADE]]</f>
        <v>#DIV/0!</v>
      </c>
      <c r="J248" s="2"/>
      <c r="K248" s="193"/>
      <c r="L248" s="8"/>
      <c r="M248" s="8"/>
      <c r="N248" s="8"/>
      <c r="O248" s="194"/>
      <c r="P248" s="195"/>
    </row>
    <row r="249" spans="1:16">
      <c r="A249" s="3"/>
      <c r="B249" s="3" t="str">
        <f>TEXT(Tabela223456[[#This Row],[DATA]],"mmmm")</f>
        <v>janeiro</v>
      </c>
      <c r="C249" s="2"/>
      <c r="D249" s="2"/>
      <c r="E249" s="2"/>
      <c r="F249" s="2"/>
      <c r="G249" s="173"/>
      <c r="H249" s="174"/>
      <c r="I249" s="173" t="e">
        <f>Tabela22[[#This Row],[PESO TOTAL]]/Tabela22[[#This Row],[QUANTIDADE]]</f>
        <v>#DIV/0!</v>
      </c>
      <c r="J249" s="2"/>
      <c r="K249" s="193"/>
      <c r="L249" s="8"/>
      <c r="M249" s="8"/>
      <c r="N249" s="8"/>
      <c r="O249" s="194"/>
      <c r="P249" s="195"/>
    </row>
    <row r="250" spans="1:16">
      <c r="A250" s="3"/>
      <c r="B250" s="3" t="str">
        <f>TEXT(Tabela223456[[#This Row],[DATA]],"mmmm")</f>
        <v>janeiro</v>
      </c>
      <c r="C250" s="2"/>
      <c r="D250" s="2"/>
      <c r="E250" s="2"/>
      <c r="F250" s="2"/>
      <c r="G250" s="173"/>
      <c r="H250" s="174"/>
      <c r="I250" s="173" t="e">
        <f>Tabela22[[#This Row],[PESO TOTAL]]/Tabela22[[#This Row],[QUANTIDADE]]</f>
        <v>#DIV/0!</v>
      </c>
      <c r="J250" s="2"/>
      <c r="K250" s="193"/>
      <c r="L250" s="8"/>
      <c r="M250" s="8"/>
      <c r="N250" s="8"/>
      <c r="O250" s="194"/>
      <c r="P250" s="195"/>
    </row>
    <row r="251" spans="1:16">
      <c r="A251" s="3"/>
      <c r="B251" s="3" t="str">
        <f>TEXT(Tabela223456[[#This Row],[DATA]],"mmmm")</f>
        <v>janeiro</v>
      </c>
      <c r="C251" s="2"/>
      <c r="D251" s="2"/>
      <c r="E251" s="2"/>
      <c r="F251" s="2"/>
      <c r="G251" s="173"/>
      <c r="H251" s="174"/>
      <c r="I251" s="173" t="e">
        <f>Tabela22[[#This Row],[PESO TOTAL]]/Tabela22[[#This Row],[QUANTIDADE]]</f>
        <v>#DIV/0!</v>
      </c>
      <c r="J251" s="2"/>
      <c r="K251" s="193"/>
      <c r="L251" s="8"/>
      <c r="M251" s="8"/>
      <c r="N251" s="8"/>
      <c r="O251" s="194"/>
      <c r="P251" s="195"/>
    </row>
    <row r="252" spans="1:16">
      <c r="A252" s="3"/>
      <c r="B252" s="3" t="str">
        <f>TEXT(Tabela223456[[#This Row],[DATA]],"mmmm")</f>
        <v>janeiro</v>
      </c>
      <c r="C252" s="2"/>
      <c r="D252" s="2"/>
      <c r="E252" s="2"/>
      <c r="F252" s="2"/>
      <c r="G252" s="173"/>
      <c r="H252" s="174"/>
      <c r="I252" s="173" t="e">
        <f>Tabela22[[#This Row],[PESO TOTAL]]/Tabela22[[#This Row],[QUANTIDADE]]</f>
        <v>#DIV/0!</v>
      </c>
      <c r="J252" s="2"/>
      <c r="K252" s="193"/>
      <c r="L252" s="8"/>
      <c r="M252" s="8"/>
      <c r="N252" s="8"/>
      <c r="O252" s="194"/>
      <c r="P252" s="195"/>
    </row>
    <row r="253" spans="1:16">
      <c r="A253" s="3"/>
      <c r="B253" s="3" t="str">
        <f>TEXT(Tabela223456[[#This Row],[DATA]],"mmmm")</f>
        <v>janeiro</v>
      </c>
      <c r="C253" s="2"/>
      <c r="D253" s="2"/>
      <c r="E253" s="2"/>
      <c r="F253" s="2"/>
      <c r="G253" s="173"/>
      <c r="H253" s="174"/>
      <c r="I253" s="173" t="e">
        <f>Tabela22[[#This Row],[PESO TOTAL]]/Tabela22[[#This Row],[QUANTIDADE]]</f>
        <v>#DIV/0!</v>
      </c>
      <c r="J253" s="2"/>
      <c r="K253" s="193"/>
      <c r="L253" s="8"/>
      <c r="M253" s="8"/>
      <c r="N253" s="8"/>
      <c r="O253" s="194"/>
      <c r="P253" s="195"/>
    </row>
    <row r="254" spans="1:16">
      <c r="A254" s="3"/>
      <c r="B254" s="3" t="str">
        <f>TEXT(Tabela223456[[#This Row],[DATA]],"mmmm")</f>
        <v>janeiro</v>
      </c>
      <c r="C254" s="2"/>
      <c r="D254" s="2"/>
      <c r="E254" s="2"/>
      <c r="F254" s="2"/>
      <c r="G254" s="173"/>
      <c r="H254" s="174"/>
      <c r="I254" s="173" t="e">
        <f>Tabela22[[#This Row],[PESO TOTAL]]/Tabela22[[#This Row],[QUANTIDADE]]</f>
        <v>#DIV/0!</v>
      </c>
      <c r="J254" s="2"/>
      <c r="K254" s="193"/>
      <c r="L254" s="8"/>
      <c r="M254" s="8"/>
      <c r="N254" s="8"/>
      <c r="O254" s="194"/>
      <c r="P254" s="195"/>
    </row>
    <row r="255" spans="1:16">
      <c r="A255" s="3"/>
      <c r="B255" s="3" t="str">
        <f>TEXT(Tabela223456[[#This Row],[DATA]],"mmmm")</f>
        <v>janeiro</v>
      </c>
      <c r="C255" s="2"/>
      <c r="D255" s="2"/>
      <c r="E255" s="2"/>
      <c r="F255" s="2"/>
      <c r="G255" s="173"/>
      <c r="H255" s="174"/>
      <c r="I255" s="173" t="e">
        <f>Tabela22[[#This Row],[PESO TOTAL]]/Tabela22[[#This Row],[QUANTIDADE]]</f>
        <v>#DIV/0!</v>
      </c>
      <c r="J255" s="2"/>
      <c r="K255" s="193"/>
      <c r="L255" s="8"/>
      <c r="M255" s="8"/>
      <c r="N255" s="8"/>
      <c r="O255" s="194"/>
      <c r="P255" s="195"/>
    </row>
    <row r="256" spans="1:16">
      <c r="A256" s="3"/>
      <c r="B256" s="3" t="str">
        <f>TEXT(Tabela223456[[#This Row],[DATA]],"mmmm")</f>
        <v>janeiro</v>
      </c>
      <c r="C256" s="2"/>
      <c r="D256" s="2"/>
      <c r="E256" s="2"/>
      <c r="F256" s="2"/>
      <c r="G256" s="173"/>
      <c r="H256" s="174"/>
      <c r="I256" s="173" t="e">
        <f>Tabela22[[#This Row],[PESO TOTAL]]/Tabela22[[#This Row],[QUANTIDADE]]</f>
        <v>#DIV/0!</v>
      </c>
      <c r="J256" s="2"/>
      <c r="K256" s="193"/>
      <c r="L256" s="8"/>
      <c r="M256" s="8"/>
      <c r="N256" s="8"/>
      <c r="O256" s="194"/>
      <c r="P256" s="195"/>
    </row>
    <row r="257" spans="1:16">
      <c r="A257" s="3"/>
      <c r="B257" s="3" t="str">
        <f>TEXT(Tabela223456[[#This Row],[DATA]],"mmmm")</f>
        <v>janeiro</v>
      </c>
      <c r="C257" s="2"/>
      <c r="D257" s="2"/>
      <c r="E257" s="2"/>
      <c r="F257" s="2"/>
      <c r="G257" s="173"/>
      <c r="H257" s="174"/>
      <c r="I257" s="173" t="e">
        <f>Tabela22[[#This Row],[PESO TOTAL]]/Tabela22[[#This Row],[QUANTIDADE]]</f>
        <v>#DIV/0!</v>
      </c>
      <c r="J257" s="2"/>
      <c r="K257" s="193"/>
      <c r="L257" s="8"/>
      <c r="M257" s="8"/>
      <c r="N257" s="8"/>
      <c r="O257" s="194"/>
      <c r="P257" s="195"/>
    </row>
    <row r="258" spans="1:16">
      <c r="A258" s="3"/>
      <c r="B258" s="3" t="str">
        <f>TEXT(Tabela223456[[#This Row],[DATA]],"mmmm")</f>
        <v>janeiro</v>
      </c>
      <c r="C258" s="2"/>
      <c r="D258" s="2"/>
      <c r="E258" s="2"/>
      <c r="F258" s="2"/>
      <c r="G258" s="173"/>
      <c r="H258" s="174"/>
      <c r="I258" s="173" t="e">
        <f>Tabela22[[#This Row],[PESO TOTAL]]/Tabela22[[#This Row],[QUANTIDADE]]</f>
        <v>#DIV/0!</v>
      </c>
      <c r="J258" s="2"/>
      <c r="K258" s="193"/>
      <c r="L258" s="8"/>
      <c r="M258" s="8"/>
      <c r="N258" s="8"/>
      <c r="O258" s="194"/>
      <c r="P258" s="195"/>
    </row>
    <row r="259" spans="1:16">
      <c r="A259" s="3"/>
      <c r="B259" s="3" t="str">
        <f>TEXT(Tabela223456[[#This Row],[DATA]],"mmmm")</f>
        <v>janeiro</v>
      </c>
      <c r="C259" s="2"/>
      <c r="D259" s="2"/>
      <c r="E259" s="2"/>
      <c r="F259" s="2"/>
      <c r="G259" s="173"/>
      <c r="H259" s="174"/>
      <c r="I259" s="173" t="e">
        <f>Tabela22[[#This Row],[PESO TOTAL]]/Tabela22[[#This Row],[QUANTIDADE]]</f>
        <v>#DIV/0!</v>
      </c>
      <c r="J259" s="2"/>
      <c r="K259" s="193"/>
      <c r="L259" s="8"/>
      <c r="M259" s="8"/>
      <c r="N259" s="8"/>
      <c r="O259" s="194"/>
      <c r="P259" s="195"/>
    </row>
    <row r="260" spans="1:16">
      <c r="A260" s="3"/>
      <c r="B260" s="3" t="str">
        <f>TEXT(Tabela223456[[#This Row],[DATA]],"mmmm")</f>
        <v>janeiro</v>
      </c>
      <c r="C260" s="2"/>
      <c r="D260" s="2"/>
      <c r="E260" s="2"/>
      <c r="F260" s="2"/>
      <c r="G260" s="173"/>
      <c r="H260" s="174"/>
      <c r="I260" s="173" t="e">
        <f>Tabela22[[#This Row],[PESO TOTAL]]/Tabela22[[#This Row],[QUANTIDADE]]</f>
        <v>#DIV/0!</v>
      </c>
      <c r="J260" s="2"/>
      <c r="K260" s="193"/>
      <c r="L260" s="8"/>
      <c r="M260" s="8"/>
      <c r="N260" s="8"/>
      <c r="O260" s="194"/>
      <c r="P260" s="195"/>
    </row>
    <row r="261" spans="1:16">
      <c r="A261" s="3"/>
      <c r="B261" s="3" t="str">
        <f>TEXT(Tabela223456[[#This Row],[DATA]],"mmmm")</f>
        <v>janeiro</v>
      </c>
      <c r="C261" s="2"/>
      <c r="D261" s="2"/>
      <c r="E261" s="2"/>
      <c r="F261" s="2"/>
      <c r="G261" s="173"/>
      <c r="H261" s="174"/>
      <c r="I261" s="173" t="e">
        <f>Tabela22[[#This Row],[PESO TOTAL]]/Tabela22[[#This Row],[QUANTIDADE]]</f>
        <v>#DIV/0!</v>
      </c>
      <c r="J261" s="2"/>
      <c r="K261" s="193"/>
      <c r="L261" s="8"/>
      <c r="M261" s="8"/>
      <c r="N261" s="8"/>
      <c r="O261" s="194"/>
      <c r="P261" s="195"/>
    </row>
    <row r="262" spans="1:16">
      <c r="A262" s="3"/>
      <c r="B262" s="3" t="str">
        <f>TEXT(Tabela223456[[#This Row],[DATA]],"mmmm")</f>
        <v>janeiro</v>
      </c>
      <c r="C262" s="2"/>
      <c r="D262" s="2"/>
      <c r="E262" s="2"/>
      <c r="F262" s="2"/>
      <c r="G262" s="173"/>
      <c r="H262" s="174"/>
      <c r="I262" s="173" t="e">
        <f>Tabela22[[#This Row],[PESO TOTAL]]/Tabela22[[#This Row],[QUANTIDADE]]</f>
        <v>#DIV/0!</v>
      </c>
      <c r="J262" s="2"/>
      <c r="K262" s="193"/>
      <c r="L262" s="8"/>
      <c r="M262" s="8"/>
      <c r="N262" s="8"/>
      <c r="O262" s="194"/>
      <c r="P262" s="195"/>
    </row>
    <row r="263" spans="1:16">
      <c r="A263" s="3"/>
      <c r="B263" s="3" t="str">
        <f>TEXT(Tabela223456[[#This Row],[DATA]],"mmmm")</f>
        <v>janeiro</v>
      </c>
      <c r="C263" s="2"/>
      <c r="D263" s="2"/>
      <c r="E263" s="2"/>
      <c r="F263" s="2"/>
      <c r="G263" s="173"/>
      <c r="H263" s="174"/>
      <c r="I263" s="173" t="e">
        <f>Tabela22[[#This Row],[PESO TOTAL]]/Tabela22[[#This Row],[QUANTIDADE]]</f>
        <v>#DIV/0!</v>
      </c>
      <c r="J263" s="2"/>
      <c r="K263" s="193"/>
      <c r="L263" s="8"/>
      <c r="M263" s="8"/>
      <c r="N263" s="8"/>
      <c r="O263" s="194"/>
      <c r="P263" s="195"/>
    </row>
    <row r="264" spans="1:16">
      <c r="A264" s="3"/>
      <c r="B264" s="3" t="str">
        <f>TEXT(Tabela223456[[#This Row],[DATA]],"mmmm")</f>
        <v>janeiro</v>
      </c>
      <c r="C264" s="2"/>
      <c r="D264" s="2"/>
      <c r="E264" s="2"/>
      <c r="F264" s="2"/>
      <c r="G264" s="173"/>
      <c r="H264" s="174"/>
      <c r="I264" s="173" t="e">
        <f>Tabela22[[#This Row],[PESO TOTAL]]/Tabela22[[#This Row],[QUANTIDADE]]</f>
        <v>#DIV/0!</v>
      </c>
      <c r="J264" s="2"/>
      <c r="K264" s="193"/>
      <c r="L264" s="8"/>
      <c r="M264" s="8"/>
      <c r="N264" s="8"/>
      <c r="O264" s="194"/>
      <c r="P264" s="195"/>
    </row>
    <row r="265" spans="1:16">
      <c r="A265" s="3"/>
      <c r="B265" s="3" t="str">
        <f>TEXT(Tabela223456[[#This Row],[DATA]],"mmmm")</f>
        <v>janeiro</v>
      </c>
      <c r="C265" s="2"/>
      <c r="D265" s="2"/>
      <c r="E265" s="2"/>
      <c r="F265" s="2"/>
      <c r="G265" s="173"/>
      <c r="H265" s="174"/>
      <c r="I265" s="173" t="e">
        <f>Tabela22[[#This Row],[PESO TOTAL]]/Tabela22[[#This Row],[QUANTIDADE]]</f>
        <v>#DIV/0!</v>
      </c>
      <c r="J265" s="2"/>
      <c r="K265" s="193"/>
      <c r="L265" s="8"/>
      <c r="M265" s="8"/>
      <c r="N265" s="8"/>
      <c r="O265" s="194"/>
      <c r="P265" s="195"/>
    </row>
    <row r="266" spans="1:16">
      <c r="A266" s="3"/>
      <c r="B266" s="3" t="str">
        <f>TEXT(Tabela223456[[#This Row],[DATA]],"mmmm")</f>
        <v>janeiro</v>
      </c>
      <c r="C266" s="2"/>
      <c r="D266" s="2"/>
      <c r="E266" s="2"/>
      <c r="F266" s="2"/>
      <c r="G266" s="173"/>
      <c r="H266" s="174"/>
      <c r="I266" s="173" t="e">
        <f>Tabela22[[#This Row],[PESO TOTAL]]/Tabela22[[#This Row],[QUANTIDADE]]</f>
        <v>#DIV/0!</v>
      </c>
      <c r="J266" s="2"/>
      <c r="K266" s="193"/>
      <c r="L266" s="8"/>
      <c r="M266" s="8"/>
      <c r="N266" s="8"/>
      <c r="O266" s="194"/>
      <c r="P266" s="195"/>
    </row>
    <row r="267" spans="1:16">
      <c r="A267" s="3"/>
      <c r="B267" s="3" t="str">
        <f>TEXT(Tabela223456[[#This Row],[DATA]],"mmmm")</f>
        <v>janeiro</v>
      </c>
      <c r="C267" s="2"/>
      <c r="D267" s="2"/>
      <c r="E267" s="2"/>
      <c r="F267" s="2"/>
      <c r="G267" s="173"/>
      <c r="H267" s="174"/>
      <c r="I267" s="173" t="e">
        <f>Tabela22[[#This Row],[PESO TOTAL]]/Tabela22[[#This Row],[QUANTIDADE]]</f>
        <v>#DIV/0!</v>
      </c>
      <c r="J267" s="2"/>
      <c r="K267" s="193"/>
      <c r="L267" s="8"/>
      <c r="M267" s="8"/>
      <c r="N267" s="8"/>
      <c r="O267" s="194"/>
      <c r="P267" s="195"/>
    </row>
    <row r="268" spans="1:16">
      <c r="A268" s="3"/>
      <c r="B268" s="3" t="str">
        <f>TEXT(Tabela223456[[#This Row],[DATA]],"mmmm")</f>
        <v>janeiro</v>
      </c>
      <c r="C268" s="2"/>
      <c r="D268" s="2"/>
      <c r="E268" s="2"/>
      <c r="F268" s="2"/>
      <c r="G268" s="173"/>
      <c r="H268" s="174"/>
      <c r="I268" s="173" t="e">
        <f>Tabela22[[#This Row],[PESO TOTAL]]/Tabela22[[#This Row],[QUANTIDADE]]</f>
        <v>#DIV/0!</v>
      </c>
      <c r="J268" s="2"/>
      <c r="K268" s="193"/>
      <c r="L268" s="8"/>
      <c r="M268" s="8"/>
      <c r="N268" s="8"/>
      <c r="O268" s="194"/>
      <c r="P268" s="195"/>
    </row>
    <row r="269" spans="1:16">
      <c r="A269" s="3"/>
      <c r="B269" s="3" t="str">
        <f>TEXT(Tabela223456[[#This Row],[DATA]],"mmmm")</f>
        <v>janeiro</v>
      </c>
      <c r="C269" s="2"/>
      <c r="D269" s="2"/>
      <c r="E269" s="2"/>
      <c r="F269" s="2"/>
      <c r="G269" s="173"/>
      <c r="H269" s="174"/>
      <c r="I269" s="173" t="e">
        <f>Tabela22[[#This Row],[PESO TOTAL]]/Tabela22[[#This Row],[QUANTIDADE]]</f>
        <v>#DIV/0!</v>
      </c>
      <c r="J269" s="2"/>
      <c r="K269" s="193"/>
      <c r="L269" s="8"/>
      <c r="M269" s="8"/>
      <c r="N269" s="8"/>
      <c r="O269" s="194"/>
      <c r="P269" s="195"/>
    </row>
    <row r="270" spans="1:16">
      <c r="A270" s="3"/>
      <c r="B270" s="3" t="str">
        <f>TEXT(Tabela223456[[#This Row],[DATA]],"mmmm")</f>
        <v>janeiro</v>
      </c>
      <c r="C270" s="2"/>
      <c r="D270" s="2"/>
      <c r="E270" s="2"/>
      <c r="F270" s="2"/>
      <c r="G270" s="173"/>
      <c r="H270" s="174"/>
      <c r="I270" s="173" t="e">
        <f>Tabela22[[#This Row],[PESO TOTAL]]/Tabela22[[#This Row],[QUANTIDADE]]</f>
        <v>#DIV/0!</v>
      </c>
      <c r="J270" s="2"/>
      <c r="K270" s="193"/>
      <c r="L270" s="8"/>
      <c r="M270" s="8"/>
      <c r="N270" s="8"/>
      <c r="O270" s="194"/>
      <c r="P270" s="195"/>
    </row>
    <row r="271" spans="1:16">
      <c r="A271" s="3"/>
      <c r="B271" s="3" t="str">
        <f>TEXT(Tabela223456[[#This Row],[DATA]],"mmmm")</f>
        <v>janeiro</v>
      </c>
      <c r="C271" s="2"/>
      <c r="D271" s="2"/>
      <c r="E271" s="2"/>
      <c r="F271" s="2"/>
      <c r="G271" s="173"/>
      <c r="H271" s="174"/>
      <c r="I271" s="173" t="e">
        <f>Tabela22[[#This Row],[PESO TOTAL]]/Tabela22[[#This Row],[QUANTIDADE]]</f>
        <v>#DIV/0!</v>
      </c>
      <c r="J271" s="2"/>
      <c r="K271" s="193"/>
      <c r="L271" s="8"/>
      <c r="M271" s="8"/>
      <c r="N271" s="8"/>
      <c r="O271" s="194"/>
      <c r="P271" s="195"/>
    </row>
    <row r="272" spans="1:16">
      <c r="A272" s="3"/>
      <c r="B272" s="3" t="str">
        <f>TEXT(Tabela223456[[#This Row],[DATA]],"mmmm")</f>
        <v>janeiro</v>
      </c>
      <c r="C272" s="2"/>
      <c r="D272" s="2"/>
      <c r="E272" s="2"/>
      <c r="F272" s="2"/>
      <c r="G272" s="173"/>
      <c r="H272" s="174"/>
      <c r="I272" s="173" t="e">
        <f>Tabela22[[#This Row],[PESO TOTAL]]/Tabela22[[#This Row],[QUANTIDADE]]</f>
        <v>#DIV/0!</v>
      </c>
      <c r="J272" s="2"/>
      <c r="K272" s="193"/>
      <c r="L272" s="8"/>
      <c r="M272" s="8"/>
      <c r="N272" s="8"/>
      <c r="O272" s="194"/>
      <c r="P272" s="195"/>
    </row>
    <row r="273" spans="1:16">
      <c r="A273" s="3"/>
      <c r="B273" s="3" t="str">
        <f>TEXT(Tabela223456[[#This Row],[DATA]],"mmmm")</f>
        <v>janeiro</v>
      </c>
      <c r="C273" s="2"/>
      <c r="D273" s="2"/>
      <c r="E273" s="2"/>
      <c r="F273" s="2"/>
      <c r="G273" s="173"/>
      <c r="H273" s="174"/>
      <c r="I273" s="173" t="e">
        <f>Tabela22[[#This Row],[PESO TOTAL]]/Tabela22[[#This Row],[QUANTIDADE]]</f>
        <v>#DIV/0!</v>
      </c>
      <c r="J273" s="2"/>
      <c r="K273" s="193"/>
      <c r="L273" s="8"/>
      <c r="M273" s="8"/>
      <c r="N273" s="8"/>
      <c r="O273" s="194"/>
      <c r="P273" s="195"/>
    </row>
    <row r="274" spans="1:16">
      <c r="A274" s="3"/>
      <c r="B274" s="3" t="str">
        <f>TEXT(Tabela223456[[#This Row],[DATA]],"mmmm")</f>
        <v>janeiro</v>
      </c>
      <c r="C274" s="2"/>
      <c r="D274" s="2"/>
      <c r="E274" s="2"/>
      <c r="F274" s="2"/>
      <c r="G274" s="173"/>
      <c r="H274" s="174"/>
      <c r="I274" s="173" t="e">
        <f>Tabela22[[#This Row],[PESO TOTAL]]/Tabela22[[#This Row],[QUANTIDADE]]</f>
        <v>#DIV/0!</v>
      </c>
      <c r="J274" s="2"/>
      <c r="K274" s="193"/>
      <c r="L274" s="8"/>
      <c r="M274" s="8"/>
      <c r="N274" s="8"/>
      <c r="O274" s="194"/>
      <c r="P274" s="195"/>
    </row>
    <row r="275" spans="1:16">
      <c r="A275" s="3"/>
      <c r="B275" s="3" t="str">
        <f>TEXT(Tabela223456[[#This Row],[DATA]],"mmmm")</f>
        <v>janeiro</v>
      </c>
      <c r="C275" s="2"/>
      <c r="D275" s="2"/>
      <c r="E275" s="2"/>
      <c r="F275" s="2"/>
      <c r="G275" s="173"/>
      <c r="H275" s="174"/>
      <c r="I275" s="173" t="e">
        <f>Tabela22[[#This Row],[PESO TOTAL]]/Tabela22[[#This Row],[QUANTIDADE]]</f>
        <v>#DIV/0!</v>
      </c>
      <c r="J275" s="2"/>
      <c r="K275" s="193"/>
      <c r="L275" s="8"/>
      <c r="M275" s="8"/>
      <c r="N275" s="8"/>
      <c r="O275" s="194"/>
      <c r="P275" s="195"/>
    </row>
    <row r="276" spans="1:16">
      <c r="A276" s="3"/>
      <c r="B276" s="3" t="str">
        <f>TEXT(Tabela223456[[#This Row],[DATA]],"mmmm")</f>
        <v>janeiro</v>
      </c>
      <c r="C276" s="2"/>
      <c r="D276" s="2"/>
      <c r="E276" s="2"/>
      <c r="F276" s="2"/>
      <c r="G276" s="173"/>
      <c r="H276" s="174"/>
      <c r="I276" s="173" t="e">
        <f>Tabela22[[#This Row],[PESO TOTAL]]/Tabela22[[#This Row],[QUANTIDADE]]</f>
        <v>#DIV/0!</v>
      </c>
      <c r="J276" s="2"/>
      <c r="K276" s="193"/>
      <c r="L276" s="8"/>
      <c r="M276" s="8"/>
      <c r="N276" s="8"/>
      <c r="O276" s="194"/>
      <c r="P276" s="195"/>
    </row>
    <row r="277" spans="1:16">
      <c r="A277" s="3"/>
      <c r="B277" s="3" t="str">
        <f>TEXT(Tabela223456[[#This Row],[DATA]],"mmmm")</f>
        <v>janeiro</v>
      </c>
      <c r="C277" s="2"/>
      <c r="D277" s="2"/>
      <c r="E277" s="2"/>
      <c r="F277" s="2"/>
      <c r="G277" s="173"/>
      <c r="H277" s="174"/>
      <c r="I277" s="173" t="e">
        <f>Tabela22[[#This Row],[PESO TOTAL]]/Tabela22[[#This Row],[QUANTIDADE]]</f>
        <v>#DIV/0!</v>
      </c>
      <c r="J277" s="2"/>
      <c r="K277" s="193"/>
      <c r="L277" s="8"/>
      <c r="M277" s="8"/>
      <c r="N277" s="8"/>
      <c r="O277" s="194"/>
      <c r="P277" s="195"/>
    </row>
    <row r="278" spans="1:16">
      <c r="A278" s="3"/>
      <c r="B278" s="3" t="str">
        <f>TEXT(Tabela223456[[#This Row],[DATA]],"mmmm")</f>
        <v>janeiro</v>
      </c>
      <c r="C278" s="2"/>
      <c r="D278" s="2"/>
      <c r="E278" s="2"/>
      <c r="F278" s="2"/>
      <c r="G278" s="173"/>
      <c r="H278" s="174"/>
      <c r="I278" s="173" t="e">
        <f>Tabela22[[#This Row],[PESO TOTAL]]/Tabela22[[#This Row],[QUANTIDADE]]</f>
        <v>#DIV/0!</v>
      </c>
      <c r="J278" s="2"/>
      <c r="K278" s="193"/>
      <c r="L278" s="8"/>
      <c r="M278" s="8"/>
      <c r="N278" s="8"/>
      <c r="O278" s="194"/>
      <c r="P278" s="195"/>
    </row>
    <row r="279" spans="1:16">
      <c r="A279" s="3"/>
      <c r="B279" s="3" t="str">
        <f>TEXT(Tabela223456[[#This Row],[DATA]],"mmmm")</f>
        <v>janeiro</v>
      </c>
      <c r="C279" s="2"/>
      <c r="D279" s="2"/>
      <c r="E279" s="2"/>
      <c r="F279" s="2"/>
      <c r="G279" s="173"/>
      <c r="H279" s="174"/>
      <c r="I279" s="173" t="e">
        <f>Tabela22[[#This Row],[PESO TOTAL]]/Tabela22[[#This Row],[QUANTIDADE]]</f>
        <v>#DIV/0!</v>
      </c>
      <c r="J279" s="2"/>
      <c r="K279" s="193"/>
      <c r="L279" s="8"/>
      <c r="M279" s="8"/>
      <c r="N279" s="8"/>
      <c r="O279" s="194"/>
      <c r="P279" s="195"/>
    </row>
    <row r="280" spans="1:16">
      <c r="A280" s="3"/>
      <c r="B280" s="3" t="str">
        <f>TEXT(Tabela223456[[#This Row],[DATA]],"mmmm")</f>
        <v>janeiro</v>
      </c>
      <c r="C280" s="2"/>
      <c r="D280" s="2"/>
      <c r="E280" s="2"/>
      <c r="F280" s="2"/>
      <c r="G280" s="173"/>
      <c r="H280" s="174"/>
      <c r="I280" s="173" t="e">
        <f>Tabela22[[#This Row],[PESO TOTAL]]/Tabela22[[#This Row],[QUANTIDADE]]</f>
        <v>#DIV/0!</v>
      </c>
      <c r="J280" s="2"/>
      <c r="K280" s="193"/>
      <c r="L280" s="8"/>
      <c r="M280" s="8"/>
      <c r="N280" s="8"/>
      <c r="O280" s="194"/>
      <c r="P280" s="195"/>
    </row>
    <row r="281" spans="1:16">
      <c r="A281" s="3"/>
      <c r="B281" s="3" t="str">
        <f>TEXT(Tabela223456[[#This Row],[DATA]],"mmmm")</f>
        <v>janeiro</v>
      </c>
      <c r="C281" s="2"/>
      <c r="D281" s="2"/>
      <c r="E281" s="2"/>
      <c r="F281" s="2"/>
      <c r="G281" s="173"/>
      <c r="H281" s="174"/>
      <c r="I281" s="173" t="e">
        <f>Tabela22[[#This Row],[PESO TOTAL]]/Tabela22[[#This Row],[QUANTIDADE]]</f>
        <v>#DIV/0!</v>
      </c>
      <c r="J281" s="2"/>
      <c r="K281" s="193"/>
      <c r="L281" s="8"/>
      <c r="M281" s="8"/>
      <c r="N281" s="8"/>
      <c r="O281" s="194"/>
      <c r="P281" s="195"/>
    </row>
    <row r="282" spans="1:16">
      <c r="A282" s="3"/>
      <c r="B282" s="3" t="str">
        <f>TEXT(Tabela223456[[#This Row],[DATA]],"mmmm")</f>
        <v>janeiro</v>
      </c>
      <c r="C282" s="2"/>
      <c r="D282" s="2"/>
      <c r="E282" s="2"/>
      <c r="F282" s="2"/>
      <c r="G282" s="173"/>
      <c r="H282" s="174"/>
      <c r="I282" s="173" t="e">
        <f>Tabela22[[#This Row],[PESO TOTAL]]/Tabela22[[#This Row],[QUANTIDADE]]</f>
        <v>#DIV/0!</v>
      </c>
      <c r="J282" s="2"/>
      <c r="K282" s="193"/>
      <c r="L282" s="8"/>
      <c r="M282" s="8"/>
      <c r="N282" s="8"/>
      <c r="O282" s="194"/>
      <c r="P282" s="195"/>
    </row>
    <row r="283" spans="1:16">
      <c r="A283" s="3"/>
      <c r="B283" s="3" t="str">
        <f>TEXT(Tabela223456[[#This Row],[DATA]],"mmmm")</f>
        <v>janeiro</v>
      </c>
      <c r="C283" s="2"/>
      <c r="D283" s="2"/>
      <c r="E283" s="2"/>
      <c r="F283" s="2"/>
      <c r="G283" s="173"/>
      <c r="H283" s="174"/>
      <c r="I283" s="173" t="e">
        <f>Tabela22[[#This Row],[PESO TOTAL]]/Tabela22[[#This Row],[QUANTIDADE]]</f>
        <v>#DIV/0!</v>
      </c>
      <c r="J283" s="2"/>
      <c r="K283" s="193"/>
      <c r="L283" s="8"/>
      <c r="M283" s="8"/>
      <c r="N283" s="8"/>
      <c r="O283" s="194"/>
      <c r="P283" s="195"/>
    </row>
    <row r="284" spans="1:16">
      <c r="A284" s="3"/>
      <c r="B284" s="3" t="str">
        <f>TEXT(Tabela223456[[#This Row],[DATA]],"mmmm")</f>
        <v>janeiro</v>
      </c>
      <c r="C284" s="2"/>
      <c r="D284" s="2"/>
      <c r="E284" s="2"/>
      <c r="F284" s="2"/>
      <c r="G284" s="173"/>
      <c r="H284" s="174"/>
      <c r="I284" s="173" t="e">
        <f>Tabela22[[#This Row],[PESO TOTAL]]/Tabela22[[#This Row],[QUANTIDADE]]</f>
        <v>#DIV/0!</v>
      </c>
      <c r="J284" s="2"/>
      <c r="K284" s="193"/>
      <c r="L284" s="8"/>
      <c r="M284" s="8"/>
      <c r="N284" s="8"/>
      <c r="O284" s="194"/>
      <c r="P284" s="195"/>
    </row>
    <row r="285" spans="1:16">
      <c r="A285" s="3"/>
      <c r="B285" s="3" t="str">
        <f>TEXT(Tabela223456[[#This Row],[DATA]],"mmmm")</f>
        <v>janeiro</v>
      </c>
      <c r="C285" s="2"/>
      <c r="D285" s="2"/>
      <c r="E285" s="2"/>
      <c r="F285" s="2"/>
      <c r="G285" s="173"/>
      <c r="H285" s="174"/>
      <c r="I285" s="173" t="e">
        <f>Tabela22[[#This Row],[PESO TOTAL]]/Tabela22[[#This Row],[QUANTIDADE]]</f>
        <v>#DIV/0!</v>
      </c>
      <c r="J285" s="2"/>
      <c r="K285" s="193"/>
      <c r="L285" s="8"/>
      <c r="M285" s="8"/>
      <c r="N285" s="8"/>
      <c r="O285" s="194"/>
      <c r="P285" s="195"/>
    </row>
    <row r="286" spans="1:16">
      <c r="A286" s="3"/>
      <c r="B286" s="3" t="str">
        <f>TEXT(Tabela223456[[#This Row],[DATA]],"mmmm")</f>
        <v>janeiro</v>
      </c>
      <c r="C286" s="2"/>
      <c r="D286" s="2"/>
      <c r="E286" s="2"/>
      <c r="F286" s="2"/>
      <c r="G286" s="173"/>
      <c r="H286" s="174"/>
      <c r="I286" s="173" t="e">
        <f>Tabela22[[#This Row],[PESO TOTAL]]/Tabela22[[#This Row],[QUANTIDADE]]</f>
        <v>#DIV/0!</v>
      </c>
      <c r="J286" s="2"/>
      <c r="K286" s="193"/>
      <c r="L286" s="8"/>
      <c r="M286" s="8"/>
      <c r="N286" s="8"/>
      <c r="O286" s="194"/>
      <c r="P286" s="195"/>
    </row>
    <row r="287" spans="1:16">
      <c r="A287" s="3"/>
      <c r="B287" s="3" t="str">
        <f>TEXT(Tabela223456[[#This Row],[DATA]],"mmmm")</f>
        <v>janeiro</v>
      </c>
      <c r="C287" s="2"/>
      <c r="D287" s="2"/>
      <c r="E287" s="2"/>
      <c r="F287" s="2"/>
      <c r="G287" s="173"/>
      <c r="H287" s="174"/>
      <c r="I287" s="173" t="e">
        <f>Tabela22[[#This Row],[PESO TOTAL]]/Tabela22[[#This Row],[QUANTIDADE]]</f>
        <v>#DIV/0!</v>
      </c>
      <c r="J287" s="2"/>
      <c r="K287" s="193"/>
      <c r="L287" s="8"/>
      <c r="M287" s="8"/>
      <c r="N287" s="8"/>
      <c r="O287" s="194"/>
      <c r="P287" s="195"/>
    </row>
    <row r="288" spans="1:16">
      <c r="A288" s="3"/>
      <c r="B288" s="3" t="str">
        <f>TEXT(Tabela223456[[#This Row],[DATA]],"mmmm")</f>
        <v>janeiro</v>
      </c>
      <c r="C288" s="2"/>
      <c r="D288" s="2"/>
      <c r="E288" s="2"/>
      <c r="F288" s="2"/>
      <c r="G288" s="173"/>
      <c r="H288" s="174"/>
      <c r="I288" s="173" t="e">
        <f>Tabela22[[#This Row],[PESO TOTAL]]/Tabela22[[#This Row],[QUANTIDADE]]</f>
        <v>#DIV/0!</v>
      </c>
      <c r="J288" s="2"/>
      <c r="K288" s="193"/>
      <c r="L288" s="8"/>
      <c r="M288" s="8"/>
      <c r="N288" s="8"/>
      <c r="O288" s="194"/>
      <c r="P288" s="195"/>
    </row>
    <row r="289" spans="1:16">
      <c r="A289" s="3"/>
      <c r="B289" s="3" t="str">
        <f>TEXT(Tabela223456[[#This Row],[DATA]],"mmmm")</f>
        <v>janeiro</v>
      </c>
      <c r="C289" s="2"/>
      <c r="D289" s="2"/>
      <c r="E289" s="2"/>
      <c r="F289" s="2"/>
      <c r="G289" s="173"/>
      <c r="H289" s="174"/>
      <c r="I289" s="173" t="e">
        <f>Tabela22[[#This Row],[PESO TOTAL]]/Tabela22[[#This Row],[QUANTIDADE]]</f>
        <v>#DIV/0!</v>
      </c>
      <c r="J289" s="2"/>
      <c r="K289" s="193"/>
      <c r="L289" s="8"/>
      <c r="M289" s="8"/>
      <c r="N289" s="8"/>
      <c r="O289" s="194"/>
      <c r="P289" s="195"/>
    </row>
    <row r="290" spans="1:16">
      <c r="A290" s="3"/>
      <c r="B290" s="3" t="str">
        <f>TEXT(Tabela223456[[#This Row],[DATA]],"mmmm")</f>
        <v>janeiro</v>
      </c>
      <c r="C290" s="2"/>
      <c r="D290" s="2"/>
      <c r="E290" s="2"/>
      <c r="F290" s="2"/>
      <c r="G290" s="173"/>
      <c r="H290" s="174"/>
      <c r="I290" s="173" t="e">
        <f>Tabela22[[#This Row],[PESO TOTAL]]/Tabela22[[#This Row],[QUANTIDADE]]</f>
        <v>#DIV/0!</v>
      </c>
      <c r="J290" s="2"/>
      <c r="K290" s="193"/>
      <c r="L290" s="8"/>
      <c r="M290" s="8"/>
      <c r="N290" s="8"/>
      <c r="O290" s="194"/>
      <c r="P290" s="195"/>
    </row>
    <row r="291" spans="1:16">
      <c r="A291" s="3"/>
      <c r="B291" s="3" t="str">
        <f>TEXT(Tabela223456[[#This Row],[DATA]],"mmmm")</f>
        <v>janeiro</v>
      </c>
      <c r="C291" s="2"/>
      <c r="D291" s="2"/>
      <c r="E291" s="2"/>
      <c r="F291" s="2"/>
      <c r="G291" s="173"/>
      <c r="H291" s="174"/>
      <c r="I291" s="173" t="e">
        <f>Tabela22[[#This Row],[PESO TOTAL]]/Tabela22[[#This Row],[QUANTIDADE]]</f>
        <v>#DIV/0!</v>
      </c>
      <c r="J291" s="2"/>
      <c r="K291" s="193"/>
      <c r="L291" s="8"/>
      <c r="M291" s="8"/>
      <c r="N291" s="8"/>
      <c r="O291" s="194"/>
      <c r="P291" s="195"/>
    </row>
    <row r="292" spans="1:16">
      <c r="A292" s="3"/>
      <c r="B292" s="3" t="str">
        <f>TEXT(Tabela223456[[#This Row],[DATA]],"mmmm")</f>
        <v>janeiro</v>
      </c>
      <c r="C292" s="2"/>
      <c r="D292" s="2"/>
      <c r="E292" s="2"/>
      <c r="F292" s="2"/>
      <c r="G292" s="173"/>
      <c r="H292" s="174"/>
      <c r="I292" s="173" t="e">
        <f>Tabela22[[#This Row],[PESO TOTAL]]/Tabela22[[#This Row],[QUANTIDADE]]</f>
        <v>#DIV/0!</v>
      </c>
      <c r="J292" s="2"/>
      <c r="K292" s="193"/>
      <c r="L292" s="8"/>
      <c r="M292" s="8"/>
      <c r="N292" s="8"/>
      <c r="O292" s="194"/>
      <c r="P292" s="195"/>
    </row>
    <row r="293" spans="1:16">
      <c r="A293" s="3"/>
      <c r="B293" s="3" t="str">
        <f>TEXT(Tabela223456[[#This Row],[DATA]],"mmmm")</f>
        <v>janeiro</v>
      </c>
      <c r="C293" s="2"/>
      <c r="D293" s="2"/>
      <c r="E293" s="2"/>
      <c r="F293" s="2"/>
      <c r="G293" s="173"/>
      <c r="H293" s="174"/>
      <c r="I293" s="173" t="e">
        <f>Tabela22[[#This Row],[PESO TOTAL]]/Tabela22[[#This Row],[QUANTIDADE]]</f>
        <v>#DIV/0!</v>
      </c>
      <c r="J293" s="2"/>
      <c r="K293" s="193"/>
      <c r="L293" s="8"/>
      <c r="M293" s="8"/>
      <c r="N293" s="8"/>
      <c r="O293" s="194"/>
      <c r="P293" s="195"/>
    </row>
    <row r="294" spans="1:16">
      <c r="A294" s="3"/>
      <c r="B294" s="3" t="str">
        <f>TEXT(Tabela223456[[#This Row],[DATA]],"mmmm")</f>
        <v>janeiro</v>
      </c>
      <c r="C294" s="2"/>
      <c r="D294" s="2"/>
      <c r="E294" s="2"/>
      <c r="F294" s="2"/>
      <c r="G294" s="173"/>
      <c r="H294" s="174"/>
      <c r="I294" s="173" t="e">
        <f>Tabela22[[#This Row],[PESO TOTAL]]/Tabela22[[#This Row],[QUANTIDADE]]</f>
        <v>#DIV/0!</v>
      </c>
      <c r="J294" s="2"/>
      <c r="K294" s="193"/>
      <c r="L294" s="8"/>
      <c r="M294" s="8"/>
      <c r="N294" s="8"/>
      <c r="O294" s="194"/>
      <c r="P294" s="195"/>
    </row>
    <row r="295" spans="1:16">
      <c r="A295" s="3"/>
      <c r="B295" s="3" t="str">
        <f>TEXT(Tabela223456[[#This Row],[DATA]],"mmmm")</f>
        <v>janeiro</v>
      </c>
      <c r="C295" s="2"/>
      <c r="D295" s="2"/>
      <c r="E295" s="2"/>
      <c r="F295" s="2"/>
      <c r="G295" s="173"/>
      <c r="H295" s="174"/>
      <c r="I295" s="173" t="e">
        <f>Tabela22[[#This Row],[PESO TOTAL]]/Tabela22[[#This Row],[QUANTIDADE]]</f>
        <v>#DIV/0!</v>
      </c>
      <c r="J295" s="2"/>
      <c r="K295" s="193"/>
      <c r="L295" s="8"/>
      <c r="M295" s="8"/>
      <c r="N295" s="8"/>
      <c r="O295" s="194"/>
      <c r="P295" s="195"/>
    </row>
    <row r="296" spans="1:16">
      <c r="A296" s="3"/>
      <c r="B296" s="3" t="str">
        <f>TEXT(Tabela223456[[#This Row],[DATA]],"mmmm")</f>
        <v>janeiro</v>
      </c>
      <c r="C296" s="2"/>
      <c r="D296" s="2"/>
      <c r="E296" s="2"/>
      <c r="F296" s="2"/>
      <c r="G296" s="173"/>
      <c r="H296" s="174"/>
      <c r="I296" s="173" t="e">
        <f>Tabela22[[#This Row],[PESO TOTAL]]/Tabela22[[#This Row],[QUANTIDADE]]</f>
        <v>#DIV/0!</v>
      </c>
      <c r="J296" s="2"/>
      <c r="K296" s="193"/>
      <c r="L296" s="8"/>
      <c r="M296" s="8"/>
      <c r="N296" s="8"/>
      <c r="O296" s="194"/>
      <c r="P296" s="195"/>
    </row>
    <row r="297" spans="1:16">
      <c r="A297" s="3"/>
      <c r="B297" s="3" t="str">
        <f>TEXT(Tabela223456[[#This Row],[DATA]],"mmmm")</f>
        <v>janeiro</v>
      </c>
      <c r="C297" s="2"/>
      <c r="D297" s="2"/>
      <c r="E297" s="2"/>
      <c r="F297" s="2"/>
      <c r="G297" s="173"/>
      <c r="H297" s="174"/>
      <c r="I297" s="173" t="e">
        <f>Tabela22[[#This Row],[PESO TOTAL]]/Tabela22[[#This Row],[QUANTIDADE]]</f>
        <v>#DIV/0!</v>
      </c>
      <c r="J297" s="2"/>
      <c r="K297" s="193"/>
      <c r="L297" s="8"/>
      <c r="M297" s="8"/>
      <c r="N297" s="8"/>
      <c r="O297" s="194"/>
      <c r="P297" s="195"/>
    </row>
    <row r="298" spans="1:16">
      <c r="A298" s="3"/>
      <c r="B298" s="3" t="str">
        <f>TEXT(Tabela223456[[#This Row],[DATA]],"mmmm")</f>
        <v>janeiro</v>
      </c>
      <c r="C298" s="2"/>
      <c r="D298" s="2"/>
      <c r="E298" s="2"/>
      <c r="F298" s="2"/>
      <c r="G298" s="173"/>
      <c r="H298" s="174"/>
      <c r="I298" s="173" t="e">
        <f>Tabela22[[#This Row],[PESO TOTAL]]/Tabela22[[#This Row],[QUANTIDADE]]</f>
        <v>#DIV/0!</v>
      </c>
      <c r="J298" s="2"/>
      <c r="K298" s="193"/>
      <c r="L298" s="8"/>
      <c r="M298" s="8"/>
      <c r="N298" s="8"/>
      <c r="O298" s="194"/>
      <c r="P298" s="195"/>
    </row>
    <row r="299" spans="1:16">
      <c r="A299" s="3"/>
      <c r="B299" s="3" t="str">
        <f>TEXT(Tabela223456[[#This Row],[DATA]],"mmmm")</f>
        <v>janeiro</v>
      </c>
      <c r="C299" s="2"/>
      <c r="D299" s="2"/>
      <c r="E299" s="2"/>
      <c r="F299" s="2"/>
      <c r="G299" s="173"/>
      <c r="H299" s="174"/>
      <c r="I299" s="173" t="e">
        <f>Tabela22[[#This Row],[PESO TOTAL]]/Tabela22[[#This Row],[QUANTIDADE]]</f>
        <v>#DIV/0!</v>
      </c>
      <c r="J299" s="2"/>
      <c r="K299" s="193"/>
      <c r="L299" s="8"/>
      <c r="M299" s="8"/>
      <c r="N299" s="8"/>
      <c r="O299" s="194"/>
      <c r="P299" s="195"/>
    </row>
    <row r="300" spans="1:16">
      <c r="A300" s="3"/>
      <c r="B300" s="3" t="str">
        <f>TEXT(Tabela223456[[#This Row],[DATA]],"mmmm")</f>
        <v>janeiro</v>
      </c>
      <c r="C300" s="2"/>
      <c r="D300" s="2"/>
      <c r="E300" s="2"/>
      <c r="F300" s="2"/>
      <c r="G300" s="173"/>
      <c r="H300" s="174"/>
      <c r="I300" s="173" t="e">
        <f>Tabela22[[#This Row],[PESO TOTAL]]/Tabela22[[#This Row],[QUANTIDADE]]</f>
        <v>#DIV/0!</v>
      </c>
      <c r="J300" s="2"/>
      <c r="K300" s="193"/>
      <c r="L300" s="8"/>
      <c r="M300" s="8"/>
      <c r="N300" s="8"/>
      <c r="O300" s="194"/>
      <c r="P300" s="195"/>
    </row>
    <row r="301" spans="1:16">
      <c r="A301" s="3"/>
      <c r="B301" s="3" t="str">
        <f>TEXT(Tabela223456[[#This Row],[DATA]],"mmmm")</f>
        <v>janeiro</v>
      </c>
      <c r="C301" s="2"/>
      <c r="D301" s="2"/>
      <c r="E301" s="2"/>
      <c r="F301" s="2"/>
      <c r="G301" s="173"/>
      <c r="H301" s="174"/>
      <c r="I301" s="173" t="e">
        <f>Tabela22[[#This Row],[PESO TOTAL]]/Tabela22[[#This Row],[QUANTIDADE]]</f>
        <v>#DIV/0!</v>
      </c>
      <c r="J301" s="2"/>
      <c r="K301" s="193"/>
      <c r="L301" s="8"/>
      <c r="M301" s="8"/>
      <c r="N301" s="8"/>
      <c r="O301" s="194"/>
      <c r="P301" s="195"/>
    </row>
    <row r="302" spans="1:16">
      <c r="A302" s="3"/>
      <c r="B302" s="3" t="str">
        <f>TEXT(Tabela223456[[#This Row],[DATA]],"mmmm")</f>
        <v>janeiro</v>
      </c>
      <c r="C302" s="2"/>
      <c r="D302" s="2"/>
      <c r="E302" s="2"/>
      <c r="F302" s="2"/>
      <c r="G302" s="173"/>
      <c r="H302" s="174"/>
      <c r="I302" s="173" t="e">
        <f>Tabela22[[#This Row],[PESO TOTAL]]/Tabela22[[#This Row],[QUANTIDADE]]</f>
        <v>#DIV/0!</v>
      </c>
      <c r="J302" s="2"/>
      <c r="K302" s="193"/>
      <c r="L302" s="8"/>
      <c r="M302" s="8"/>
      <c r="N302" s="8"/>
      <c r="O302" s="194"/>
      <c r="P302" s="195"/>
    </row>
    <row r="303" spans="1:16">
      <c r="A303" s="3"/>
      <c r="B303" s="3" t="str">
        <f>TEXT(Tabela223456[[#This Row],[DATA]],"mmmm")</f>
        <v>janeiro</v>
      </c>
      <c r="C303" s="2"/>
      <c r="D303" s="2"/>
      <c r="E303" s="2"/>
      <c r="F303" s="2"/>
      <c r="G303" s="173"/>
      <c r="H303" s="174"/>
      <c r="I303" s="173" t="e">
        <f>Tabela22[[#This Row],[PESO TOTAL]]/Tabela22[[#This Row],[QUANTIDADE]]</f>
        <v>#DIV/0!</v>
      </c>
      <c r="J303" s="2"/>
      <c r="K303" s="193"/>
      <c r="L303" s="8"/>
      <c r="M303" s="8"/>
      <c r="N303" s="8"/>
      <c r="O303" s="194"/>
      <c r="P303" s="195"/>
    </row>
    <row r="304" spans="1:16">
      <c r="A304" s="3"/>
      <c r="B304" s="3" t="str">
        <f>TEXT(Tabela223456[[#This Row],[DATA]],"mmmm")</f>
        <v>janeiro</v>
      </c>
      <c r="C304" s="2"/>
      <c r="D304" s="2"/>
      <c r="E304" s="2"/>
      <c r="F304" s="2"/>
      <c r="G304" s="173"/>
      <c r="H304" s="174"/>
      <c r="I304" s="173" t="e">
        <f>Tabela22[[#This Row],[PESO TOTAL]]/Tabela22[[#This Row],[QUANTIDADE]]</f>
        <v>#DIV/0!</v>
      </c>
      <c r="J304" s="2"/>
      <c r="K304" s="193"/>
      <c r="L304" s="8"/>
      <c r="M304" s="8"/>
      <c r="N304" s="8"/>
      <c r="O304" s="194"/>
      <c r="P304" s="195"/>
    </row>
    <row r="305" spans="1:16">
      <c r="A305" s="3"/>
      <c r="B305" s="3" t="str">
        <f>TEXT(Tabela223456[[#This Row],[DATA]],"mmmm")</f>
        <v>janeiro</v>
      </c>
      <c r="C305" s="2"/>
      <c r="D305" s="2"/>
      <c r="E305" s="2"/>
      <c r="F305" s="2"/>
      <c r="G305" s="173"/>
      <c r="H305" s="174"/>
      <c r="I305" s="173" t="e">
        <f>Tabela22[[#This Row],[PESO TOTAL]]/Tabela22[[#This Row],[QUANTIDADE]]</f>
        <v>#DIV/0!</v>
      </c>
      <c r="J305" s="2"/>
      <c r="K305" s="193"/>
      <c r="L305" s="8"/>
      <c r="M305" s="8"/>
      <c r="N305" s="8"/>
      <c r="O305" s="194"/>
      <c r="P305" s="195"/>
    </row>
    <row r="306" spans="1:16">
      <c r="A306" s="3"/>
      <c r="B306" s="3" t="str">
        <f>TEXT(Tabela223456[[#This Row],[DATA]],"mmmm")</f>
        <v>janeiro</v>
      </c>
      <c r="C306" s="2"/>
      <c r="D306" s="2"/>
      <c r="E306" s="2"/>
      <c r="F306" s="2"/>
      <c r="G306" s="173"/>
      <c r="H306" s="174"/>
      <c r="I306" s="173" t="e">
        <f>Tabela22[[#This Row],[PESO TOTAL]]/Tabela22[[#This Row],[QUANTIDADE]]</f>
        <v>#DIV/0!</v>
      </c>
      <c r="J306" s="2"/>
      <c r="K306" s="193"/>
      <c r="L306" s="8"/>
      <c r="M306" s="8"/>
      <c r="N306" s="8"/>
      <c r="O306" s="194"/>
      <c r="P306" s="195"/>
    </row>
    <row r="307" spans="1:16">
      <c r="A307" s="3"/>
      <c r="B307" s="3" t="str">
        <f>TEXT(Tabela223456[[#This Row],[DATA]],"mmmm")</f>
        <v>janeiro</v>
      </c>
      <c r="C307" s="2"/>
      <c r="D307" s="2"/>
      <c r="E307" s="2"/>
      <c r="F307" s="2"/>
      <c r="G307" s="173"/>
      <c r="H307" s="174"/>
      <c r="I307" s="173" t="e">
        <f>Tabela22[[#This Row],[PESO TOTAL]]/Tabela22[[#This Row],[QUANTIDADE]]</f>
        <v>#DIV/0!</v>
      </c>
      <c r="J307" s="2"/>
      <c r="K307" s="193"/>
      <c r="L307" s="8"/>
      <c r="M307" s="8"/>
      <c r="N307" s="8"/>
      <c r="O307" s="194"/>
      <c r="P307" s="195"/>
    </row>
    <row r="308" spans="1:16">
      <c r="A308" s="3"/>
      <c r="B308" s="3" t="str">
        <f>TEXT(Tabela223456[[#This Row],[DATA]],"mmmm")</f>
        <v>janeiro</v>
      </c>
      <c r="C308" s="2"/>
      <c r="D308" s="2"/>
      <c r="E308" s="2"/>
      <c r="F308" s="2"/>
      <c r="G308" s="173"/>
      <c r="H308" s="174"/>
      <c r="I308" s="173" t="e">
        <f>Tabela22[[#This Row],[PESO TOTAL]]/Tabela22[[#This Row],[QUANTIDADE]]</f>
        <v>#DIV/0!</v>
      </c>
      <c r="J308" s="2"/>
      <c r="K308" s="193"/>
      <c r="L308" s="8"/>
      <c r="M308" s="8"/>
      <c r="N308" s="8"/>
      <c r="O308" s="194"/>
      <c r="P308" s="195"/>
    </row>
    <row r="309" spans="1:16">
      <c r="A309" s="3"/>
      <c r="B309" s="3" t="str">
        <f>TEXT(Tabela223456[[#This Row],[DATA]],"mmmm")</f>
        <v>janeiro</v>
      </c>
      <c r="C309" s="2"/>
      <c r="D309" s="2"/>
      <c r="E309" s="2"/>
      <c r="F309" s="2"/>
      <c r="G309" s="173"/>
      <c r="H309" s="174"/>
      <c r="I309" s="173" t="e">
        <f>Tabela22[[#This Row],[PESO TOTAL]]/Tabela22[[#This Row],[QUANTIDADE]]</f>
        <v>#DIV/0!</v>
      </c>
      <c r="J309" s="2"/>
      <c r="K309" s="193"/>
      <c r="L309" s="8"/>
      <c r="M309" s="8"/>
      <c r="N309" s="8"/>
      <c r="O309" s="194"/>
      <c r="P309" s="195"/>
    </row>
    <row r="310" spans="1:16">
      <c r="A310" s="3"/>
      <c r="B310" s="3" t="str">
        <f>TEXT(Tabela223456[[#This Row],[DATA]],"mmmm")</f>
        <v>janeiro</v>
      </c>
      <c r="C310" s="2"/>
      <c r="D310" s="2"/>
      <c r="E310" s="2"/>
      <c r="F310" s="2"/>
      <c r="G310" s="173"/>
      <c r="H310" s="174"/>
      <c r="I310" s="173" t="e">
        <f>Tabela22[[#This Row],[PESO TOTAL]]/Tabela22[[#This Row],[QUANTIDADE]]</f>
        <v>#DIV/0!</v>
      </c>
      <c r="J310" s="2"/>
      <c r="K310" s="193"/>
      <c r="L310" s="8"/>
      <c r="M310" s="8"/>
      <c r="N310" s="8"/>
      <c r="O310" s="194"/>
      <c r="P310" s="195"/>
    </row>
    <row r="311" spans="1:16">
      <c r="A311" s="3"/>
      <c r="B311" s="3" t="str">
        <f>TEXT(Tabela223456[[#This Row],[DATA]],"mmmm")</f>
        <v>janeiro</v>
      </c>
      <c r="C311" s="2"/>
      <c r="D311" s="2"/>
      <c r="E311" s="2"/>
      <c r="F311" s="2"/>
      <c r="G311" s="173"/>
      <c r="H311" s="174"/>
      <c r="I311" s="173" t="e">
        <f>Tabela22[[#This Row],[PESO TOTAL]]/Tabela22[[#This Row],[QUANTIDADE]]</f>
        <v>#DIV/0!</v>
      </c>
      <c r="J311" s="2"/>
      <c r="K311" s="193"/>
      <c r="L311" s="8"/>
      <c r="M311" s="8"/>
      <c r="N311" s="8"/>
      <c r="O311" s="194"/>
      <c r="P311" s="195"/>
    </row>
    <row r="312" spans="1:16">
      <c r="A312" s="3"/>
      <c r="B312" s="3" t="str">
        <f>TEXT(Tabela223456[[#This Row],[DATA]],"mmmm")</f>
        <v>janeiro</v>
      </c>
      <c r="C312" s="2"/>
      <c r="D312" s="2"/>
      <c r="E312" s="2"/>
      <c r="F312" s="2"/>
      <c r="G312" s="173"/>
      <c r="H312" s="174"/>
      <c r="I312" s="173" t="e">
        <f>Tabela22[[#This Row],[PESO TOTAL]]/Tabela22[[#This Row],[QUANTIDADE]]</f>
        <v>#DIV/0!</v>
      </c>
      <c r="J312" s="2"/>
      <c r="K312" s="193"/>
      <c r="L312" s="8"/>
      <c r="M312" s="8"/>
      <c r="N312" s="8"/>
      <c r="O312" s="194"/>
      <c r="P312" s="195"/>
    </row>
    <row r="313" spans="1:16">
      <c r="A313" s="3"/>
      <c r="B313" s="3" t="str">
        <f>TEXT(Tabela223456[[#This Row],[DATA]],"mmmm")</f>
        <v>janeiro</v>
      </c>
      <c r="C313" s="2"/>
      <c r="D313" s="2"/>
      <c r="E313" s="2"/>
      <c r="F313" s="2"/>
      <c r="G313" s="173"/>
      <c r="H313" s="174"/>
      <c r="I313" s="173" t="e">
        <f>Tabela22[[#This Row],[PESO TOTAL]]/Tabela22[[#This Row],[QUANTIDADE]]</f>
        <v>#DIV/0!</v>
      </c>
      <c r="J313" s="2"/>
      <c r="K313" s="193"/>
      <c r="L313" s="8"/>
      <c r="M313" s="8"/>
      <c r="N313" s="8"/>
      <c r="O313" s="194"/>
      <c r="P313" s="195"/>
    </row>
    <row r="314" spans="1:16">
      <c r="A314" s="3"/>
      <c r="B314" s="3" t="str">
        <f>TEXT(Tabela223456[[#This Row],[DATA]],"mmmm")</f>
        <v>janeiro</v>
      </c>
      <c r="C314" s="2"/>
      <c r="D314" s="2"/>
      <c r="E314" s="2"/>
      <c r="F314" s="2"/>
      <c r="G314" s="173"/>
      <c r="H314" s="174"/>
      <c r="I314" s="173" t="e">
        <f>Tabela22[[#This Row],[PESO TOTAL]]/Tabela22[[#This Row],[QUANTIDADE]]</f>
        <v>#DIV/0!</v>
      </c>
      <c r="J314" s="2"/>
      <c r="K314" s="193"/>
      <c r="L314" s="8"/>
      <c r="M314" s="8"/>
      <c r="N314" s="8"/>
      <c r="O314" s="194"/>
      <c r="P314" s="195"/>
    </row>
    <row r="315" spans="1:16">
      <c r="A315" s="3"/>
      <c r="B315" s="3" t="str">
        <f>TEXT(Tabela223456[[#This Row],[DATA]],"mmmm")</f>
        <v>janeiro</v>
      </c>
      <c r="C315" s="2"/>
      <c r="D315" s="2"/>
      <c r="E315" s="2"/>
      <c r="F315" s="2"/>
      <c r="G315" s="173"/>
      <c r="H315" s="174"/>
      <c r="I315" s="173" t="e">
        <f>Tabela22[[#This Row],[PESO TOTAL]]/Tabela22[[#This Row],[QUANTIDADE]]</f>
        <v>#DIV/0!</v>
      </c>
      <c r="J315" s="2"/>
      <c r="K315" s="193"/>
      <c r="L315" s="8"/>
      <c r="M315" s="8"/>
      <c r="N315" s="8"/>
      <c r="O315" s="194"/>
      <c r="P315" s="195"/>
    </row>
    <row r="316" spans="1:16">
      <c r="A316" s="3"/>
      <c r="B316" s="3" t="str">
        <f>TEXT(Tabela223456[[#This Row],[DATA]],"mmmm")</f>
        <v>janeiro</v>
      </c>
      <c r="C316" s="2"/>
      <c r="D316" s="2"/>
      <c r="E316" s="2"/>
      <c r="F316" s="2"/>
      <c r="G316" s="173"/>
      <c r="H316" s="174"/>
      <c r="I316" s="173" t="e">
        <f>Tabela22[[#This Row],[PESO TOTAL]]/Tabela22[[#This Row],[QUANTIDADE]]</f>
        <v>#DIV/0!</v>
      </c>
      <c r="J316" s="2"/>
      <c r="K316" s="193"/>
      <c r="L316" s="8"/>
      <c r="M316" s="8"/>
      <c r="N316" s="8"/>
      <c r="O316" s="194"/>
      <c r="P316" s="195"/>
    </row>
    <row r="317" spans="1:16">
      <c r="A317" s="3"/>
      <c r="B317" s="3" t="str">
        <f>TEXT(Tabela223456[[#This Row],[DATA]],"mmmm")</f>
        <v>janeiro</v>
      </c>
      <c r="C317" s="2"/>
      <c r="D317" s="2"/>
      <c r="E317" s="2"/>
      <c r="F317" s="2"/>
      <c r="G317" s="173"/>
      <c r="H317" s="174"/>
      <c r="I317" s="173" t="e">
        <f>Tabela22[[#This Row],[PESO TOTAL]]/Tabela22[[#This Row],[QUANTIDADE]]</f>
        <v>#DIV/0!</v>
      </c>
      <c r="J317" s="2"/>
      <c r="K317" s="193"/>
      <c r="L317" s="8"/>
      <c r="M317" s="8"/>
      <c r="N317" s="8"/>
      <c r="O317" s="194"/>
      <c r="P317" s="195"/>
    </row>
    <row r="318" spans="1:16">
      <c r="A318" s="3"/>
      <c r="B318" s="3" t="str">
        <f>TEXT(Tabela223456[[#This Row],[DATA]],"mmmm")</f>
        <v>janeiro</v>
      </c>
      <c r="C318" s="2"/>
      <c r="D318" s="2"/>
      <c r="E318" s="2"/>
      <c r="F318" s="2"/>
      <c r="G318" s="173"/>
      <c r="H318" s="174"/>
      <c r="I318" s="173" t="e">
        <f>Tabela22[[#This Row],[PESO TOTAL]]/Tabela22[[#This Row],[QUANTIDADE]]</f>
        <v>#DIV/0!</v>
      </c>
      <c r="J318" s="2"/>
      <c r="K318" s="193"/>
      <c r="L318" s="8"/>
      <c r="M318" s="8"/>
      <c r="N318" s="8"/>
      <c r="O318" s="194"/>
      <c r="P318" s="195"/>
    </row>
    <row r="319" spans="1:16">
      <c r="A319" s="3"/>
      <c r="B319" s="3" t="str">
        <f>TEXT(Tabela223456[[#This Row],[DATA]],"mmmm")</f>
        <v>janeiro</v>
      </c>
      <c r="C319" s="2"/>
      <c r="D319" s="2"/>
      <c r="E319" s="2"/>
      <c r="F319" s="2"/>
      <c r="G319" s="173"/>
      <c r="H319" s="174"/>
      <c r="I319" s="173" t="e">
        <f>Tabela22[[#This Row],[PESO TOTAL]]/Tabela22[[#This Row],[QUANTIDADE]]</f>
        <v>#DIV/0!</v>
      </c>
      <c r="J319" s="2"/>
      <c r="K319" s="193"/>
      <c r="L319" s="8"/>
      <c r="M319" s="8"/>
      <c r="N319" s="8"/>
      <c r="O319" s="194"/>
      <c r="P319" s="195"/>
    </row>
    <row r="320" spans="1:16">
      <c r="A320" s="3"/>
      <c r="B320" s="3" t="str">
        <f>TEXT(Tabela223456[[#This Row],[DATA]],"mmmm")</f>
        <v>janeiro</v>
      </c>
      <c r="C320" s="2"/>
      <c r="D320" s="2"/>
      <c r="E320" s="2"/>
      <c r="F320" s="2"/>
      <c r="G320" s="173"/>
      <c r="H320" s="174"/>
      <c r="I320" s="173" t="e">
        <f>Tabela22[[#This Row],[PESO TOTAL]]/Tabela22[[#This Row],[QUANTIDADE]]</f>
        <v>#DIV/0!</v>
      </c>
      <c r="J320" s="2"/>
      <c r="K320" s="193"/>
      <c r="L320" s="8"/>
      <c r="M320" s="8"/>
      <c r="N320" s="8"/>
      <c r="O320" s="194"/>
      <c r="P320" s="195"/>
    </row>
    <row r="321" spans="1:16">
      <c r="A321" s="3"/>
      <c r="B321" s="3" t="str">
        <f>TEXT(Tabela223456[[#This Row],[DATA]],"mmmm")</f>
        <v>janeiro</v>
      </c>
      <c r="C321" s="2"/>
      <c r="D321" s="2"/>
      <c r="E321" s="2"/>
      <c r="F321" s="2"/>
      <c r="G321" s="173"/>
      <c r="H321" s="174"/>
      <c r="I321" s="173" t="e">
        <f>Tabela22[[#This Row],[PESO TOTAL]]/Tabela22[[#This Row],[QUANTIDADE]]</f>
        <v>#DIV/0!</v>
      </c>
      <c r="J321" s="2"/>
      <c r="K321" s="193"/>
      <c r="L321" s="8"/>
      <c r="M321" s="8"/>
      <c r="N321" s="8"/>
      <c r="O321" s="194"/>
      <c r="P321" s="195"/>
    </row>
    <row r="322" spans="1:16">
      <c r="A322" s="3"/>
      <c r="B322" s="3" t="str">
        <f>TEXT(Tabela223456[[#This Row],[DATA]],"mmmm")</f>
        <v>janeiro</v>
      </c>
      <c r="C322" s="2"/>
      <c r="D322" s="2"/>
      <c r="E322" s="2"/>
      <c r="F322" s="2"/>
      <c r="G322" s="173"/>
      <c r="H322" s="174"/>
      <c r="I322" s="173" t="e">
        <f>Tabela22[[#This Row],[PESO TOTAL]]/Tabela22[[#This Row],[QUANTIDADE]]</f>
        <v>#DIV/0!</v>
      </c>
      <c r="J322" s="2"/>
      <c r="K322" s="193"/>
      <c r="L322" s="8"/>
      <c r="M322" s="8"/>
      <c r="N322" s="8"/>
      <c r="O322" s="194"/>
      <c r="P322" s="195"/>
    </row>
    <row r="323" spans="1:16">
      <c r="A323" s="3"/>
      <c r="B323" s="3" t="str">
        <f>TEXT(Tabela223456[[#This Row],[DATA]],"mmmm")</f>
        <v>janeiro</v>
      </c>
      <c r="C323" s="2"/>
      <c r="D323" s="2"/>
      <c r="E323" s="2"/>
      <c r="F323" s="2"/>
      <c r="G323" s="173"/>
      <c r="H323" s="174"/>
      <c r="I323" s="173" t="e">
        <f>Tabela22[[#This Row],[PESO TOTAL]]/Tabela22[[#This Row],[QUANTIDADE]]</f>
        <v>#DIV/0!</v>
      </c>
      <c r="J323" s="2"/>
      <c r="K323" s="193"/>
      <c r="L323" s="8"/>
      <c r="M323" s="8"/>
      <c r="N323" s="8"/>
      <c r="O323" s="194"/>
      <c r="P323" s="195"/>
    </row>
    <row r="324" spans="1:16">
      <c r="A324" s="3"/>
      <c r="B324" s="3" t="str">
        <f>TEXT(Tabela223456[[#This Row],[DATA]],"mmmm")</f>
        <v>janeiro</v>
      </c>
      <c r="C324" s="2"/>
      <c r="D324" s="2"/>
      <c r="E324" s="2"/>
      <c r="F324" s="2"/>
      <c r="G324" s="173"/>
      <c r="H324" s="174"/>
      <c r="I324" s="173" t="e">
        <f>Tabela22[[#This Row],[PESO TOTAL]]/Tabela22[[#This Row],[QUANTIDADE]]</f>
        <v>#DIV/0!</v>
      </c>
      <c r="J324" s="2"/>
      <c r="K324" s="193"/>
      <c r="L324" s="8"/>
      <c r="M324" s="8"/>
      <c r="N324" s="8"/>
      <c r="O324" s="194"/>
      <c r="P324" s="195"/>
    </row>
    <row r="325" spans="1:16">
      <c r="A325" s="3"/>
      <c r="B325" s="3" t="str">
        <f>TEXT(Tabela223456[[#This Row],[DATA]],"mmmm")</f>
        <v>janeiro</v>
      </c>
      <c r="C325" s="2"/>
      <c r="D325" s="2"/>
      <c r="E325" s="2"/>
      <c r="F325" s="2"/>
      <c r="G325" s="173"/>
      <c r="H325" s="174"/>
      <c r="I325" s="173" t="e">
        <f>Tabela22[[#This Row],[PESO TOTAL]]/Tabela22[[#This Row],[QUANTIDADE]]</f>
        <v>#DIV/0!</v>
      </c>
      <c r="J325" s="2"/>
      <c r="K325" s="193"/>
      <c r="L325" s="8"/>
      <c r="M325" s="8"/>
      <c r="N325" s="8"/>
      <c r="O325" s="194"/>
      <c r="P325" s="195"/>
    </row>
    <row r="326" spans="1:16">
      <c r="A326" s="3"/>
      <c r="B326" s="3" t="str">
        <f>TEXT(Tabela223456[[#This Row],[DATA]],"mmmm")</f>
        <v>janeiro</v>
      </c>
      <c r="C326" s="2"/>
      <c r="D326" s="2"/>
      <c r="E326" s="2"/>
      <c r="F326" s="2"/>
      <c r="G326" s="173"/>
      <c r="H326" s="174"/>
      <c r="I326" s="173" t="e">
        <f>Tabela22[[#This Row],[PESO TOTAL]]/Tabela22[[#This Row],[QUANTIDADE]]</f>
        <v>#DIV/0!</v>
      </c>
      <c r="J326" s="2"/>
      <c r="K326" s="193"/>
      <c r="L326" s="8"/>
      <c r="M326" s="8"/>
      <c r="N326" s="8"/>
      <c r="O326" s="194"/>
      <c r="P326" s="195"/>
    </row>
    <row r="327" spans="1:16">
      <c r="A327" s="3"/>
      <c r="B327" s="3" t="str">
        <f>TEXT(Tabela223456[[#This Row],[DATA]],"mmmm")</f>
        <v>janeiro</v>
      </c>
      <c r="C327" s="2"/>
      <c r="D327" s="2"/>
      <c r="E327" s="2"/>
      <c r="F327" s="2"/>
      <c r="G327" s="173"/>
      <c r="H327" s="174"/>
      <c r="I327" s="173" t="e">
        <f>Tabela22[[#This Row],[PESO TOTAL]]/Tabela22[[#This Row],[QUANTIDADE]]</f>
        <v>#DIV/0!</v>
      </c>
      <c r="J327" s="2"/>
      <c r="K327" s="193"/>
      <c r="L327" s="8"/>
      <c r="M327" s="8"/>
      <c r="N327" s="8"/>
      <c r="O327" s="194"/>
      <c r="P327" s="195"/>
    </row>
    <row r="328" spans="1:16">
      <c r="A328" s="3"/>
      <c r="B328" s="3" t="str">
        <f>TEXT(Tabela223456[[#This Row],[DATA]],"mmmm")</f>
        <v>janeiro</v>
      </c>
      <c r="C328" s="2"/>
      <c r="D328" s="2"/>
      <c r="E328" s="2"/>
      <c r="F328" s="2"/>
      <c r="G328" s="173"/>
      <c r="H328" s="174"/>
      <c r="I328" s="173" t="e">
        <f>Tabela22[[#This Row],[PESO TOTAL]]/Tabela22[[#This Row],[QUANTIDADE]]</f>
        <v>#DIV/0!</v>
      </c>
      <c r="J328" s="2"/>
      <c r="K328" s="193"/>
      <c r="L328" s="8"/>
      <c r="M328" s="8"/>
      <c r="N328" s="8"/>
      <c r="O328" s="194"/>
      <c r="P328" s="195"/>
    </row>
    <row r="329" spans="1:16">
      <c r="A329" s="3"/>
      <c r="B329" s="3" t="str">
        <f>TEXT(Tabela223456[[#This Row],[DATA]],"mmmm")</f>
        <v>janeiro</v>
      </c>
      <c r="C329" s="2"/>
      <c r="D329" s="2"/>
      <c r="E329" s="2"/>
      <c r="F329" s="2"/>
      <c r="G329" s="173"/>
      <c r="H329" s="174"/>
      <c r="I329" s="173" t="e">
        <f>Tabela22[[#This Row],[PESO TOTAL]]/Tabela22[[#This Row],[QUANTIDADE]]</f>
        <v>#DIV/0!</v>
      </c>
      <c r="J329" s="2"/>
      <c r="K329" s="193"/>
      <c r="L329" s="8"/>
      <c r="M329" s="8"/>
      <c r="N329" s="8"/>
      <c r="O329" s="194"/>
      <c r="P329" s="195"/>
    </row>
    <row r="330" spans="1:16">
      <c r="A330" s="3"/>
      <c r="B330" s="3" t="str">
        <f>TEXT(Tabela223456[[#This Row],[DATA]],"mmmm")</f>
        <v>janeiro</v>
      </c>
      <c r="C330" s="2"/>
      <c r="D330" s="2"/>
      <c r="E330" s="2"/>
      <c r="F330" s="2"/>
      <c r="G330" s="173"/>
      <c r="H330" s="174"/>
      <c r="I330" s="173" t="e">
        <f>Tabela22[[#This Row],[PESO TOTAL]]/Tabela22[[#This Row],[QUANTIDADE]]</f>
        <v>#DIV/0!</v>
      </c>
      <c r="J330" s="2"/>
      <c r="K330" s="193"/>
      <c r="L330" s="8"/>
      <c r="M330" s="8"/>
      <c r="N330" s="8"/>
      <c r="O330" s="194"/>
      <c r="P330" s="195"/>
    </row>
    <row r="331" spans="1:16">
      <c r="A331" s="3"/>
      <c r="B331" s="3" t="str">
        <f>TEXT(Tabela223456[[#This Row],[DATA]],"mmmm")</f>
        <v>janeiro</v>
      </c>
      <c r="C331" s="2"/>
      <c r="D331" s="2"/>
      <c r="E331" s="2"/>
      <c r="F331" s="2"/>
      <c r="G331" s="173"/>
      <c r="H331" s="174"/>
      <c r="I331" s="173" t="e">
        <f>Tabela22[[#This Row],[PESO TOTAL]]/Tabela22[[#This Row],[QUANTIDADE]]</f>
        <v>#DIV/0!</v>
      </c>
      <c r="J331" s="2"/>
      <c r="K331" s="193"/>
      <c r="L331" s="8"/>
      <c r="M331" s="8"/>
      <c r="N331" s="8"/>
      <c r="O331" s="194"/>
      <c r="P331" s="195"/>
    </row>
    <row r="332" spans="1:16">
      <c r="A332" s="3"/>
      <c r="B332" s="3" t="str">
        <f>TEXT(Tabela223456[[#This Row],[DATA]],"mmmm")</f>
        <v>janeiro</v>
      </c>
      <c r="C332" s="2"/>
      <c r="D332" s="2"/>
      <c r="E332" s="2"/>
      <c r="F332" s="2"/>
      <c r="G332" s="173"/>
      <c r="H332" s="174"/>
      <c r="I332" s="173" t="e">
        <f>Tabela22[[#This Row],[PESO TOTAL]]/Tabela22[[#This Row],[QUANTIDADE]]</f>
        <v>#DIV/0!</v>
      </c>
      <c r="J332" s="2"/>
      <c r="K332" s="193"/>
      <c r="L332" s="8"/>
      <c r="M332" s="8"/>
      <c r="N332" s="8"/>
      <c r="O332" s="194"/>
      <c r="P332" s="195"/>
    </row>
    <row r="333" spans="1:16">
      <c r="A333" s="3"/>
      <c r="B333" s="3" t="str">
        <f>TEXT(Tabela223456[[#This Row],[DATA]],"mmmm")</f>
        <v>janeiro</v>
      </c>
      <c r="C333" s="2"/>
      <c r="D333" s="2"/>
      <c r="E333" s="2"/>
      <c r="F333" s="2"/>
      <c r="G333" s="173"/>
      <c r="H333" s="174"/>
      <c r="I333" s="173" t="e">
        <f>Tabela22[[#This Row],[PESO TOTAL]]/Tabela22[[#This Row],[QUANTIDADE]]</f>
        <v>#DIV/0!</v>
      </c>
      <c r="J333" s="2"/>
      <c r="K333" s="193"/>
      <c r="L333" s="8"/>
      <c r="M333" s="8"/>
      <c r="N333" s="8"/>
      <c r="O333" s="194"/>
      <c r="P333" s="195"/>
    </row>
    <row r="334" spans="1:16">
      <c r="A334" s="3"/>
      <c r="B334" s="3" t="str">
        <f>TEXT(Tabela223456[[#This Row],[DATA]],"mmmm")</f>
        <v>janeiro</v>
      </c>
      <c r="C334" s="2"/>
      <c r="D334" s="2"/>
      <c r="E334" s="2"/>
      <c r="F334" s="2"/>
      <c r="G334" s="173"/>
      <c r="H334" s="174"/>
      <c r="I334" s="173" t="e">
        <f>Tabela22[[#This Row],[PESO TOTAL]]/Tabela22[[#This Row],[QUANTIDADE]]</f>
        <v>#DIV/0!</v>
      </c>
      <c r="J334" s="2"/>
      <c r="K334" s="193"/>
      <c r="L334" s="8"/>
      <c r="M334" s="8"/>
      <c r="N334" s="8"/>
      <c r="O334" s="194"/>
      <c r="P334" s="195"/>
    </row>
    <row r="335" spans="1:16">
      <c r="A335" s="3"/>
      <c r="B335" s="3" t="str">
        <f>TEXT(Tabela223456[[#This Row],[DATA]],"mmmm")</f>
        <v>janeiro</v>
      </c>
      <c r="C335" s="2"/>
      <c r="D335" s="2"/>
      <c r="E335" s="2"/>
      <c r="F335" s="2"/>
      <c r="G335" s="173"/>
      <c r="H335" s="174"/>
      <c r="I335" s="173" t="e">
        <f>Tabela22[[#This Row],[PESO TOTAL]]/Tabela22[[#This Row],[QUANTIDADE]]</f>
        <v>#DIV/0!</v>
      </c>
      <c r="J335" s="2"/>
      <c r="K335" s="193"/>
      <c r="L335" s="8"/>
      <c r="M335" s="8"/>
      <c r="N335" s="8"/>
      <c r="O335" s="194"/>
      <c r="P335" s="195"/>
    </row>
    <row r="336" spans="1:16">
      <c r="A336" s="3"/>
      <c r="B336" s="3" t="str">
        <f>TEXT(Tabela223456[[#This Row],[DATA]],"mmmm")</f>
        <v>janeiro</v>
      </c>
      <c r="C336" s="2"/>
      <c r="D336" s="2"/>
      <c r="E336" s="2"/>
      <c r="F336" s="2"/>
      <c r="G336" s="173"/>
      <c r="H336" s="174"/>
      <c r="I336" s="173" t="e">
        <f>Tabela22[[#This Row],[PESO TOTAL]]/Tabela22[[#This Row],[QUANTIDADE]]</f>
        <v>#DIV/0!</v>
      </c>
      <c r="J336" s="2"/>
      <c r="K336" s="193"/>
      <c r="L336" s="8"/>
      <c r="M336" s="8"/>
      <c r="N336" s="8"/>
      <c r="O336" s="194"/>
      <c r="P336" s="195"/>
    </row>
    <row r="337" spans="1:16">
      <c r="A337" s="3"/>
      <c r="B337" s="3" t="str">
        <f>TEXT(Tabela223456[[#This Row],[DATA]],"mmmm")</f>
        <v>janeiro</v>
      </c>
      <c r="C337" s="2"/>
      <c r="D337" s="2"/>
      <c r="E337" s="2"/>
      <c r="F337" s="2"/>
      <c r="G337" s="173"/>
      <c r="H337" s="174"/>
      <c r="I337" s="173" t="e">
        <f>Tabela22[[#This Row],[PESO TOTAL]]/Tabela22[[#This Row],[QUANTIDADE]]</f>
        <v>#DIV/0!</v>
      </c>
      <c r="J337" s="2"/>
      <c r="K337" s="193"/>
      <c r="L337" s="8"/>
      <c r="M337" s="8"/>
      <c r="N337" s="8"/>
      <c r="O337" s="194"/>
      <c r="P337" s="195"/>
    </row>
    <row r="338" spans="1:16">
      <c r="A338" s="3"/>
      <c r="B338" s="3" t="str">
        <f>TEXT(Tabela223456[[#This Row],[DATA]],"mmmm")</f>
        <v>janeiro</v>
      </c>
      <c r="C338" s="2"/>
      <c r="D338" s="2"/>
      <c r="E338" s="2"/>
      <c r="F338" s="2"/>
      <c r="G338" s="173"/>
      <c r="H338" s="174"/>
      <c r="I338" s="173" t="e">
        <f>Tabela22[[#This Row],[PESO TOTAL]]/Tabela22[[#This Row],[QUANTIDADE]]</f>
        <v>#DIV/0!</v>
      </c>
      <c r="J338" s="2"/>
      <c r="K338" s="193"/>
      <c r="L338" s="8"/>
      <c r="M338" s="8"/>
      <c r="N338" s="8"/>
      <c r="O338" s="194"/>
      <c r="P338" s="195"/>
    </row>
    <row r="339" spans="1:16">
      <c r="A339" s="3"/>
      <c r="B339" s="3" t="str">
        <f>TEXT(Tabela223456[[#This Row],[DATA]],"mmmm")</f>
        <v>janeiro</v>
      </c>
      <c r="C339" s="2"/>
      <c r="D339" s="2"/>
      <c r="E339" s="2"/>
      <c r="F339" s="2"/>
      <c r="G339" s="173"/>
      <c r="H339" s="174"/>
      <c r="I339" s="173" t="e">
        <f>Tabela22[[#This Row],[PESO TOTAL]]/Tabela22[[#This Row],[QUANTIDADE]]</f>
        <v>#DIV/0!</v>
      </c>
      <c r="J339" s="2"/>
      <c r="K339" s="193"/>
      <c r="L339" s="8"/>
      <c r="M339" s="8"/>
      <c r="N339" s="8"/>
      <c r="O339" s="194"/>
      <c r="P339" s="195"/>
    </row>
    <row r="340" spans="1:16">
      <c r="A340" s="3"/>
      <c r="B340" s="3" t="str">
        <f>TEXT(Tabela223456[[#This Row],[DATA]],"mmmm")</f>
        <v>janeiro</v>
      </c>
      <c r="C340" s="2"/>
      <c r="D340" s="2"/>
      <c r="E340" s="2"/>
      <c r="F340" s="2"/>
      <c r="G340" s="173"/>
      <c r="H340" s="174"/>
      <c r="I340" s="173" t="e">
        <f>Tabela22[[#This Row],[PESO TOTAL]]/Tabela22[[#This Row],[QUANTIDADE]]</f>
        <v>#DIV/0!</v>
      </c>
      <c r="J340" s="2"/>
      <c r="K340" s="193"/>
      <c r="L340" s="8"/>
      <c r="M340" s="8"/>
      <c r="N340" s="8"/>
      <c r="O340" s="194"/>
      <c r="P340" s="195"/>
    </row>
    <row r="341" spans="1:16">
      <c r="A341" s="3"/>
      <c r="B341" s="3" t="str">
        <f>TEXT(Tabela223456[[#This Row],[DATA]],"mmmm")</f>
        <v>janeiro</v>
      </c>
      <c r="C341" s="2"/>
      <c r="D341" s="2"/>
      <c r="E341" s="2"/>
      <c r="F341" s="2"/>
      <c r="G341" s="173"/>
      <c r="H341" s="174"/>
      <c r="I341" s="173" t="e">
        <f>Tabela22[[#This Row],[PESO TOTAL]]/Tabela22[[#This Row],[QUANTIDADE]]</f>
        <v>#DIV/0!</v>
      </c>
      <c r="J341" s="2"/>
      <c r="K341" s="193"/>
      <c r="L341" s="8"/>
      <c r="M341" s="8"/>
      <c r="N341" s="8"/>
      <c r="O341" s="194"/>
      <c r="P341" s="195"/>
    </row>
    <row r="342" spans="1:16">
      <c r="A342" s="3"/>
      <c r="B342" s="3" t="str">
        <f>TEXT(Tabela223456[[#This Row],[DATA]],"mmmm")</f>
        <v>janeiro</v>
      </c>
      <c r="C342" s="2"/>
      <c r="D342" s="2"/>
      <c r="E342" s="2"/>
      <c r="F342" s="2"/>
      <c r="G342" s="173"/>
      <c r="H342" s="174"/>
      <c r="I342" s="173" t="e">
        <f>Tabela22[[#This Row],[PESO TOTAL]]/Tabela22[[#This Row],[QUANTIDADE]]</f>
        <v>#DIV/0!</v>
      </c>
      <c r="J342" s="2"/>
      <c r="K342" s="193"/>
      <c r="L342" s="8"/>
      <c r="M342" s="8"/>
      <c r="N342" s="8"/>
      <c r="O342" s="194"/>
      <c r="P342" s="195"/>
    </row>
    <row r="343" spans="1:16">
      <c r="A343" s="3"/>
      <c r="B343" s="3" t="str">
        <f>TEXT(Tabela223456[[#This Row],[DATA]],"mmmm")</f>
        <v>janeiro</v>
      </c>
      <c r="C343" s="2"/>
      <c r="D343" s="2"/>
      <c r="E343" s="2"/>
      <c r="F343" s="2"/>
      <c r="G343" s="173"/>
      <c r="H343" s="174"/>
      <c r="I343" s="173" t="e">
        <f>Tabela22[[#This Row],[PESO TOTAL]]/Tabela22[[#This Row],[QUANTIDADE]]</f>
        <v>#DIV/0!</v>
      </c>
      <c r="J343" s="2"/>
      <c r="K343" s="193"/>
      <c r="L343" s="8"/>
      <c r="M343" s="8"/>
      <c r="N343" s="8"/>
      <c r="O343" s="194"/>
      <c r="P343" s="195"/>
    </row>
    <row r="344" spans="1:16">
      <c r="A344" s="3"/>
      <c r="B344" s="3" t="str">
        <f>TEXT(Tabela223456[[#This Row],[DATA]],"mmmm")</f>
        <v>janeiro</v>
      </c>
      <c r="C344" s="2"/>
      <c r="D344" s="2"/>
      <c r="E344" s="2"/>
      <c r="F344" s="2"/>
      <c r="G344" s="173"/>
      <c r="H344" s="174"/>
      <c r="I344" s="173" t="e">
        <f>Tabela22[[#This Row],[PESO TOTAL]]/Tabela22[[#This Row],[QUANTIDADE]]</f>
        <v>#DIV/0!</v>
      </c>
      <c r="J344" s="2"/>
      <c r="K344" s="193"/>
      <c r="L344" s="8"/>
      <c r="M344" s="8"/>
      <c r="N344" s="8"/>
      <c r="O344" s="194"/>
      <c r="P344" s="195"/>
    </row>
    <row r="345" spans="1:16">
      <c r="A345" s="3"/>
      <c r="B345" s="3" t="str">
        <f>TEXT(Tabela223456[[#This Row],[DATA]],"mmmm")</f>
        <v>janeiro</v>
      </c>
      <c r="C345" s="2"/>
      <c r="D345" s="2"/>
      <c r="E345" s="2"/>
      <c r="F345" s="2"/>
      <c r="G345" s="173"/>
      <c r="H345" s="174"/>
      <c r="I345" s="173" t="e">
        <f>Tabela22[[#This Row],[PESO TOTAL]]/Tabela22[[#This Row],[QUANTIDADE]]</f>
        <v>#DIV/0!</v>
      </c>
      <c r="J345" s="2"/>
      <c r="K345" s="193"/>
      <c r="L345" s="8"/>
      <c r="M345" s="8"/>
      <c r="N345" s="8"/>
      <c r="O345" s="194"/>
      <c r="P345" s="195"/>
    </row>
    <row r="346" spans="1:16">
      <c r="A346" s="3"/>
      <c r="B346" s="3" t="str">
        <f>TEXT(Tabela223456[[#This Row],[DATA]],"mmmm")</f>
        <v>janeiro</v>
      </c>
      <c r="C346" s="2"/>
      <c r="D346" s="2"/>
      <c r="E346" s="2"/>
      <c r="F346" s="2"/>
      <c r="G346" s="173"/>
      <c r="H346" s="174"/>
      <c r="I346" s="173" t="e">
        <f>Tabela22[[#This Row],[PESO TOTAL]]/Tabela22[[#This Row],[QUANTIDADE]]</f>
        <v>#DIV/0!</v>
      </c>
      <c r="J346" s="2"/>
      <c r="K346" s="193"/>
      <c r="L346" s="8"/>
      <c r="M346" s="8"/>
      <c r="N346" s="8"/>
      <c r="O346" s="194"/>
      <c r="P346" s="195"/>
    </row>
    <row r="347" spans="1:16">
      <c r="A347" s="3"/>
      <c r="B347" s="3" t="str">
        <f>TEXT(Tabela223456[[#This Row],[DATA]],"mmmm")</f>
        <v>janeiro</v>
      </c>
      <c r="C347" s="2"/>
      <c r="D347" s="2"/>
      <c r="E347" s="2"/>
      <c r="F347" s="2"/>
      <c r="G347" s="173"/>
      <c r="H347" s="174"/>
      <c r="I347" s="173" t="e">
        <f>Tabela22[[#This Row],[PESO TOTAL]]/Tabela22[[#This Row],[QUANTIDADE]]</f>
        <v>#DIV/0!</v>
      </c>
      <c r="J347" s="2"/>
      <c r="K347" s="193"/>
      <c r="L347" s="8"/>
      <c r="M347" s="8"/>
      <c r="N347" s="8"/>
      <c r="O347" s="194"/>
      <c r="P347" s="195"/>
    </row>
    <row r="348" spans="1:16">
      <c r="A348" s="3"/>
      <c r="B348" s="3" t="str">
        <f>TEXT(Tabela223456[[#This Row],[DATA]],"mmmm")</f>
        <v>janeiro</v>
      </c>
      <c r="C348" s="2"/>
      <c r="D348" s="2"/>
      <c r="E348" s="2"/>
      <c r="F348" s="2"/>
      <c r="G348" s="173"/>
      <c r="H348" s="174"/>
      <c r="I348" s="173" t="e">
        <f>Tabela22[[#This Row],[PESO TOTAL]]/Tabela22[[#This Row],[QUANTIDADE]]</f>
        <v>#DIV/0!</v>
      </c>
      <c r="J348" s="2"/>
      <c r="K348" s="193"/>
      <c r="L348" s="8"/>
      <c r="M348" s="8"/>
      <c r="N348" s="8"/>
      <c r="O348" s="194"/>
      <c r="P348" s="195"/>
    </row>
    <row r="349" spans="1:16">
      <c r="A349" s="3"/>
      <c r="B349" s="3" t="str">
        <f>TEXT(Tabela223456[[#This Row],[DATA]],"mmmm")</f>
        <v>janeiro</v>
      </c>
      <c r="C349" s="2"/>
      <c r="D349" s="2"/>
      <c r="E349" s="2"/>
      <c r="F349" s="2"/>
      <c r="G349" s="173"/>
      <c r="H349" s="174"/>
      <c r="I349" s="173" t="e">
        <f>Tabela22[[#This Row],[PESO TOTAL]]/Tabela22[[#This Row],[QUANTIDADE]]</f>
        <v>#DIV/0!</v>
      </c>
      <c r="J349" s="2"/>
      <c r="K349" s="193"/>
      <c r="L349" s="8"/>
      <c r="M349" s="8"/>
      <c r="N349" s="8"/>
      <c r="O349" s="194"/>
      <c r="P349" s="195"/>
    </row>
    <row r="350" spans="1:16">
      <c r="A350" s="3"/>
      <c r="B350" s="3" t="str">
        <f>TEXT(Tabela223456[[#This Row],[DATA]],"mmmm")</f>
        <v>janeiro</v>
      </c>
      <c r="C350" s="2"/>
      <c r="D350" s="2"/>
      <c r="E350" s="2"/>
      <c r="F350" s="2"/>
      <c r="G350" s="173"/>
      <c r="H350" s="174"/>
      <c r="I350" s="173" t="e">
        <f>Tabela22[[#This Row],[PESO TOTAL]]/Tabela22[[#This Row],[QUANTIDADE]]</f>
        <v>#DIV/0!</v>
      </c>
      <c r="J350" s="2"/>
      <c r="K350" s="193"/>
      <c r="L350" s="8"/>
      <c r="M350" s="8"/>
      <c r="N350" s="8"/>
      <c r="O350" s="194"/>
      <c r="P350" s="195"/>
    </row>
    <row r="351" spans="1:16">
      <c r="A351" s="3"/>
      <c r="B351" s="3" t="str">
        <f>TEXT(Tabela223456[[#This Row],[DATA]],"mmmm")</f>
        <v>janeiro</v>
      </c>
      <c r="C351" s="2"/>
      <c r="D351" s="2"/>
      <c r="E351" s="2"/>
      <c r="F351" s="2"/>
      <c r="G351" s="173"/>
      <c r="H351" s="174"/>
      <c r="I351" s="173" t="e">
        <f>Tabela22[[#This Row],[PESO TOTAL]]/Tabela22[[#This Row],[QUANTIDADE]]</f>
        <v>#DIV/0!</v>
      </c>
      <c r="J351" s="2"/>
      <c r="K351" s="193"/>
      <c r="L351" s="8"/>
      <c r="M351" s="8"/>
      <c r="N351" s="8"/>
      <c r="O351" s="194"/>
      <c r="P351" s="195"/>
    </row>
    <row r="352" spans="1:16">
      <c r="A352" s="3"/>
      <c r="B352" s="3" t="str">
        <f>TEXT(Tabela223456[[#This Row],[DATA]],"mmmm")</f>
        <v>janeiro</v>
      </c>
      <c r="C352" s="2"/>
      <c r="D352" s="2"/>
      <c r="E352" s="2"/>
      <c r="F352" s="2"/>
      <c r="G352" s="173"/>
      <c r="H352" s="174"/>
      <c r="I352" s="173" t="e">
        <f>Tabela22[[#This Row],[PESO TOTAL]]/Tabela22[[#This Row],[QUANTIDADE]]</f>
        <v>#DIV/0!</v>
      </c>
      <c r="J352" s="2"/>
      <c r="K352" s="193"/>
      <c r="L352" s="8"/>
      <c r="M352" s="8"/>
      <c r="N352" s="8"/>
      <c r="O352" s="194"/>
      <c r="P352" s="195"/>
    </row>
    <row r="353" spans="1:16">
      <c r="A353" s="3"/>
      <c r="B353" s="3" t="str">
        <f>TEXT(Tabela223456[[#This Row],[DATA]],"mmmm")</f>
        <v>janeiro</v>
      </c>
      <c r="C353" s="2"/>
      <c r="D353" s="2"/>
      <c r="E353" s="2"/>
      <c r="F353" s="2"/>
      <c r="G353" s="173"/>
      <c r="H353" s="174"/>
      <c r="I353" s="173" t="e">
        <f>Tabela22[[#This Row],[PESO TOTAL]]/Tabela22[[#This Row],[QUANTIDADE]]</f>
        <v>#DIV/0!</v>
      </c>
      <c r="J353" s="2"/>
      <c r="K353" s="193"/>
      <c r="L353" s="8"/>
      <c r="M353" s="8"/>
      <c r="N353" s="8"/>
      <c r="O353" s="194"/>
      <c r="P353" s="195"/>
    </row>
    <row r="354" spans="1:16">
      <c r="A354" s="3"/>
      <c r="B354" s="3" t="str">
        <f>TEXT(Tabela223456[[#This Row],[DATA]],"mmmm")</f>
        <v>janeiro</v>
      </c>
      <c r="C354" s="2"/>
      <c r="D354" s="2"/>
      <c r="E354" s="2"/>
      <c r="F354" s="2"/>
      <c r="G354" s="173"/>
      <c r="H354" s="174"/>
      <c r="I354" s="173" t="e">
        <f>Tabela22[[#This Row],[PESO TOTAL]]/Tabela22[[#This Row],[QUANTIDADE]]</f>
        <v>#DIV/0!</v>
      </c>
      <c r="J354" s="2"/>
      <c r="K354" s="193"/>
      <c r="L354" s="8"/>
      <c r="M354" s="8"/>
      <c r="N354" s="8"/>
      <c r="O354" s="194"/>
      <c r="P354" s="195"/>
    </row>
    <row r="355" spans="1:16">
      <c r="A355" s="3"/>
      <c r="B355" s="3" t="str">
        <f>TEXT(Tabela223456[[#This Row],[DATA]],"mmmm")</f>
        <v>janeiro</v>
      </c>
      <c r="C355" s="2"/>
      <c r="D355" s="2"/>
      <c r="E355" s="2"/>
      <c r="F355" s="2"/>
      <c r="G355" s="173"/>
      <c r="H355" s="174"/>
      <c r="I355" s="173" t="e">
        <f>Tabela22[[#This Row],[PESO TOTAL]]/Tabela22[[#This Row],[QUANTIDADE]]</f>
        <v>#DIV/0!</v>
      </c>
      <c r="J355" s="2"/>
      <c r="K355" s="193"/>
      <c r="L355" s="8"/>
      <c r="M355" s="8"/>
      <c r="N355" s="8"/>
      <c r="O355" s="194"/>
      <c r="P355" s="195"/>
    </row>
    <row r="356" spans="1:16">
      <c r="A356" s="3"/>
      <c r="B356" s="3" t="str">
        <f>TEXT(Tabela223456[[#This Row],[DATA]],"mmmm")</f>
        <v>janeiro</v>
      </c>
      <c r="C356" s="2"/>
      <c r="D356" s="2"/>
      <c r="E356" s="2"/>
      <c r="F356" s="2"/>
      <c r="G356" s="173"/>
      <c r="H356" s="174"/>
      <c r="I356" s="173" t="e">
        <f>Tabela22[[#This Row],[PESO TOTAL]]/Tabela22[[#This Row],[QUANTIDADE]]</f>
        <v>#DIV/0!</v>
      </c>
      <c r="J356" s="2"/>
      <c r="K356" s="193"/>
      <c r="L356" s="8"/>
      <c r="M356" s="8"/>
      <c r="N356" s="8"/>
      <c r="O356" s="194"/>
      <c r="P356" s="195"/>
    </row>
    <row r="357" spans="1:16">
      <c r="A357" s="3"/>
      <c r="B357" s="3" t="str">
        <f>TEXT(Tabela223456[[#This Row],[DATA]],"mmmm")</f>
        <v>janeiro</v>
      </c>
      <c r="C357" s="2"/>
      <c r="D357" s="2"/>
      <c r="E357" s="2"/>
      <c r="F357" s="2"/>
      <c r="G357" s="173"/>
      <c r="H357" s="174"/>
      <c r="I357" s="173" t="e">
        <f>Tabela22[[#This Row],[PESO TOTAL]]/Tabela22[[#This Row],[QUANTIDADE]]</f>
        <v>#DIV/0!</v>
      </c>
      <c r="J357" s="2"/>
      <c r="K357" s="193"/>
      <c r="L357" s="8"/>
      <c r="M357" s="8"/>
      <c r="N357" s="8"/>
      <c r="O357" s="194"/>
      <c r="P357" s="195"/>
    </row>
    <row r="358" spans="1:16">
      <c r="A358" s="3"/>
      <c r="B358" s="3" t="str">
        <f>TEXT(Tabela223456[[#This Row],[DATA]],"mmmm")</f>
        <v>janeiro</v>
      </c>
      <c r="C358" s="2"/>
      <c r="D358" s="2"/>
      <c r="E358" s="2"/>
      <c r="F358" s="2"/>
      <c r="G358" s="173"/>
      <c r="H358" s="174"/>
      <c r="I358" s="173" t="e">
        <f>Tabela22[[#This Row],[PESO TOTAL]]/Tabela22[[#This Row],[QUANTIDADE]]</f>
        <v>#DIV/0!</v>
      </c>
      <c r="J358" s="2"/>
      <c r="K358" s="193"/>
      <c r="L358" s="8"/>
      <c r="M358" s="8"/>
      <c r="N358" s="8"/>
      <c r="O358" s="194"/>
      <c r="P358" s="195"/>
    </row>
    <row r="359" spans="1:16">
      <c r="A359" s="3"/>
      <c r="B359" s="3" t="str">
        <f>TEXT(Tabela223456[[#This Row],[DATA]],"mmmm")</f>
        <v>janeiro</v>
      </c>
      <c r="C359" s="2"/>
      <c r="D359" s="2"/>
      <c r="E359" s="2"/>
      <c r="F359" s="2"/>
      <c r="G359" s="173"/>
      <c r="H359" s="174"/>
      <c r="I359" s="173" t="e">
        <f>Tabela22[[#This Row],[PESO TOTAL]]/Tabela22[[#This Row],[QUANTIDADE]]</f>
        <v>#DIV/0!</v>
      </c>
      <c r="J359" s="2"/>
      <c r="K359" s="193"/>
      <c r="L359" s="8"/>
      <c r="M359" s="8"/>
      <c r="N359" s="8"/>
      <c r="O359" s="194"/>
      <c r="P359" s="195"/>
    </row>
    <row r="360" spans="1:16">
      <c r="A360" s="3"/>
      <c r="B360" s="3" t="str">
        <f>TEXT(Tabela223456[[#This Row],[DATA]],"mmmm")</f>
        <v>janeiro</v>
      </c>
      <c r="C360" s="2"/>
      <c r="D360" s="2"/>
      <c r="E360" s="2"/>
      <c r="F360" s="2"/>
      <c r="G360" s="173"/>
      <c r="H360" s="174"/>
      <c r="I360" s="173" t="e">
        <f>Tabela22[[#This Row],[PESO TOTAL]]/Tabela22[[#This Row],[QUANTIDADE]]</f>
        <v>#DIV/0!</v>
      </c>
      <c r="J360" s="2"/>
      <c r="K360" s="193"/>
      <c r="L360" s="8"/>
      <c r="M360" s="8"/>
      <c r="N360" s="8"/>
      <c r="O360" s="194"/>
      <c r="P360" s="195"/>
    </row>
    <row r="361" spans="1:16">
      <c r="A361" s="3"/>
      <c r="B361" s="3" t="str">
        <f>TEXT(Tabela223456[[#This Row],[DATA]],"mmmm")</f>
        <v>janeiro</v>
      </c>
      <c r="C361" s="2"/>
      <c r="D361" s="2"/>
      <c r="E361" s="2"/>
      <c r="F361" s="2"/>
      <c r="G361" s="173"/>
      <c r="H361" s="174"/>
      <c r="I361" s="173" t="e">
        <f>Tabela22[[#This Row],[PESO TOTAL]]/Tabela22[[#This Row],[QUANTIDADE]]</f>
        <v>#DIV/0!</v>
      </c>
      <c r="J361" s="2"/>
      <c r="K361" s="193"/>
      <c r="L361" s="8"/>
      <c r="M361" s="8"/>
      <c r="N361" s="8"/>
      <c r="O361" s="194"/>
      <c r="P361" s="195"/>
    </row>
    <row r="362" spans="1:16">
      <c r="A362" s="3"/>
      <c r="B362" s="3" t="str">
        <f>TEXT(Tabela223456[[#This Row],[DATA]],"mmmm")</f>
        <v>janeiro</v>
      </c>
      <c r="C362" s="2"/>
      <c r="D362" s="2"/>
      <c r="E362" s="2"/>
      <c r="F362" s="2"/>
      <c r="G362" s="173"/>
      <c r="H362" s="174"/>
      <c r="I362" s="173" t="e">
        <f>Tabela22[[#This Row],[PESO TOTAL]]/Tabela22[[#This Row],[QUANTIDADE]]</f>
        <v>#DIV/0!</v>
      </c>
      <c r="J362" s="2"/>
      <c r="K362" s="193"/>
      <c r="L362" s="8"/>
      <c r="M362" s="8"/>
      <c r="N362" s="8"/>
      <c r="O362" s="194"/>
      <c r="P362" s="195"/>
    </row>
    <row r="363" spans="1:16">
      <c r="A363" s="3"/>
      <c r="B363" s="3" t="str">
        <f>TEXT(Tabela223456[[#This Row],[DATA]],"mmmm")</f>
        <v>janeiro</v>
      </c>
      <c r="C363" s="2"/>
      <c r="D363" s="2"/>
      <c r="E363" s="2"/>
      <c r="F363" s="2"/>
      <c r="G363" s="173"/>
      <c r="H363" s="174"/>
      <c r="I363" s="173" t="e">
        <f>Tabela22[[#This Row],[PESO TOTAL]]/Tabela22[[#This Row],[QUANTIDADE]]</f>
        <v>#DIV/0!</v>
      </c>
      <c r="J363" s="2"/>
      <c r="K363" s="193"/>
      <c r="L363" s="8"/>
      <c r="M363" s="8"/>
      <c r="N363" s="8"/>
      <c r="O363" s="194"/>
      <c r="P363" s="195"/>
    </row>
    <row r="364" spans="1:16">
      <c r="A364" s="3"/>
      <c r="B364" s="3" t="str">
        <f>TEXT(Tabela223456[[#This Row],[DATA]],"mmmm")</f>
        <v>janeiro</v>
      </c>
      <c r="C364" s="2"/>
      <c r="D364" s="2"/>
      <c r="E364" s="2"/>
      <c r="F364" s="2"/>
      <c r="G364" s="173"/>
      <c r="H364" s="174"/>
      <c r="I364" s="173" t="e">
        <f>Tabela22[[#This Row],[PESO TOTAL]]/Tabela22[[#This Row],[QUANTIDADE]]</f>
        <v>#DIV/0!</v>
      </c>
      <c r="J364" s="2"/>
      <c r="K364" s="193"/>
      <c r="L364" s="8"/>
      <c r="M364" s="8"/>
      <c r="N364" s="8"/>
      <c r="O364" s="194"/>
      <c r="P364" s="195"/>
    </row>
    <row r="365" spans="1:16">
      <c r="A365" s="3"/>
      <c r="B365" s="3" t="str">
        <f>TEXT(Tabela223456[[#This Row],[DATA]],"mmmm")</f>
        <v>janeiro</v>
      </c>
      <c r="C365" s="2"/>
      <c r="D365" s="2"/>
      <c r="E365" s="2"/>
      <c r="F365" s="2"/>
      <c r="G365" s="173"/>
      <c r="H365" s="174"/>
      <c r="I365" s="173" t="e">
        <f>Tabela22[[#This Row],[PESO TOTAL]]/Tabela22[[#This Row],[QUANTIDADE]]</f>
        <v>#DIV/0!</v>
      </c>
      <c r="J365" s="2"/>
      <c r="K365" s="193"/>
      <c r="L365" s="8"/>
      <c r="M365" s="8"/>
      <c r="N365" s="8"/>
      <c r="O365" s="194"/>
      <c r="P365" s="195"/>
    </row>
    <row r="366" spans="1:16">
      <c r="A366" s="3"/>
      <c r="B366" s="3" t="str">
        <f>TEXT(Tabela223456[[#This Row],[DATA]],"mmmm")</f>
        <v>janeiro</v>
      </c>
      <c r="C366" s="2"/>
      <c r="D366" s="2"/>
      <c r="E366" s="2"/>
      <c r="F366" s="2"/>
      <c r="G366" s="173"/>
      <c r="H366" s="174"/>
      <c r="I366" s="173" t="e">
        <f>Tabela22[[#This Row],[PESO TOTAL]]/Tabela22[[#This Row],[QUANTIDADE]]</f>
        <v>#DIV/0!</v>
      </c>
      <c r="J366" s="2"/>
      <c r="K366" s="193"/>
      <c r="L366" s="8"/>
      <c r="M366" s="8"/>
      <c r="N366" s="8"/>
      <c r="O366" s="194"/>
      <c r="P366" s="195"/>
    </row>
    <row r="367" spans="1:16">
      <c r="A367" s="3"/>
      <c r="B367" s="3" t="str">
        <f>TEXT(Tabela223456[[#This Row],[DATA]],"mmmm")</f>
        <v>janeiro</v>
      </c>
      <c r="C367" s="2"/>
      <c r="D367" s="2"/>
      <c r="E367" s="2"/>
      <c r="F367" s="2"/>
      <c r="G367" s="173"/>
      <c r="H367" s="174"/>
      <c r="I367" s="173" t="e">
        <f>Tabela22[[#This Row],[PESO TOTAL]]/Tabela22[[#This Row],[QUANTIDADE]]</f>
        <v>#DIV/0!</v>
      </c>
      <c r="J367" s="2"/>
      <c r="K367" s="193"/>
      <c r="L367" s="8"/>
      <c r="M367" s="8"/>
      <c r="N367" s="8"/>
      <c r="O367" s="194"/>
      <c r="P367" s="195"/>
    </row>
    <row r="368" spans="1:16">
      <c r="A368" s="3"/>
      <c r="B368" s="3" t="str">
        <f>TEXT(Tabela223456[[#This Row],[DATA]],"mmmm")</f>
        <v>janeiro</v>
      </c>
      <c r="C368" s="2"/>
      <c r="D368" s="2"/>
      <c r="E368" s="2"/>
      <c r="F368" s="2"/>
      <c r="G368" s="173"/>
      <c r="H368" s="174"/>
      <c r="I368" s="173" t="e">
        <f>Tabela22[[#This Row],[PESO TOTAL]]/Tabela22[[#This Row],[QUANTIDADE]]</f>
        <v>#DIV/0!</v>
      </c>
      <c r="J368" s="2"/>
      <c r="K368" s="193"/>
      <c r="L368" s="8"/>
      <c r="M368" s="8"/>
      <c r="N368" s="8"/>
      <c r="O368" s="194"/>
      <c r="P368" s="195"/>
    </row>
    <row r="369" spans="1:16">
      <c r="A369" s="3"/>
      <c r="B369" s="3" t="str">
        <f>TEXT(Tabela223456[[#This Row],[DATA]],"mmmm")</f>
        <v>janeiro</v>
      </c>
      <c r="C369" s="2"/>
      <c r="D369" s="2"/>
      <c r="E369" s="2"/>
      <c r="F369" s="2"/>
      <c r="G369" s="173"/>
      <c r="H369" s="174"/>
      <c r="I369" s="173" t="e">
        <f>Tabela22[[#This Row],[PESO TOTAL]]/Tabela22[[#This Row],[QUANTIDADE]]</f>
        <v>#DIV/0!</v>
      </c>
      <c r="J369" s="2"/>
      <c r="K369" s="193"/>
      <c r="L369" s="8"/>
      <c r="M369" s="8"/>
      <c r="N369" s="8"/>
      <c r="O369" s="194"/>
      <c r="P369" s="195"/>
    </row>
    <row r="370" spans="1:16">
      <c r="A370" s="3"/>
      <c r="B370" s="3" t="str">
        <f>TEXT(Tabela223456[[#This Row],[DATA]],"mmmm")</f>
        <v>janeiro</v>
      </c>
      <c r="C370" s="2"/>
      <c r="D370" s="2"/>
      <c r="E370" s="2"/>
      <c r="F370" s="2"/>
      <c r="G370" s="173"/>
      <c r="H370" s="174"/>
      <c r="I370" s="173" t="e">
        <f>Tabela22[[#This Row],[PESO TOTAL]]/Tabela22[[#This Row],[QUANTIDADE]]</f>
        <v>#DIV/0!</v>
      </c>
      <c r="J370" s="2"/>
      <c r="K370" s="193"/>
      <c r="L370" s="8"/>
      <c r="M370" s="8"/>
      <c r="N370" s="8"/>
      <c r="O370" s="194"/>
      <c r="P370" s="195"/>
    </row>
    <row r="371" spans="1:16">
      <c r="A371" s="3"/>
      <c r="B371" s="3" t="str">
        <f>TEXT(Tabela223456[[#This Row],[DATA]],"mmmm")</f>
        <v>janeiro</v>
      </c>
      <c r="C371" s="2"/>
      <c r="D371" s="2"/>
      <c r="E371" s="2"/>
      <c r="F371" s="2"/>
      <c r="G371" s="173"/>
      <c r="H371" s="174"/>
      <c r="I371" s="173" t="e">
        <f>Tabela22[[#This Row],[PESO TOTAL]]/Tabela22[[#This Row],[QUANTIDADE]]</f>
        <v>#DIV/0!</v>
      </c>
      <c r="J371" s="2"/>
      <c r="K371" s="193"/>
      <c r="L371" s="8"/>
      <c r="M371" s="8"/>
      <c r="N371" s="8"/>
      <c r="O371" s="194"/>
      <c r="P371" s="195"/>
    </row>
    <row r="372" spans="1:16">
      <c r="A372" s="3"/>
      <c r="B372" s="3" t="str">
        <f>TEXT(Tabela223456[[#This Row],[DATA]],"mmmm")</f>
        <v>janeiro</v>
      </c>
      <c r="C372" s="2"/>
      <c r="D372" s="2"/>
      <c r="E372" s="2"/>
      <c r="F372" s="2"/>
      <c r="G372" s="173"/>
      <c r="H372" s="174"/>
      <c r="I372" s="173" t="e">
        <f>Tabela22[[#This Row],[PESO TOTAL]]/Tabela22[[#This Row],[QUANTIDADE]]</f>
        <v>#DIV/0!</v>
      </c>
      <c r="J372" s="2"/>
      <c r="K372" s="193"/>
      <c r="L372" s="8"/>
      <c r="M372" s="8"/>
      <c r="N372" s="8"/>
      <c r="O372" s="194"/>
      <c r="P372" s="195"/>
    </row>
    <row r="373" spans="1:16">
      <c r="A373" s="3"/>
      <c r="B373" s="3" t="str">
        <f>TEXT(Tabela223456[[#This Row],[DATA]],"mmmm")</f>
        <v>janeiro</v>
      </c>
      <c r="C373" s="2"/>
      <c r="D373" s="2"/>
      <c r="E373" s="2"/>
      <c r="F373" s="2"/>
      <c r="G373" s="173"/>
      <c r="H373" s="174"/>
      <c r="I373" s="173" t="e">
        <f>Tabela22[[#This Row],[PESO TOTAL]]/Tabela22[[#This Row],[QUANTIDADE]]</f>
        <v>#DIV/0!</v>
      </c>
      <c r="J373" s="2"/>
      <c r="K373" s="193"/>
      <c r="L373" s="8"/>
      <c r="M373" s="8"/>
      <c r="N373" s="8"/>
      <c r="O373" s="194"/>
      <c r="P373" s="195"/>
    </row>
    <row r="374" spans="1:16">
      <c r="A374" s="3"/>
      <c r="B374" s="3" t="str">
        <f>TEXT(Tabela223456[[#This Row],[DATA]],"mmmm")</f>
        <v>janeiro</v>
      </c>
      <c r="C374" s="2"/>
      <c r="D374" s="2"/>
      <c r="E374" s="2"/>
      <c r="F374" s="2"/>
      <c r="G374" s="173"/>
      <c r="H374" s="174"/>
      <c r="I374" s="173" t="e">
        <f>Tabela22[[#This Row],[PESO TOTAL]]/Tabela22[[#This Row],[QUANTIDADE]]</f>
        <v>#DIV/0!</v>
      </c>
      <c r="J374" s="2"/>
      <c r="K374" s="193"/>
      <c r="L374" s="8"/>
      <c r="M374" s="8"/>
      <c r="N374" s="8"/>
      <c r="O374" s="194"/>
      <c r="P374" s="195"/>
    </row>
    <row r="375" spans="1:16">
      <c r="A375" s="3"/>
      <c r="B375" s="3" t="str">
        <f>TEXT(Tabela223456[[#This Row],[DATA]],"mmmm")</f>
        <v>janeiro</v>
      </c>
      <c r="C375" s="2"/>
      <c r="D375" s="2"/>
      <c r="E375" s="2"/>
      <c r="F375" s="2"/>
      <c r="G375" s="173"/>
      <c r="H375" s="174"/>
      <c r="I375" s="173" t="e">
        <f>Tabela22[[#This Row],[PESO TOTAL]]/Tabela22[[#This Row],[QUANTIDADE]]</f>
        <v>#DIV/0!</v>
      </c>
      <c r="J375" s="2"/>
      <c r="K375" s="193"/>
      <c r="L375" s="8"/>
      <c r="M375" s="8"/>
      <c r="N375" s="8"/>
      <c r="O375" s="194"/>
      <c r="P375" s="195"/>
    </row>
    <row r="376" spans="1:16">
      <c r="A376" s="3"/>
      <c r="B376" s="3" t="str">
        <f>TEXT(Tabela223456[[#This Row],[DATA]],"mmmm")</f>
        <v>janeiro</v>
      </c>
      <c r="C376" s="2"/>
      <c r="D376" s="2"/>
      <c r="E376" s="2"/>
      <c r="F376" s="2"/>
      <c r="G376" s="173"/>
      <c r="H376" s="174"/>
      <c r="I376" s="173" t="e">
        <f>Tabela22[[#This Row],[PESO TOTAL]]/Tabela22[[#This Row],[QUANTIDADE]]</f>
        <v>#DIV/0!</v>
      </c>
      <c r="J376" s="2"/>
      <c r="K376" s="193"/>
      <c r="L376" s="8"/>
      <c r="M376" s="8"/>
      <c r="N376" s="8"/>
      <c r="O376" s="194"/>
      <c r="P376" s="195"/>
    </row>
    <row r="377" spans="1:16">
      <c r="A377" s="3"/>
      <c r="B377" s="3" t="str">
        <f>TEXT(Tabela223456[[#This Row],[DATA]],"mmmm")</f>
        <v>janeiro</v>
      </c>
      <c r="C377" s="2"/>
      <c r="D377" s="2"/>
      <c r="E377" s="2"/>
      <c r="F377" s="2"/>
      <c r="G377" s="173"/>
      <c r="H377" s="174"/>
      <c r="I377" s="173" t="e">
        <f>Tabela22[[#This Row],[PESO TOTAL]]/Tabela22[[#This Row],[QUANTIDADE]]</f>
        <v>#DIV/0!</v>
      </c>
      <c r="J377" s="2"/>
      <c r="K377" s="193"/>
      <c r="L377" s="8"/>
      <c r="M377" s="8"/>
      <c r="N377" s="8"/>
      <c r="O377" s="194"/>
      <c r="P377" s="195"/>
    </row>
    <row r="378" spans="1:16">
      <c r="A378" s="3"/>
      <c r="B378" s="3" t="str">
        <f>TEXT(Tabela223456[[#This Row],[DATA]],"mmmm")</f>
        <v>janeiro</v>
      </c>
      <c r="C378" s="2"/>
      <c r="D378" s="2"/>
      <c r="E378" s="2"/>
      <c r="F378" s="2"/>
      <c r="G378" s="173"/>
      <c r="H378" s="174"/>
      <c r="I378" s="173" t="e">
        <f>Tabela22[[#This Row],[PESO TOTAL]]/Tabela22[[#This Row],[QUANTIDADE]]</f>
        <v>#DIV/0!</v>
      </c>
      <c r="J378" s="2"/>
      <c r="K378" s="193"/>
      <c r="L378" s="8"/>
      <c r="M378" s="8"/>
      <c r="N378" s="8"/>
      <c r="O378" s="194"/>
      <c r="P378" s="195"/>
    </row>
    <row r="379" spans="1:16">
      <c r="A379" s="3"/>
      <c r="B379" s="3" t="str">
        <f>TEXT(Tabela223456[[#This Row],[DATA]],"mmmm")</f>
        <v>janeiro</v>
      </c>
      <c r="C379" s="2"/>
      <c r="D379" s="2"/>
      <c r="E379" s="2"/>
      <c r="F379" s="2"/>
      <c r="G379" s="173"/>
      <c r="H379" s="174"/>
      <c r="I379" s="173" t="e">
        <f>Tabela22[[#This Row],[PESO TOTAL]]/Tabela22[[#This Row],[QUANTIDADE]]</f>
        <v>#DIV/0!</v>
      </c>
      <c r="J379" s="2"/>
      <c r="K379" s="193"/>
      <c r="L379" s="8"/>
      <c r="M379" s="8"/>
      <c r="N379" s="8"/>
      <c r="O379" s="194"/>
      <c r="P379" s="195"/>
    </row>
    <row r="380" spans="1:16">
      <c r="A380" s="3"/>
      <c r="B380" s="3" t="str">
        <f>TEXT(Tabela223456[[#This Row],[DATA]],"mmmm")</f>
        <v>janeiro</v>
      </c>
      <c r="C380" s="2"/>
      <c r="D380" s="2"/>
      <c r="E380" s="2"/>
      <c r="F380" s="2"/>
      <c r="G380" s="173"/>
      <c r="H380" s="174"/>
      <c r="I380" s="173" t="e">
        <f>Tabela22[[#This Row],[PESO TOTAL]]/Tabela22[[#This Row],[QUANTIDADE]]</f>
        <v>#DIV/0!</v>
      </c>
      <c r="J380" s="2"/>
      <c r="K380" s="193"/>
      <c r="L380" s="8"/>
      <c r="M380" s="8"/>
      <c r="N380" s="8"/>
      <c r="O380" s="194"/>
      <c r="P380" s="195"/>
    </row>
    <row r="381" spans="1:16">
      <c r="A381" s="3"/>
      <c r="B381" s="3" t="str">
        <f>TEXT(Tabela223456[[#This Row],[DATA]],"mmmm")</f>
        <v>janeiro</v>
      </c>
      <c r="C381" s="2"/>
      <c r="D381" s="2"/>
      <c r="E381" s="2"/>
      <c r="F381" s="2"/>
      <c r="G381" s="173"/>
      <c r="H381" s="174"/>
      <c r="I381" s="173" t="e">
        <f>Tabela22[[#This Row],[PESO TOTAL]]/Tabela22[[#This Row],[QUANTIDADE]]</f>
        <v>#DIV/0!</v>
      </c>
      <c r="J381" s="2"/>
      <c r="K381" s="193"/>
      <c r="L381" s="8"/>
      <c r="M381" s="8"/>
      <c r="N381" s="8"/>
      <c r="O381" s="194"/>
      <c r="P381" s="195"/>
    </row>
    <row r="382" spans="1:16">
      <c r="A382" s="3"/>
      <c r="B382" s="3" t="str">
        <f>TEXT(Tabela223456[[#This Row],[DATA]],"mmmm")</f>
        <v>janeiro</v>
      </c>
      <c r="C382" s="2"/>
      <c r="D382" s="2"/>
      <c r="E382" s="2"/>
      <c r="F382" s="2"/>
      <c r="G382" s="173"/>
      <c r="H382" s="174"/>
      <c r="I382" s="173" t="e">
        <f>Tabela22[[#This Row],[PESO TOTAL]]/Tabela22[[#This Row],[QUANTIDADE]]</f>
        <v>#DIV/0!</v>
      </c>
      <c r="J382" s="2"/>
      <c r="K382" s="193"/>
      <c r="L382" s="8"/>
      <c r="M382" s="8"/>
      <c r="N382" s="8"/>
      <c r="O382" s="194"/>
      <c r="P382" s="195"/>
    </row>
    <row r="383" spans="1:16">
      <c r="A383" s="3"/>
      <c r="B383" s="3" t="str">
        <f>TEXT(Tabela223456[[#This Row],[DATA]],"mmmm")</f>
        <v>janeiro</v>
      </c>
      <c r="C383" s="2"/>
      <c r="D383" s="2"/>
      <c r="E383" s="2"/>
      <c r="F383" s="2"/>
      <c r="G383" s="173"/>
      <c r="H383" s="174"/>
      <c r="I383" s="173" t="e">
        <f>Tabela22[[#This Row],[PESO TOTAL]]/Tabela22[[#This Row],[QUANTIDADE]]</f>
        <v>#DIV/0!</v>
      </c>
      <c r="J383" s="2"/>
      <c r="K383" s="193"/>
      <c r="L383" s="8"/>
      <c r="M383" s="8"/>
      <c r="N383" s="8"/>
      <c r="O383" s="194"/>
      <c r="P383" s="195"/>
    </row>
    <row r="384" spans="1:16">
      <c r="A384" s="3"/>
      <c r="B384" s="3" t="str">
        <f>TEXT(Tabela223456[[#This Row],[DATA]],"mmmm")</f>
        <v>janeiro</v>
      </c>
      <c r="C384" s="2"/>
      <c r="D384" s="2"/>
      <c r="E384" s="2"/>
      <c r="F384" s="2"/>
      <c r="G384" s="173"/>
      <c r="H384" s="174"/>
      <c r="I384" s="173" t="e">
        <f>Tabela22[[#This Row],[PESO TOTAL]]/Tabela22[[#This Row],[QUANTIDADE]]</f>
        <v>#DIV/0!</v>
      </c>
      <c r="J384" s="2"/>
      <c r="K384" s="193"/>
      <c r="L384" s="8"/>
      <c r="M384" s="8"/>
      <c r="N384" s="8"/>
      <c r="O384" s="194"/>
      <c r="P384" s="195"/>
    </row>
    <row r="385" spans="1:16">
      <c r="A385" s="3"/>
      <c r="B385" s="3" t="str">
        <f>TEXT(Tabela223456[[#This Row],[DATA]],"mmmm")</f>
        <v>janeiro</v>
      </c>
      <c r="C385" s="2"/>
      <c r="D385" s="2"/>
      <c r="E385" s="2"/>
      <c r="F385" s="2"/>
      <c r="G385" s="173"/>
      <c r="H385" s="174"/>
      <c r="I385" s="173" t="e">
        <f>Tabela22[[#This Row],[PESO TOTAL]]/Tabela22[[#This Row],[QUANTIDADE]]</f>
        <v>#DIV/0!</v>
      </c>
      <c r="J385" s="2"/>
      <c r="K385" s="193"/>
      <c r="L385" s="8"/>
      <c r="M385" s="8"/>
      <c r="N385" s="8"/>
      <c r="O385" s="194"/>
      <c r="P385" s="195"/>
    </row>
    <row r="386" spans="1:16">
      <c r="A386" s="3"/>
      <c r="B386" s="3" t="str">
        <f>TEXT(Tabela223456[[#This Row],[DATA]],"mmmm")</f>
        <v>janeiro</v>
      </c>
      <c r="C386" s="2"/>
      <c r="D386" s="2"/>
      <c r="E386" s="2"/>
      <c r="F386" s="2"/>
      <c r="G386" s="173"/>
      <c r="H386" s="174"/>
      <c r="I386" s="173" t="e">
        <f>Tabela22[[#This Row],[PESO TOTAL]]/Tabela22[[#This Row],[QUANTIDADE]]</f>
        <v>#DIV/0!</v>
      </c>
      <c r="J386" s="2"/>
      <c r="K386" s="193"/>
      <c r="L386" s="8"/>
      <c r="M386" s="8"/>
      <c r="N386" s="8"/>
      <c r="O386" s="194"/>
      <c r="P386" s="195"/>
    </row>
    <row r="387" spans="1:16">
      <c r="A387" s="3"/>
      <c r="B387" s="3" t="str">
        <f>TEXT(Tabela223456[[#This Row],[DATA]],"mmmm")</f>
        <v>janeiro</v>
      </c>
      <c r="C387" s="2"/>
      <c r="D387" s="2"/>
      <c r="E387" s="2"/>
      <c r="F387" s="2"/>
      <c r="G387" s="173"/>
      <c r="H387" s="174"/>
      <c r="I387" s="173" t="e">
        <f>Tabela22[[#This Row],[PESO TOTAL]]/Tabela22[[#This Row],[QUANTIDADE]]</f>
        <v>#DIV/0!</v>
      </c>
      <c r="J387" s="2"/>
      <c r="K387" s="193"/>
      <c r="L387" s="8"/>
      <c r="M387" s="8"/>
      <c r="N387" s="8"/>
      <c r="O387" s="194"/>
      <c r="P387" s="195"/>
    </row>
    <row r="388" spans="1:16">
      <c r="A388" s="3"/>
      <c r="B388" s="3" t="str">
        <f>TEXT(Tabela223456[[#This Row],[DATA]],"mmmm")</f>
        <v>janeiro</v>
      </c>
      <c r="C388" s="2"/>
      <c r="D388" s="2"/>
      <c r="E388" s="2"/>
      <c r="F388" s="2"/>
      <c r="G388" s="173"/>
      <c r="H388" s="174"/>
      <c r="I388" s="173" t="e">
        <f>Tabela22[[#This Row],[PESO TOTAL]]/Tabela22[[#This Row],[QUANTIDADE]]</f>
        <v>#DIV/0!</v>
      </c>
      <c r="J388" s="2"/>
      <c r="K388" s="193"/>
      <c r="L388" s="8"/>
      <c r="M388" s="8"/>
      <c r="N388" s="8"/>
      <c r="O388" s="194"/>
      <c r="P388" s="195"/>
    </row>
    <row r="389" spans="1:16">
      <c r="A389" s="3"/>
      <c r="B389" s="3" t="str">
        <f>TEXT(Tabela223456[[#This Row],[DATA]],"mmmm")</f>
        <v>janeiro</v>
      </c>
      <c r="C389" s="2"/>
      <c r="D389" s="2"/>
      <c r="E389" s="2"/>
      <c r="F389" s="2"/>
      <c r="G389" s="173"/>
      <c r="H389" s="174"/>
      <c r="I389" s="173" t="e">
        <f>Tabela22[[#This Row],[PESO TOTAL]]/Tabela22[[#This Row],[QUANTIDADE]]</f>
        <v>#DIV/0!</v>
      </c>
      <c r="J389" s="2"/>
      <c r="K389" s="193"/>
      <c r="L389" s="8"/>
      <c r="M389" s="8"/>
      <c r="N389" s="8"/>
      <c r="O389" s="194"/>
      <c r="P389" s="195"/>
    </row>
    <row r="390" spans="1:16">
      <c r="A390" s="3"/>
      <c r="B390" s="3" t="str">
        <f>TEXT(Tabela223456[[#This Row],[DATA]],"mmmm")</f>
        <v>janeiro</v>
      </c>
      <c r="C390" s="2"/>
      <c r="D390" s="2"/>
      <c r="E390" s="2"/>
      <c r="F390" s="2"/>
      <c r="G390" s="173"/>
      <c r="H390" s="174"/>
      <c r="I390" s="173" t="e">
        <f>Tabela22[[#This Row],[PESO TOTAL]]/Tabela22[[#This Row],[QUANTIDADE]]</f>
        <v>#DIV/0!</v>
      </c>
      <c r="J390" s="2"/>
      <c r="K390" s="193"/>
      <c r="L390" s="8"/>
      <c r="M390" s="8"/>
      <c r="N390" s="8"/>
      <c r="O390" s="194"/>
      <c r="P390" s="195"/>
    </row>
    <row r="391" spans="1:16">
      <c r="A391" s="3"/>
      <c r="B391" s="3" t="str">
        <f>TEXT(Tabela223456[[#This Row],[DATA]],"mmmm")</f>
        <v>janeiro</v>
      </c>
      <c r="C391" s="2"/>
      <c r="D391" s="2"/>
      <c r="E391" s="2"/>
      <c r="F391" s="2"/>
      <c r="G391" s="173"/>
      <c r="H391" s="174"/>
      <c r="I391" s="173" t="e">
        <f>Tabela22[[#This Row],[PESO TOTAL]]/Tabela22[[#This Row],[QUANTIDADE]]</f>
        <v>#DIV/0!</v>
      </c>
      <c r="J391" s="2"/>
      <c r="K391" s="193"/>
      <c r="L391" s="8"/>
      <c r="M391" s="8"/>
      <c r="N391" s="8"/>
      <c r="O391" s="194"/>
      <c r="P391" s="195"/>
    </row>
    <row r="392" spans="1:16">
      <c r="A392" s="3"/>
      <c r="B392" s="3" t="str">
        <f>TEXT(Tabela223456[[#This Row],[DATA]],"mmmm")</f>
        <v>janeiro</v>
      </c>
      <c r="C392" s="2"/>
      <c r="D392" s="2"/>
      <c r="E392" s="2"/>
      <c r="F392" s="2"/>
      <c r="G392" s="173"/>
      <c r="H392" s="174"/>
      <c r="I392" s="173" t="e">
        <f>Tabela22[[#This Row],[PESO TOTAL]]/Tabela22[[#This Row],[QUANTIDADE]]</f>
        <v>#DIV/0!</v>
      </c>
      <c r="J392" s="2"/>
      <c r="K392" s="193"/>
      <c r="L392" s="8"/>
      <c r="M392" s="8"/>
      <c r="N392" s="8"/>
      <c r="O392" s="194"/>
      <c r="P392" s="195"/>
    </row>
    <row r="393" spans="1:16">
      <c r="A393" s="3"/>
      <c r="B393" s="3" t="str">
        <f>TEXT(Tabela223456[[#This Row],[DATA]],"mmmm")</f>
        <v>janeiro</v>
      </c>
      <c r="C393" s="2"/>
      <c r="D393" s="2"/>
      <c r="E393" s="2"/>
      <c r="F393" s="2"/>
      <c r="G393" s="173"/>
      <c r="H393" s="174"/>
      <c r="I393" s="173" t="e">
        <f>Tabela22[[#This Row],[PESO TOTAL]]/Tabela22[[#This Row],[QUANTIDADE]]</f>
        <v>#DIV/0!</v>
      </c>
      <c r="J393" s="2"/>
      <c r="K393" s="193"/>
      <c r="L393" s="8"/>
      <c r="M393" s="8"/>
      <c r="N393" s="8"/>
      <c r="O393" s="194"/>
      <c r="P393" s="195"/>
    </row>
    <row r="394" spans="1:16">
      <c r="A394" s="3"/>
      <c r="B394" s="3" t="str">
        <f>TEXT(Tabela223456[[#This Row],[DATA]],"mmmm")</f>
        <v>janeiro</v>
      </c>
      <c r="C394" s="2"/>
      <c r="D394" s="2"/>
      <c r="E394" s="2"/>
      <c r="F394" s="2"/>
      <c r="G394" s="173"/>
      <c r="H394" s="174"/>
      <c r="I394" s="173" t="e">
        <f>Tabela22[[#This Row],[PESO TOTAL]]/Tabela22[[#This Row],[QUANTIDADE]]</f>
        <v>#DIV/0!</v>
      </c>
      <c r="J394" s="2"/>
      <c r="K394" s="193"/>
      <c r="L394" s="8"/>
      <c r="M394" s="8"/>
      <c r="N394" s="8"/>
      <c r="O394" s="194"/>
      <c r="P394" s="195"/>
    </row>
    <row r="395" spans="1:16">
      <c r="A395" s="3"/>
      <c r="B395" s="3" t="str">
        <f>TEXT(Tabela223456[[#This Row],[DATA]],"mmmm")</f>
        <v>janeiro</v>
      </c>
      <c r="C395" s="2"/>
      <c r="D395" s="2"/>
      <c r="E395" s="2"/>
      <c r="F395" s="2"/>
      <c r="G395" s="173"/>
      <c r="H395" s="174"/>
      <c r="I395" s="173" t="e">
        <f>Tabela22[[#This Row],[PESO TOTAL]]/Tabela22[[#This Row],[QUANTIDADE]]</f>
        <v>#DIV/0!</v>
      </c>
      <c r="J395" s="2"/>
      <c r="K395" s="193"/>
      <c r="L395" s="8"/>
      <c r="M395" s="8"/>
      <c r="N395" s="8"/>
      <c r="O395" s="194"/>
      <c r="P395" s="195"/>
    </row>
    <row r="396" spans="1:16">
      <c r="A396" s="3"/>
      <c r="B396" s="3" t="str">
        <f>TEXT(Tabela223456[[#This Row],[DATA]],"mmmm")</f>
        <v>janeiro</v>
      </c>
      <c r="C396" s="2"/>
      <c r="D396" s="2"/>
      <c r="E396" s="2"/>
      <c r="F396" s="2"/>
      <c r="G396" s="173"/>
      <c r="H396" s="174"/>
      <c r="I396" s="173" t="e">
        <f>Tabela22[[#This Row],[PESO TOTAL]]/Tabela22[[#This Row],[QUANTIDADE]]</f>
        <v>#DIV/0!</v>
      </c>
      <c r="J396" s="2"/>
      <c r="K396" s="193"/>
      <c r="L396" s="8"/>
      <c r="M396" s="8"/>
      <c r="N396" s="8"/>
      <c r="O396" s="194"/>
      <c r="P396" s="195"/>
    </row>
    <row r="397" spans="1:16">
      <c r="A397" s="3"/>
      <c r="B397" s="3" t="str">
        <f>TEXT(Tabela223456[[#This Row],[DATA]],"mmmm")</f>
        <v>janeiro</v>
      </c>
      <c r="C397" s="2"/>
      <c r="D397" s="2"/>
      <c r="E397" s="2"/>
      <c r="F397" s="2"/>
      <c r="G397" s="173"/>
      <c r="H397" s="174"/>
      <c r="I397" s="173" t="e">
        <f>Tabela22[[#This Row],[PESO TOTAL]]/Tabela22[[#This Row],[QUANTIDADE]]</f>
        <v>#DIV/0!</v>
      </c>
      <c r="J397" s="2"/>
      <c r="K397" s="193"/>
      <c r="L397" s="8"/>
      <c r="M397" s="8"/>
      <c r="N397" s="8"/>
      <c r="O397" s="194"/>
      <c r="P397" s="195"/>
    </row>
    <row r="398" spans="1:16">
      <c r="A398" s="3"/>
      <c r="B398" s="3" t="str">
        <f>TEXT(Tabela223456[[#This Row],[DATA]],"mmmm")</f>
        <v>janeiro</v>
      </c>
      <c r="C398" s="2"/>
      <c r="D398" s="2"/>
      <c r="E398" s="2"/>
      <c r="F398" s="2"/>
      <c r="G398" s="173"/>
      <c r="H398" s="174"/>
      <c r="I398" s="173" t="e">
        <f>Tabela22[[#This Row],[PESO TOTAL]]/Tabela22[[#This Row],[QUANTIDADE]]</f>
        <v>#DIV/0!</v>
      </c>
      <c r="J398" s="2"/>
      <c r="K398" s="193"/>
      <c r="L398" s="8"/>
      <c r="M398" s="8"/>
      <c r="N398" s="8"/>
      <c r="O398" s="194"/>
      <c r="P398" s="195"/>
    </row>
    <row r="399" spans="1:16">
      <c r="A399" s="3"/>
      <c r="B399" s="3" t="str">
        <f>TEXT(Tabela223456[[#This Row],[DATA]],"mmmm")</f>
        <v>janeiro</v>
      </c>
      <c r="C399" s="2"/>
      <c r="D399" s="2"/>
      <c r="E399" s="2"/>
      <c r="F399" s="2"/>
      <c r="G399" s="173"/>
      <c r="H399" s="174"/>
      <c r="I399" s="173" t="e">
        <f>Tabela22[[#This Row],[PESO TOTAL]]/Tabela22[[#This Row],[QUANTIDADE]]</f>
        <v>#DIV/0!</v>
      </c>
      <c r="J399" s="2"/>
      <c r="K399" s="193"/>
      <c r="L399" s="8"/>
      <c r="M399" s="8"/>
      <c r="N399" s="8"/>
      <c r="O399" s="194"/>
      <c r="P399" s="195"/>
    </row>
    <row r="400" spans="1:16">
      <c r="A400" s="3"/>
      <c r="B400" s="3" t="str">
        <f>TEXT(Tabela223456[[#This Row],[DATA]],"mmmm")</f>
        <v>janeiro</v>
      </c>
      <c r="C400" s="2"/>
      <c r="D400" s="2"/>
      <c r="E400" s="2"/>
      <c r="F400" s="2"/>
      <c r="G400" s="173"/>
      <c r="H400" s="174"/>
      <c r="I400" s="173" t="e">
        <f>Tabela22[[#This Row],[PESO TOTAL]]/Tabela22[[#This Row],[QUANTIDADE]]</f>
        <v>#DIV/0!</v>
      </c>
      <c r="J400" s="2"/>
      <c r="K400" s="193"/>
      <c r="L400" s="8"/>
      <c r="M400" s="8"/>
      <c r="N400" s="8"/>
      <c r="O400" s="194"/>
      <c r="P400" s="195"/>
    </row>
    <row r="401" spans="1:16">
      <c r="A401" s="3"/>
      <c r="B401" s="3" t="str">
        <f>TEXT(Tabela223456[[#This Row],[DATA]],"mmmm")</f>
        <v>janeiro</v>
      </c>
      <c r="C401" s="2"/>
      <c r="D401" s="2"/>
      <c r="E401" s="2"/>
      <c r="F401" s="2"/>
      <c r="G401" s="173"/>
      <c r="H401" s="174"/>
      <c r="I401" s="173" t="e">
        <f>Tabela22[[#This Row],[PESO TOTAL]]/Tabela22[[#This Row],[QUANTIDADE]]</f>
        <v>#DIV/0!</v>
      </c>
      <c r="J401" s="2"/>
      <c r="K401" s="193"/>
      <c r="L401" s="8"/>
      <c r="M401" s="8"/>
      <c r="N401" s="8"/>
      <c r="O401" s="194"/>
      <c r="P401" s="195"/>
    </row>
    <row r="402" spans="1:16">
      <c r="A402" s="3"/>
      <c r="B402" s="3" t="str">
        <f>TEXT(Tabela223456[[#This Row],[DATA]],"mmmm")</f>
        <v>janeiro</v>
      </c>
      <c r="C402" s="2"/>
      <c r="D402" s="2"/>
      <c r="E402" s="2"/>
      <c r="F402" s="2"/>
      <c r="G402" s="173"/>
      <c r="H402" s="174"/>
      <c r="I402" s="173" t="e">
        <f>Tabela22[[#This Row],[PESO TOTAL]]/Tabela22[[#This Row],[QUANTIDADE]]</f>
        <v>#DIV/0!</v>
      </c>
      <c r="J402" s="2"/>
      <c r="K402" s="193"/>
      <c r="L402" s="8"/>
      <c r="M402" s="8"/>
      <c r="N402" s="8"/>
      <c r="O402" s="194"/>
      <c r="P402" s="195"/>
    </row>
    <row r="403" spans="1:16">
      <c r="A403" s="3"/>
      <c r="B403" s="3" t="str">
        <f>TEXT(Tabela223456[[#This Row],[DATA]],"mmmm")</f>
        <v>janeiro</v>
      </c>
      <c r="C403" s="2"/>
      <c r="D403" s="2"/>
      <c r="E403" s="2"/>
      <c r="F403" s="2"/>
      <c r="G403" s="173"/>
      <c r="H403" s="174"/>
      <c r="I403" s="173" t="e">
        <f>Tabela22[[#This Row],[PESO TOTAL]]/Tabela22[[#This Row],[QUANTIDADE]]</f>
        <v>#DIV/0!</v>
      </c>
      <c r="J403" s="2"/>
      <c r="K403" s="193"/>
      <c r="L403" s="8"/>
      <c r="M403" s="8"/>
      <c r="N403" s="8"/>
      <c r="O403" s="194"/>
      <c r="P403" s="195"/>
    </row>
    <row r="404" spans="1:16">
      <c r="A404" s="3"/>
      <c r="B404" s="3" t="str">
        <f>TEXT(Tabela223456[[#This Row],[DATA]],"mmmm")</f>
        <v>janeiro</v>
      </c>
      <c r="C404" s="2"/>
      <c r="D404" s="2"/>
      <c r="E404" s="2"/>
      <c r="F404" s="2"/>
      <c r="G404" s="173"/>
      <c r="H404" s="174"/>
      <c r="I404" s="173" t="e">
        <f>Tabela22[[#This Row],[PESO TOTAL]]/Tabela22[[#This Row],[QUANTIDADE]]</f>
        <v>#DIV/0!</v>
      </c>
      <c r="J404" s="2"/>
      <c r="K404" s="193"/>
      <c r="L404" s="8"/>
      <c r="M404" s="8"/>
      <c r="N404" s="8"/>
      <c r="O404" s="194"/>
      <c r="P404" s="195"/>
    </row>
    <row r="405" spans="1:16">
      <c r="A405" s="3"/>
      <c r="B405" s="3" t="str">
        <f>TEXT(Tabela223456[[#This Row],[DATA]],"mmmm")</f>
        <v>janeiro</v>
      </c>
      <c r="C405" s="2"/>
      <c r="D405" s="2"/>
      <c r="E405" s="2"/>
      <c r="F405" s="2"/>
      <c r="G405" s="173"/>
      <c r="H405" s="174"/>
      <c r="I405" s="173" t="e">
        <f>Tabela22[[#This Row],[PESO TOTAL]]/Tabela22[[#This Row],[QUANTIDADE]]</f>
        <v>#DIV/0!</v>
      </c>
      <c r="J405" s="2"/>
      <c r="K405" s="193"/>
      <c r="L405" s="8"/>
      <c r="M405" s="8"/>
      <c r="N405" s="8"/>
      <c r="O405" s="194"/>
      <c r="P405" s="195"/>
    </row>
    <row r="406" spans="1:16">
      <c r="A406" s="3"/>
      <c r="B406" s="3" t="str">
        <f>TEXT(Tabela223456[[#This Row],[DATA]],"mmmm")</f>
        <v>janeiro</v>
      </c>
      <c r="C406" s="2"/>
      <c r="D406" s="2"/>
      <c r="E406" s="2"/>
      <c r="F406" s="2"/>
      <c r="G406" s="173"/>
      <c r="H406" s="174"/>
      <c r="I406" s="173" t="e">
        <f>Tabela22[[#This Row],[PESO TOTAL]]/Tabela22[[#This Row],[QUANTIDADE]]</f>
        <v>#DIV/0!</v>
      </c>
      <c r="J406" s="2"/>
      <c r="K406" s="193"/>
      <c r="L406" s="8"/>
      <c r="M406" s="8"/>
      <c r="N406" s="8"/>
      <c r="O406" s="194"/>
      <c r="P406" s="195"/>
    </row>
    <row r="407" spans="1:16">
      <c r="A407" s="3"/>
      <c r="B407" s="3" t="str">
        <f>TEXT(Tabela223456[[#This Row],[DATA]],"mmmm")</f>
        <v>janeiro</v>
      </c>
      <c r="C407" s="2"/>
      <c r="D407" s="2"/>
      <c r="E407" s="2"/>
      <c r="F407" s="2"/>
      <c r="G407" s="173"/>
      <c r="H407" s="174"/>
      <c r="I407" s="173" t="e">
        <f>Tabela22[[#This Row],[PESO TOTAL]]/Tabela22[[#This Row],[QUANTIDADE]]</f>
        <v>#DIV/0!</v>
      </c>
      <c r="J407" s="2"/>
      <c r="K407" s="193"/>
      <c r="L407" s="8"/>
      <c r="M407" s="8"/>
      <c r="N407" s="8"/>
      <c r="O407" s="194"/>
      <c r="P407" s="195"/>
    </row>
    <row r="408" spans="1:16">
      <c r="A408" s="3"/>
      <c r="B408" s="3" t="str">
        <f>TEXT(Tabela223456[[#This Row],[DATA]],"mmmm")</f>
        <v>janeiro</v>
      </c>
      <c r="C408" s="2"/>
      <c r="D408" s="2"/>
      <c r="E408" s="2"/>
      <c r="F408" s="2"/>
      <c r="G408" s="173"/>
      <c r="H408" s="174"/>
      <c r="I408" s="173" t="e">
        <f>Tabela22[[#This Row],[PESO TOTAL]]/Tabela22[[#This Row],[QUANTIDADE]]</f>
        <v>#DIV/0!</v>
      </c>
      <c r="J408" s="2"/>
      <c r="K408" s="193"/>
      <c r="L408" s="8"/>
      <c r="M408" s="8"/>
      <c r="N408" s="8"/>
      <c r="O408" s="194"/>
      <c r="P408" s="195"/>
    </row>
    <row r="409" spans="1:16">
      <c r="A409" s="3"/>
      <c r="B409" s="3" t="str">
        <f>TEXT(Tabela223456[[#This Row],[DATA]],"mmmm")</f>
        <v>janeiro</v>
      </c>
      <c r="C409" s="2"/>
      <c r="D409" s="2"/>
      <c r="E409" s="2"/>
      <c r="F409" s="2"/>
      <c r="G409" s="173"/>
      <c r="H409" s="174"/>
      <c r="I409" s="173" t="e">
        <f>Tabela22[[#This Row],[PESO TOTAL]]/Tabela22[[#This Row],[QUANTIDADE]]</f>
        <v>#DIV/0!</v>
      </c>
      <c r="J409" s="2"/>
      <c r="K409" s="193"/>
      <c r="L409" s="8"/>
      <c r="M409" s="8"/>
      <c r="N409" s="8"/>
      <c r="O409" s="194"/>
      <c r="P409" s="195"/>
    </row>
    <row r="410" spans="1:16">
      <c r="A410" s="3"/>
      <c r="B410" s="3" t="str">
        <f>TEXT(Tabela223456[[#This Row],[DATA]],"mmmm")</f>
        <v>janeiro</v>
      </c>
      <c r="C410" s="2"/>
      <c r="D410" s="2"/>
      <c r="E410" s="2"/>
      <c r="F410" s="2"/>
      <c r="G410" s="173"/>
      <c r="H410" s="174"/>
      <c r="I410" s="173" t="e">
        <f>Tabela22[[#This Row],[PESO TOTAL]]/Tabela22[[#This Row],[QUANTIDADE]]</f>
        <v>#DIV/0!</v>
      </c>
      <c r="J410" s="2"/>
      <c r="K410" s="193"/>
      <c r="L410" s="8"/>
      <c r="M410" s="8"/>
      <c r="N410" s="8"/>
      <c r="O410" s="194"/>
      <c r="P410" s="195"/>
    </row>
    <row r="411" spans="1:16">
      <c r="A411" s="3"/>
      <c r="B411" s="3" t="str">
        <f>TEXT(Tabela223456[[#This Row],[DATA]],"mmmm")</f>
        <v>janeiro</v>
      </c>
      <c r="C411" s="2"/>
      <c r="D411" s="2"/>
      <c r="E411" s="2"/>
      <c r="F411" s="2"/>
      <c r="G411" s="173"/>
      <c r="H411" s="174"/>
      <c r="I411" s="173" t="e">
        <f>Tabela22[[#This Row],[PESO TOTAL]]/Tabela22[[#This Row],[QUANTIDADE]]</f>
        <v>#DIV/0!</v>
      </c>
      <c r="J411" s="2"/>
      <c r="K411" s="193"/>
      <c r="L411" s="8"/>
      <c r="M411" s="8"/>
      <c r="N411" s="8"/>
      <c r="O411" s="194"/>
      <c r="P411" s="195"/>
    </row>
    <row r="412" spans="1:16">
      <c r="A412" s="3"/>
      <c r="B412" s="3" t="str">
        <f>TEXT(Tabela223456[[#This Row],[DATA]],"mmmm")</f>
        <v>janeiro</v>
      </c>
      <c r="C412" s="2"/>
      <c r="D412" s="2"/>
      <c r="E412" s="2"/>
      <c r="F412" s="2"/>
      <c r="G412" s="173"/>
      <c r="H412" s="174"/>
      <c r="I412" s="173" t="e">
        <f>Tabela22[[#This Row],[PESO TOTAL]]/Tabela22[[#This Row],[QUANTIDADE]]</f>
        <v>#DIV/0!</v>
      </c>
      <c r="J412" s="2"/>
      <c r="K412" s="193"/>
      <c r="L412" s="8"/>
      <c r="M412" s="8"/>
      <c r="N412" s="8"/>
      <c r="O412" s="194"/>
      <c r="P412" s="195"/>
    </row>
    <row r="413" spans="1:16">
      <c r="A413" s="3"/>
      <c r="B413" s="3" t="str">
        <f>TEXT(Tabela223456[[#This Row],[DATA]],"mmmm")</f>
        <v>janeiro</v>
      </c>
      <c r="C413" s="2"/>
      <c r="D413" s="2"/>
      <c r="E413" s="2"/>
      <c r="F413" s="2"/>
      <c r="G413" s="173"/>
      <c r="H413" s="174"/>
      <c r="I413" s="173" t="e">
        <f>Tabela22[[#This Row],[PESO TOTAL]]/Tabela22[[#This Row],[QUANTIDADE]]</f>
        <v>#DIV/0!</v>
      </c>
      <c r="J413" s="2"/>
      <c r="K413" s="193"/>
      <c r="L413" s="8"/>
      <c r="M413" s="8"/>
      <c r="N413" s="8"/>
      <c r="O413" s="194"/>
      <c r="P413" s="195"/>
    </row>
    <row r="414" spans="1:16">
      <c r="A414" s="3"/>
      <c r="B414" s="3" t="str">
        <f>TEXT(Tabela223456[[#This Row],[DATA]],"mmmm")</f>
        <v>janeiro</v>
      </c>
      <c r="C414" s="2"/>
      <c r="D414" s="2"/>
      <c r="E414" s="2"/>
      <c r="F414" s="2"/>
      <c r="G414" s="173"/>
      <c r="H414" s="174"/>
      <c r="I414" s="173" t="e">
        <f>Tabela22[[#This Row],[PESO TOTAL]]/Tabela22[[#This Row],[QUANTIDADE]]</f>
        <v>#DIV/0!</v>
      </c>
      <c r="J414" s="2"/>
      <c r="K414" s="193"/>
      <c r="L414" s="8"/>
      <c r="M414" s="8"/>
      <c r="N414" s="8"/>
      <c r="O414" s="194"/>
      <c r="P414" s="195"/>
    </row>
    <row r="415" spans="1:16">
      <c r="A415" s="3"/>
      <c r="B415" s="3" t="str">
        <f>TEXT(Tabela223456[[#This Row],[DATA]],"mmmm")</f>
        <v>janeiro</v>
      </c>
      <c r="C415" s="2"/>
      <c r="D415" s="2"/>
      <c r="E415" s="2"/>
      <c r="F415" s="2"/>
      <c r="G415" s="173"/>
      <c r="H415" s="174"/>
      <c r="I415" s="173" t="e">
        <f>Tabela22[[#This Row],[PESO TOTAL]]/Tabela22[[#This Row],[QUANTIDADE]]</f>
        <v>#DIV/0!</v>
      </c>
      <c r="J415" s="2"/>
      <c r="K415" s="193"/>
      <c r="L415" s="8"/>
      <c r="M415" s="8"/>
      <c r="N415" s="8"/>
      <c r="O415" s="194"/>
      <c r="P415" s="195"/>
    </row>
    <row r="416" spans="1:16">
      <c r="A416" s="3"/>
      <c r="B416" s="3" t="str">
        <f>TEXT(Tabela223456[[#This Row],[DATA]],"mmmm")</f>
        <v>janeiro</v>
      </c>
      <c r="C416" s="2"/>
      <c r="D416" s="2"/>
      <c r="E416" s="2"/>
      <c r="F416" s="2"/>
      <c r="G416" s="173"/>
      <c r="H416" s="174"/>
      <c r="I416" s="173" t="e">
        <f>Tabela22[[#This Row],[PESO TOTAL]]/Tabela22[[#This Row],[QUANTIDADE]]</f>
        <v>#DIV/0!</v>
      </c>
      <c r="J416" s="2"/>
      <c r="K416" s="193"/>
      <c r="L416" s="8"/>
      <c r="M416" s="8"/>
      <c r="N416" s="8"/>
      <c r="O416" s="194"/>
      <c r="P416" s="195"/>
    </row>
    <row r="417" spans="1:16">
      <c r="A417" s="3"/>
      <c r="B417" s="3" t="str">
        <f>TEXT(Tabela223456[[#This Row],[DATA]],"mmmm")</f>
        <v>janeiro</v>
      </c>
      <c r="C417" s="2"/>
      <c r="D417" s="2"/>
      <c r="E417" s="2"/>
      <c r="F417" s="2"/>
      <c r="G417" s="173"/>
      <c r="H417" s="174"/>
      <c r="I417" s="173" t="e">
        <f>Tabela22[[#This Row],[PESO TOTAL]]/Tabela22[[#This Row],[QUANTIDADE]]</f>
        <v>#DIV/0!</v>
      </c>
      <c r="J417" s="2"/>
      <c r="K417" s="193"/>
      <c r="L417" s="8"/>
      <c r="M417" s="8"/>
      <c r="N417" s="8"/>
      <c r="O417" s="194"/>
      <c r="P417" s="195"/>
    </row>
    <row r="418" spans="1:16">
      <c r="A418" s="3"/>
      <c r="B418" s="3" t="str">
        <f>TEXT(Tabela223456[[#This Row],[DATA]],"mmmm")</f>
        <v>janeiro</v>
      </c>
      <c r="C418" s="2"/>
      <c r="D418" s="2"/>
      <c r="E418" s="2"/>
      <c r="F418" s="2"/>
      <c r="G418" s="173"/>
      <c r="H418" s="174"/>
      <c r="I418" s="173" t="e">
        <f>Tabela22[[#This Row],[PESO TOTAL]]/Tabela22[[#This Row],[QUANTIDADE]]</f>
        <v>#DIV/0!</v>
      </c>
      <c r="J418" s="2"/>
      <c r="K418" s="193"/>
      <c r="L418" s="8"/>
      <c r="M418" s="8"/>
      <c r="N418" s="8"/>
      <c r="O418" s="194"/>
      <c r="P418" s="195"/>
    </row>
    <row r="419" spans="1:16">
      <c r="A419" s="3"/>
      <c r="B419" s="3" t="str">
        <f>TEXT(Tabela223456[[#This Row],[DATA]],"mmmm")</f>
        <v>janeiro</v>
      </c>
      <c r="C419" s="2"/>
      <c r="D419" s="2"/>
      <c r="E419" s="2"/>
      <c r="F419" s="2"/>
      <c r="G419" s="173"/>
      <c r="H419" s="174"/>
      <c r="I419" s="173" t="e">
        <f>Tabela22[[#This Row],[PESO TOTAL]]/Tabela22[[#This Row],[QUANTIDADE]]</f>
        <v>#DIV/0!</v>
      </c>
      <c r="J419" s="2"/>
      <c r="K419" s="193"/>
      <c r="L419" s="8"/>
      <c r="M419" s="8"/>
      <c r="N419" s="8"/>
      <c r="O419" s="194"/>
      <c r="P419" s="195"/>
    </row>
    <row r="420" spans="1:16">
      <c r="A420" s="3"/>
      <c r="B420" s="3" t="str">
        <f>TEXT(Tabela223456[[#This Row],[DATA]],"mmmm")</f>
        <v>janeiro</v>
      </c>
      <c r="C420" s="2"/>
      <c r="D420" s="2"/>
      <c r="E420" s="2"/>
      <c r="F420" s="2"/>
      <c r="G420" s="173"/>
      <c r="H420" s="174"/>
      <c r="I420" s="173" t="e">
        <f>Tabela22[[#This Row],[PESO TOTAL]]/Tabela22[[#This Row],[QUANTIDADE]]</f>
        <v>#DIV/0!</v>
      </c>
      <c r="J420" s="2"/>
      <c r="K420" s="193"/>
      <c r="L420" s="8"/>
      <c r="M420" s="8"/>
      <c r="N420" s="8"/>
      <c r="O420" s="194"/>
      <c r="P420" s="195"/>
    </row>
    <row r="421" spans="1:16">
      <c r="A421" s="3"/>
      <c r="B421" s="3" t="str">
        <f>TEXT(Tabela223456[[#This Row],[DATA]],"mmmm")</f>
        <v>janeiro</v>
      </c>
      <c r="C421" s="2"/>
      <c r="D421" s="2"/>
      <c r="E421" s="2"/>
      <c r="F421" s="2"/>
      <c r="G421" s="173"/>
      <c r="H421" s="174"/>
      <c r="I421" s="173" t="e">
        <f>Tabela22[[#This Row],[PESO TOTAL]]/Tabela22[[#This Row],[QUANTIDADE]]</f>
        <v>#DIV/0!</v>
      </c>
      <c r="J421" s="2"/>
      <c r="K421" s="193"/>
      <c r="L421" s="8"/>
      <c r="M421" s="8"/>
      <c r="N421" s="8"/>
      <c r="O421" s="194"/>
      <c r="P421" s="195"/>
    </row>
    <row r="422" spans="1:16">
      <c r="A422" s="3"/>
      <c r="B422" s="3" t="str">
        <f>TEXT(Tabela223456[[#This Row],[DATA]],"mmmm")</f>
        <v>janeiro</v>
      </c>
      <c r="C422" s="2"/>
      <c r="D422" s="2"/>
      <c r="E422" s="2"/>
      <c r="F422" s="2"/>
      <c r="G422" s="173"/>
      <c r="H422" s="174"/>
      <c r="I422" s="173" t="e">
        <f>Tabela22[[#This Row],[PESO TOTAL]]/Tabela22[[#This Row],[QUANTIDADE]]</f>
        <v>#DIV/0!</v>
      </c>
      <c r="J422" s="2"/>
      <c r="K422" s="193"/>
      <c r="L422" s="8"/>
      <c r="M422" s="8"/>
      <c r="N422" s="8"/>
      <c r="O422" s="194"/>
      <c r="P422" s="195"/>
    </row>
    <row r="423" spans="1:16">
      <c r="A423" s="3"/>
      <c r="B423" s="3" t="str">
        <f>TEXT(Tabela223456[[#This Row],[DATA]],"mmmm")</f>
        <v>janeiro</v>
      </c>
      <c r="C423" s="2"/>
      <c r="D423" s="2"/>
      <c r="E423" s="2"/>
      <c r="F423" s="2"/>
      <c r="G423" s="173"/>
      <c r="H423" s="174"/>
      <c r="I423" s="173" t="e">
        <f>Tabela22[[#This Row],[PESO TOTAL]]/Tabela22[[#This Row],[QUANTIDADE]]</f>
        <v>#DIV/0!</v>
      </c>
      <c r="J423" s="2"/>
      <c r="K423" s="193"/>
      <c r="L423" s="8"/>
      <c r="M423" s="8"/>
      <c r="N423" s="8"/>
      <c r="O423" s="194"/>
      <c r="P423" s="195"/>
    </row>
    <row r="424" spans="1:16">
      <c r="A424" s="3"/>
      <c r="B424" s="3" t="str">
        <f>TEXT(Tabela223456[[#This Row],[DATA]],"mmmm")</f>
        <v>janeiro</v>
      </c>
      <c r="C424" s="2"/>
      <c r="D424" s="2"/>
      <c r="E424" s="2"/>
      <c r="F424" s="2"/>
      <c r="G424" s="173"/>
      <c r="H424" s="174"/>
      <c r="I424" s="173" t="e">
        <f>Tabela22[[#This Row],[PESO TOTAL]]/Tabela22[[#This Row],[QUANTIDADE]]</f>
        <v>#DIV/0!</v>
      </c>
      <c r="J424" s="2"/>
      <c r="K424" s="193"/>
      <c r="L424" s="8"/>
      <c r="M424" s="8"/>
      <c r="N424" s="8"/>
      <c r="O424" s="194"/>
      <c r="P424" s="195"/>
    </row>
    <row r="425" spans="1:16">
      <c r="A425" s="3"/>
      <c r="B425" s="3" t="str">
        <f>TEXT(Tabela223456[[#This Row],[DATA]],"mmmm")</f>
        <v>janeiro</v>
      </c>
      <c r="C425" s="2"/>
      <c r="D425" s="2"/>
      <c r="E425" s="2"/>
      <c r="F425" s="2"/>
      <c r="G425" s="173"/>
      <c r="H425" s="174"/>
      <c r="I425" s="173" t="e">
        <f>Tabela22[[#This Row],[PESO TOTAL]]/Tabela22[[#This Row],[QUANTIDADE]]</f>
        <v>#DIV/0!</v>
      </c>
      <c r="J425" s="2"/>
      <c r="K425" s="193"/>
      <c r="L425" s="8"/>
      <c r="M425" s="8"/>
      <c r="N425" s="8"/>
      <c r="O425" s="194"/>
      <c r="P425" s="195"/>
    </row>
    <row r="426" spans="1:16">
      <c r="A426" s="3"/>
      <c r="B426" s="3" t="str">
        <f>TEXT(Tabela223456[[#This Row],[DATA]],"mmmm")</f>
        <v>janeiro</v>
      </c>
      <c r="C426" s="2"/>
      <c r="D426" s="2"/>
      <c r="E426" s="2"/>
      <c r="F426" s="2"/>
      <c r="G426" s="173"/>
      <c r="H426" s="174"/>
      <c r="I426" s="173" t="e">
        <f>Tabela22[[#This Row],[PESO TOTAL]]/Tabela22[[#This Row],[QUANTIDADE]]</f>
        <v>#DIV/0!</v>
      </c>
      <c r="J426" s="2"/>
      <c r="K426" s="193"/>
      <c r="L426" s="8"/>
      <c r="M426" s="8"/>
      <c r="N426" s="8"/>
      <c r="O426" s="194"/>
      <c r="P426" s="195"/>
    </row>
    <row r="427" spans="1:16">
      <c r="A427" s="3"/>
      <c r="B427" s="3" t="str">
        <f>TEXT(Tabela223456[[#This Row],[DATA]],"mmmm")</f>
        <v>janeiro</v>
      </c>
      <c r="C427" s="2"/>
      <c r="D427" s="2"/>
      <c r="E427" s="2"/>
      <c r="F427" s="2"/>
      <c r="G427" s="173"/>
      <c r="H427" s="174"/>
      <c r="I427" s="173" t="e">
        <f>Tabela22[[#This Row],[PESO TOTAL]]/Tabela22[[#This Row],[QUANTIDADE]]</f>
        <v>#DIV/0!</v>
      </c>
      <c r="J427" s="2"/>
      <c r="K427" s="193"/>
      <c r="L427" s="8"/>
      <c r="M427" s="8"/>
      <c r="N427" s="8"/>
      <c r="O427" s="194"/>
      <c r="P427" s="195"/>
    </row>
    <row r="428" spans="1:16">
      <c r="A428" s="3"/>
      <c r="B428" s="3" t="str">
        <f>TEXT(Tabela223456[[#This Row],[DATA]],"mmmm")</f>
        <v>janeiro</v>
      </c>
      <c r="C428" s="2"/>
      <c r="D428" s="2"/>
      <c r="E428" s="2"/>
      <c r="F428" s="2"/>
      <c r="G428" s="173"/>
      <c r="H428" s="174"/>
      <c r="I428" s="173" t="e">
        <f>Tabela22[[#This Row],[PESO TOTAL]]/Tabela22[[#This Row],[QUANTIDADE]]</f>
        <v>#DIV/0!</v>
      </c>
      <c r="J428" s="2"/>
      <c r="K428" s="193"/>
      <c r="L428" s="8"/>
      <c r="M428" s="8"/>
      <c r="N428" s="8"/>
      <c r="O428" s="194"/>
      <c r="P428" s="195"/>
    </row>
    <row r="429" spans="1:16">
      <c r="A429" s="3"/>
      <c r="B429" s="3" t="str">
        <f>TEXT(Tabela223456[[#This Row],[DATA]],"mmmm")</f>
        <v>janeiro</v>
      </c>
      <c r="C429" s="2"/>
      <c r="D429" s="2"/>
      <c r="E429" s="2"/>
      <c r="F429" s="2"/>
      <c r="G429" s="173"/>
      <c r="H429" s="174"/>
      <c r="I429" s="173" t="e">
        <f>Tabela22[[#This Row],[PESO TOTAL]]/Tabela22[[#This Row],[QUANTIDADE]]</f>
        <v>#DIV/0!</v>
      </c>
      <c r="J429" s="2"/>
      <c r="K429" s="193"/>
      <c r="L429" s="8"/>
      <c r="M429" s="8"/>
      <c r="N429" s="8"/>
      <c r="O429" s="194"/>
      <c r="P429" s="195"/>
    </row>
    <row r="430" spans="1:16">
      <c r="A430" s="3"/>
      <c r="B430" s="3" t="str">
        <f>TEXT(Tabela223456[[#This Row],[DATA]],"mmmm")</f>
        <v>janeiro</v>
      </c>
      <c r="C430" s="2"/>
      <c r="D430" s="2"/>
      <c r="E430" s="2"/>
      <c r="F430" s="2"/>
      <c r="G430" s="173"/>
      <c r="H430" s="174"/>
      <c r="I430" s="173" t="e">
        <f>Tabela22[[#This Row],[PESO TOTAL]]/Tabela22[[#This Row],[QUANTIDADE]]</f>
        <v>#DIV/0!</v>
      </c>
      <c r="J430" s="2"/>
      <c r="K430" s="193"/>
      <c r="L430" s="8"/>
      <c r="M430" s="8"/>
      <c r="N430" s="8"/>
      <c r="O430" s="194"/>
      <c r="P430" s="195"/>
    </row>
    <row r="431" spans="1:16">
      <c r="A431" s="3"/>
      <c r="B431" s="3" t="str">
        <f>TEXT(Tabela223456[[#This Row],[DATA]],"mmmm")</f>
        <v>janeiro</v>
      </c>
      <c r="C431" s="2"/>
      <c r="D431" s="2"/>
      <c r="E431" s="2"/>
      <c r="F431" s="2"/>
      <c r="G431" s="173"/>
      <c r="H431" s="174"/>
      <c r="I431" s="173" t="e">
        <f>Tabela22[[#This Row],[PESO TOTAL]]/Tabela22[[#This Row],[QUANTIDADE]]</f>
        <v>#DIV/0!</v>
      </c>
      <c r="J431" s="2"/>
      <c r="K431" s="193"/>
      <c r="L431" s="8"/>
      <c r="M431" s="8"/>
      <c r="N431" s="8"/>
      <c r="O431" s="194"/>
      <c r="P431" s="195"/>
    </row>
    <row r="432" spans="1:16">
      <c r="A432" s="3"/>
      <c r="B432" s="3" t="str">
        <f>TEXT(Tabela223456[[#This Row],[DATA]],"mmmm")</f>
        <v>janeiro</v>
      </c>
      <c r="C432" s="2"/>
      <c r="D432" s="2"/>
      <c r="E432" s="2"/>
      <c r="F432" s="2"/>
      <c r="G432" s="173"/>
      <c r="H432" s="174"/>
      <c r="I432" s="173" t="e">
        <f>Tabela22[[#This Row],[PESO TOTAL]]/Tabela22[[#This Row],[QUANTIDADE]]</f>
        <v>#DIV/0!</v>
      </c>
      <c r="J432" s="2"/>
      <c r="K432" s="193"/>
      <c r="L432" s="8"/>
      <c r="M432" s="8"/>
      <c r="N432" s="8"/>
      <c r="O432" s="194"/>
      <c r="P432" s="195"/>
    </row>
    <row r="433" spans="1:16">
      <c r="A433" s="3"/>
      <c r="B433" s="3" t="str">
        <f>TEXT(Tabela223456[[#This Row],[DATA]],"mmmm")</f>
        <v>janeiro</v>
      </c>
      <c r="C433" s="2"/>
      <c r="D433" s="2"/>
      <c r="E433" s="2"/>
      <c r="F433" s="2"/>
      <c r="G433" s="173"/>
      <c r="H433" s="174"/>
      <c r="I433" s="173" t="e">
        <f>Tabela22[[#This Row],[PESO TOTAL]]/Tabela22[[#This Row],[QUANTIDADE]]</f>
        <v>#DIV/0!</v>
      </c>
      <c r="J433" s="2"/>
      <c r="K433" s="193"/>
      <c r="L433" s="8"/>
      <c r="M433" s="8"/>
      <c r="N433" s="8"/>
      <c r="O433" s="194"/>
      <c r="P433" s="195"/>
    </row>
    <row r="434" spans="1:16">
      <c r="A434" s="3"/>
      <c r="B434" s="3" t="str">
        <f>TEXT(Tabela223456[[#This Row],[DATA]],"mmmm")</f>
        <v>janeiro</v>
      </c>
      <c r="C434" s="2"/>
      <c r="D434" s="2"/>
      <c r="E434" s="2"/>
      <c r="F434" s="2"/>
      <c r="G434" s="173"/>
      <c r="H434" s="174"/>
      <c r="I434" s="173" t="e">
        <f>Tabela22[[#This Row],[PESO TOTAL]]/Tabela22[[#This Row],[QUANTIDADE]]</f>
        <v>#DIV/0!</v>
      </c>
      <c r="J434" s="2"/>
      <c r="K434" s="193"/>
      <c r="L434" s="8"/>
      <c r="M434" s="8"/>
      <c r="N434" s="8"/>
      <c r="O434" s="194"/>
      <c r="P434" s="195"/>
    </row>
    <row r="435" spans="1:16">
      <c r="A435" s="3"/>
      <c r="B435" s="3" t="str">
        <f>TEXT(Tabela223456[[#This Row],[DATA]],"mmmm")</f>
        <v>janeiro</v>
      </c>
      <c r="C435" s="2"/>
      <c r="D435" s="2"/>
      <c r="E435" s="2"/>
      <c r="F435" s="2"/>
      <c r="G435" s="173"/>
      <c r="H435" s="174"/>
      <c r="I435" s="173" t="e">
        <f>Tabela22[[#This Row],[PESO TOTAL]]/Tabela22[[#This Row],[QUANTIDADE]]</f>
        <v>#DIV/0!</v>
      </c>
      <c r="J435" s="2"/>
      <c r="K435" s="193"/>
      <c r="L435" s="8"/>
      <c r="M435" s="8"/>
      <c r="N435" s="8"/>
      <c r="O435" s="194"/>
      <c r="P435" s="195"/>
    </row>
    <row r="436" spans="1:16">
      <c r="A436" s="3"/>
      <c r="B436" s="3" t="str">
        <f>TEXT(Tabela223456[[#This Row],[DATA]],"mmmm")</f>
        <v>janeiro</v>
      </c>
      <c r="C436" s="2"/>
      <c r="D436" s="2"/>
      <c r="E436" s="2"/>
      <c r="F436" s="2"/>
      <c r="G436" s="173"/>
      <c r="H436" s="174"/>
      <c r="I436" s="173" t="e">
        <f>Tabela22[[#This Row],[PESO TOTAL]]/Tabela22[[#This Row],[QUANTIDADE]]</f>
        <v>#DIV/0!</v>
      </c>
      <c r="J436" s="2"/>
      <c r="K436" s="193"/>
      <c r="L436" s="8"/>
      <c r="M436" s="8"/>
      <c r="N436" s="8"/>
      <c r="O436" s="194"/>
      <c r="P436" s="195"/>
    </row>
    <row r="437" spans="1:16">
      <c r="A437" s="3"/>
      <c r="B437" s="3" t="str">
        <f>TEXT(Tabela223456[[#This Row],[DATA]],"mmmm")</f>
        <v>janeiro</v>
      </c>
      <c r="C437" s="2"/>
      <c r="D437" s="2"/>
      <c r="E437" s="2"/>
      <c r="F437" s="2"/>
      <c r="G437" s="173"/>
      <c r="H437" s="174"/>
      <c r="I437" s="173" t="e">
        <f>Tabela22[[#This Row],[PESO TOTAL]]/Tabela22[[#This Row],[QUANTIDADE]]</f>
        <v>#DIV/0!</v>
      </c>
      <c r="J437" s="2"/>
      <c r="K437" s="193"/>
      <c r="L437" s="8"/>
      <c r="M437" s="8"/>
      <c r="N437" s="8"/>
      <c r="O437" s="194"/>
      <c r="P437" s="195"/>
    </row>
    <row r="438" spans="1:16">
      <c r="A438" s="3"/>
      <c r="B438" s="3" t="str">
        <f>TEXT(Tabela223456[[#This Row],[DATA]],"mmmm")</f>
        <v>janeiro</v>
      </c>
      <c r="C438" s="2"/>
      <c r="D438" s="2"/>
      <c r="E438" s="2"/>
      <c r="F438" s="2"/>
      <c r="G438" s="173"/>
      <c r="H438" s="174"/>
      <c r="I438" s="173" t="e">
        <f>Tabela22[[#This Row],[PESO TOTAL]]/Tabela22[[#This Row],[QUANTIDADE]]</f>
        <v>#DIV/0!</v>
      </c>
      <c r="J438" s="2"/>
      <c r="K438" s="193"/>
      <c r="L438" s="8"/>
      <c r="M438" s="8"/>
      <c r="N438" s="8"/>
      <c r="O438" s="194"/>
      <c r="P438" s="195"/>
    </row>
    <row r="439" spans="1:16">
      <c r="A439" s="3"/>
      <c r="B439" s="3" t="str">
        <f>TEXT(Tabela223456[[#This Row],[DATA]],"mmmm")</f>
        <v>janeiro</v>
      </c>
      <c r="C439" s="2"/>
      <c r="D439" s="2"/>
      <c r="E439" s="2"/>
      <c r="F439" s="2"/>
      <c r="G439" s="173"/>
      <c r="H439" s="174"/>
      <c r="I439" s="173" t="e">
        <f>Tabela22[[#This Row],[PESO TOTAL]]/Tabela22[[#This Row],[QUANTIDADE]]</f>
        <v>#DIV/0!</v>
      </c>
      <c r="J439" s="2"/>
      <c r="K439" s="193"/>
      <c r="L439" s="8"/>
      <c r="M439" s="8"/>
      <c r="N439" s="8"/>
      <c r="O439" s="194"/>
      <c r="P439" s="195"/>
    </row>
    <row r="440" spans="1:16">
      <c r="A440" s="3"/>
      <c r="B440" s="3" t="str">
        <f>TEXT(Tabela223456[[#This Row],[DATA]],"mmmm")</f>
        <v>janeiro</v>
      </c>
      <c r="C440" s="2"/>
      <c r="D440" s="2"/>
      <c r="E440" s="2"/>
      <c r="F440" s="2"/>
      <c r="G440" s="173"/>
      <c r="H440" s="174"/>
      <c r="I440" s="173" t="e">
        <f>Tabela22[[#This Row],[PESO TOTAL]]/Tabela22[[#This Row],[QUANTIDADE]]</f>
        <v>#DIV/0!</v>
      </c>
      <c r="J440" s="2"/>
      <c r="K440" s="193"/>
      <c r="L440" s="8"/>
      <c r="M440" s="8"/>
      <c r="N440" s="8"/>
      <c r="O440" s="194"/>
      <c r="P440" s="195"/>
    </row>
    <row r="441" spans="1:16">
      <c r="A441" s="3"/>
      <c r="B441" s="3" t="str">
        <f>TEXT(Tabela223456[[#This Row],[DATA]],"mmmm")</f>
        <v>janeiro</v>
      </c>
      <c r="C441" s="2"/>
      <c r="D441" s="2"/>
      <c r="E441" s="2"/>
      <c r="F441" s="2"/>
      <c r="G441" s="173"/>
      <c r="H441" s="174"/>
      <c r="I441" s="173" t="e">
        <f>Tabela22[[#This Row],[PESO TOTAL]]/Tabela22[[#This Row],[QUANTIDADE]]</f>
        <v>#DIV/0!</v>
      </c>
      <c r="J441" s="2"/>
      <c r="K441" s="193"/>
      <c r="L441" s="8"/>
      <c r="M441" s="8"/>
      <c r="N441" s="8"/>
      <c r="O441" s="194"/>
      <c r="P441" s="195"/>
    </row>
    <row r="442" spans="1:16">
      <c r="A442" s="3"/>
      <c r="B442" s="3" t="str">
        <f>TEXT(Tabela223456[[#This Row],[DATA]],"mmmm")</f>
        <v>janeiro</v>
      </c>
      <c r="C442" s="2"/>
      <c r="D442" s="2"/>
      <c r="E442" s="2"/>
      <c r="F442" s="2"/>
      <c r="G442" s="173"/>
      <c r="H442" s="174"/>
      <c r="I442" s="173" t="e">
        <f>Tabela22[[#This Row],[PESO TOTAL]]/Tabela22[[#This Row],[QUANTIDADE]]</f>
        <v>#DIV/0!</v>
      </c>
      <c r="J442" s="2"/>
      <c r="K442" s="193"/>
      <c r="L442" s="8"/>
      <c r="M442" s="8"/>
      <c r="N442" s="8"/>
      <c r="O442" s="194"/>
      <c r="P442" s="195"/>
    </row>
    <row r="443" spans="1:16">
      <c r="A443" s="3"/>
      <c r="B443" s="3" t="str">
        <f>TEXT(Tabela223456[[#This Row],[DATA]],"mmmm")</f>
        <v>janeiro</v>
      </c>
      <c r="C443" s="2"/>
      <c r="D443" s="2"/>
      <c r="E443" s="2"/>
      <c r="F443" s="2"/>
      <c r="G443" s="173"/>
      <c r="H443" s="174"/>
      <c r="I443" s="173" t="e">
        <f>Tabela22[[#This Row],[PESO TOTAL]]/Tabela22[[#This Row],[QUANTIDADE]]</f>
        <v>#DIV/0!</v>
      </c>
      <c r="J443" s="2"/>
      <c r="K443" s="193"/>
      <c r="L443" s="8"/>
      <c r="M443" s="8"/>
      <c r="N443" s="8"/>
      <c r="O443" s="194"/>
      <c r="P443" s="195"/>
    </row>
    <row r="444" spans="1:16">
      <c r="A444" s="3"/>
      <c r="B444" s="3" t="str">
        <f>TEXT(Tabela223456[[#This Row],[DATA]],"mmmm")</f>
        <v>janeiro</v>
      </c>
      <c r="C444" s="2"/>
      <c r="D444" s="2"/>
      <c r="E444" s="2"/>
      <c r="F444" s="2"/>
      <c r="G444" s="173"/>
      <c r="H444" s="174"/>
      <c r="I444" s="173" t="e">
        <f>Tabela22[[#This Row],[PESO TOTAL]]/Tabela22[[#This Row],[QUANTIDADE]]</f>
        <v>#DIV/0!</v>
      </c>
      <c r="J444" s="2"/>
      <c r="K444" s="193"/>
      <c r="L444" s="8"/>
      <c r="M444" s="8"/>
      <c r="N444" s="8"/>
      <c r="O444" s="194"/>
      <c r="P444" s="195"/>
    </row>
    <row r="445" spans="1:16">
      <c r="A445" s="3"/>
      <c r="B445" s="3" t="str">
        <f>TEXT(Tabela223456[[#This Row],[DATA]],"mmmm")</f>
        <v>janeiro</v>
      </c>
      <c r="C445" s="2"/>
      <c r="D445" s="2"/>
      <c r="E445" s="2"/>
      <c r="F445" s="2"/>
      <c r="G445" s="173"/>
      <c r="H445" s="174"/>
      <c r="I445" s="173" t="e">
        <f>Tabela22[[#This Row],[PESO TOTAL]]/Tabela22[[#This Row],[QUANTIDADE]]</f>
        <v>#DIV/0!</v>
      </c>
      <c r="J445" s="2"/>
      <c r="K445" s="193"/>
      <c r="L445" s="8"/>
      <c r="M445" s="8"/>
      <c r="N445" s="8"/>
      <c r="O445" s="194"/>
      <c r="P445" s="195"/>
    </row>
    <row r="446" spans="1:16">
      <c r="A446" s="3"/>
      <c r="B446" s="3" t="str">
        <f>TEXT(Tabela223456[[#This Row],[DATA]],"mmmm")</f>
        <v>janeiro</v>
      </c>
      <c r="C446" s="2"/>
      <c r="D446" s="2"/>
      <c r="E446" s="2"/>
      <c r="F446" s="2"/>
      <c r="G446" s="173"/>
      <c r="H446" s="174"/>
      <c r="I446" s="173" t="e">
        <f>Tabela22[[#This Row],[PESO TOTAL]]/Tabela22[[#This Row],[QUANTIDADE]]</f>
        <v>#DIV/0!</v>
      </c>
      <c r="J446" s="2"/>
      <c r="K446" s="193"/>
      <c r="L446" s="8"/>
      <c r="M446" s="8"/>
      <c r="N446" s="8"/>
      <c r="O446" s="194"/>
      <c r="P446" s="195"/>
    </row>
    <row r="447" spans="1:16">
      <c r="A447" s="3"/>
      <c r="B447" s="3" t="str">
        <f>TEXT(Tabela223456[[#This Row],[DATA]],"mmmm")</f>
        <v>janeiro</v>
      </c>
      <c r="C447" s="2"/>
      <c r="D447" s="2"/>
      <c r="E447" s="2"/>
      <c r="F447" s="2"/>
      <c r="G447" s="173"/>
      <c r="H447" s="174"/>
      <c r="I447" s="173" t="e">
        <f>Tabela22[[#This Row],[PESO TOTAL]]/Tabela22[[#This Row],[QUANTIDADE]]</f>
        <v>#DIV/0!</v>
      </c>
      <c r="J447" s="2"/>
      <c r="K447" s="193"/>
      <c r="L447" s="8"/>
      <c r="M447" s="8"/>
      <c r="N447" s="8"/>
      <c r="O447" s="194"/>
      <c r="P447" s="195"/>
    </row>
    <row r="448" spans="1:16">
      <c r="A448" s="3"/>
      <c r="B448" s="3" t="str">
        <f>TEXT(Tabela223456[[#This Row],[DATA]],"mmmm")</f>
        <v>janeiro</v>
      </c>
      <c r="C448" s="2"/>
      <c r="D448" s="2"/>
      <c r="E448" s="2"/>
      <c r="F448" s="2"/>
      <c r="G448" s="173"/>
      <c r="H448" s="174"/>
      <c r="I448" s="173" t="e">
        <f>Tabela22[[#This Row],[PESO TOTAL]]/Tabela22[[#This Row],[QUANTIDADE]]</f>
        <v>#DIV/0!</v>
      </c>
      <c r="J448" s="2"/>
      <c r="K448" s="193"/>
      <c r="L448" s="8"/>
      <c r="M448" s="8"/>
      <c r="N448" s="8"/>
      <c r="O448" s="194"/>
      <c r="P448" s="195"/>
    </row>
    <row r="449" spans="1:16">
      <c r="A449" s="3"/>
      <c r="B449" s="3" t="str">
        <f>TEXT(Tabela223456[[#This Row],[DATA]],"mmmm")</f>
        <v>janeiro</v>
      </c>
      <c r="C449" s="2"/>
      <c r="D449" s="2"/>
      <c r="E449" s="2"/>
      <c r="F449" s="2"/>
      <c r="G449" s="173"/>
      <c r="H449" s="174"/>
      <c r="I449" s="173" t="e">
        <f>Tabela22[[#This Row],[PESO TOTAL]]/Tabela22[[#This Row],[QUANTIDADE]]</f>
        <v>#DIV/0!</v>
      </c>
      <c r="J449" s="2"/>
      <c r="K449" s="193"/>
      <c r="L449" s="8"/>
      <c r="M449" s="8"/>
      <c r="N449" s="8"/>
      <c r="O449" s="194"/>
      <c r="P449" s="195"/>
    </row>
    <row r="450" spans="1:16">
      <c r="A450" s="3"/>
      <c r="B450" s="3" t="str">
        <f>TEXT(Tabela223456[[#This Row],[DATA]],"mmmm")</f>
        <v>janeiro</v>
      </c>
      <c r="C450" s="2"/>
      <c r="D450" s="2"/>
      <c r="E450" s="2"/>
      <c r="F450" s="2"/>
      <c r="G450" s="173"/>
      <c r="H450" s="174"/>
      <c r="I450" s="173" t="e">
        <f>Tabela22[[#This Row],[PESO TOTAL]]/Tabela22[[#This Row],[QUANTIDADE]]</f>
        <v>#DIV/0!</v>
      </c>
      <c r="J450" s="2"/>
      <c r="K450" s="193"/>
      <c r="L450" s="8"/>
      <c r="M450" s="8"/>
      <c r="N450" s="8"/>
      <c r="O450" s="194"/>
      <c r="P450" s="195"/>
    </row>
    <row r="451" spans="1:16">
      <c r="A451" s="3"/>
      <c r="B451" s="3" t="str">
        <f>TEXT(Tabela223456[[#This Row],[DATA]],"mmmm")</f>
        <v>janeiro</v>
      </c>
      <c r="C451" s="2"/>
      <c r="D451" s="2"/>
      <c r="E451" s="2"/>
      <c r="F451" s="2"/>
      <c r="G451" s="173"/>
      <c r="H451" s="174"/>
      <c r="I451" s="173" t="e">
        <f>Tabela22[[#This Row],[PESO TOTAL]]/Tabela22[[#This Row],[QUANTIDADE]]</f>
        <v>#DIV/0!</v>
      </c>
      <c r="J451" s="2"/>
      <c r="K451" s="193"/>
      <c r="L451" s="8"/>
      <c r="M451" s="8"/>
      <c r="N451" s="8"/>
      <c r="O451" s="194"/>
      <c r="P451" s="195"/>
    </row>
    <row r="452" spans="1:16">
      <c r="A452" s="3"/>
      <c r="B452" s="3" t="str">
        <f>TEXT(Tabela223456[[#This Row],[DATA]],"mmmm")</f>
        <v>janeiro</v>
      </c>
      <c r="C452" s="2"/>
      <c r="D452" s="2"/>
      <c r="E452" s="2"/>
      <c r="F452" s="2"/>
      <c r="G452" s="173"/>
      <c r="H452" s="174"/>
      <c r="I452" s="173" t="e">
        <f>Tabela22[[#This Row],[PESO TOTAL]]/Tabela22[[#This Row],[QUANTIDADE]]</f>
        <v>#DIV/0!</v>
      </c>
      <c r="J452" s="2"/>
      <c r="K452" s="193"/>
      <c r="L452" s="8"/>
      <c r="M452" s="8"/>
      <c r="N452" s="8"/>
      <c r="O452" s="194"/>
      <c r="P452" s="195"/>
    </row>
    <row r="453" spans="1:16">
      <c r="A453" s="3"/>
      <c r="B453" s="3" t="str">
        <f>TEXT(Tabela223456[[#This Row],[DATA]],"mmmm")</f>
        <v>janeiro</v>
      </c>
      <c r="C453" s="2"/>
      <c r="D453" s="2"/>
      <c r="E453" s="2"/>
      <c r="F453" s="2"/>
      <c r="G453" s="173"/>
      <c r="H453" s="174"/>
      <c r="I453" s="173" t="e">
        <f>Tabela22[[#This Row],[PESO TOTAL]]/Tabela22[[#This Row],[QUANTIDADE]]</f>
        <v>#DIV/0!</v>
      </c>
      <c r="J453" s="2"/>
      <c r="K453" s="193"/>
      <c r="L453" s="8"/>
      <c r="M453" s="8"/>
      <c r="N453" s="8"/>
      <c r="O453" s="194"/>
      <c r="P453" s="195"/>
    </row>
    <row r="454" spans="1:16">
      <c r="A454" s="3"/>
      <c r="B454" s="3" t="str">
        <f>TEXT(Tabela223456[[#This Row],[DATA]],"mmmm")</f>
        <v>janeiro</v>
      </c>
      <c r="C454" s="2"/>
      <c r="D454" s="2"/>
      <c r="E454" s="2"/>
      <c r="F454" s="2"/>
      <c r="G454" s="173"/>
      <c r="H454" s="174"/>
      <c r="I454" s="173" t="e">
        <f>Tabela22[[#This Row],[PESO TOTAL]]/Tabela22[[#This Row],[QUANTIDADE]]</f>
        <v>#DIV/0!</v>
      </c>
      <c r="J454" s="2"/>
      <c r="K454" s="193"/>
      <c r="L454" s="8"/>
      <c r="M454" s="8"/>
      <c r="N454" s="8"/>
      <c r="O454" s="194"/>
      <c r="P454" s="195"/>
    </row>
    <row r="455" spans="1:16">
      <c r="A455" s="3"/>
      <c r="B455" s="3" t="str">
        <f>TEXT(Tabela223456[[#This Row],[DATA]],"mmmm")</f>
        <v>janeiro</v>
      </c>
      <c r="C455" s="2"/>
      <c r="D455" s="2"/>
      <c r="E455" s="2"/>
      <c r="F455" s="2"/>
      <c r="G455" s="173"/>
      <c r="H455" s="174"/>
      <c r="I455" s="173" t="e">
        <f>Tabela22[[#This Row],[PESO TOTAL]]/Tabela22[[#This Row],[QUANTIDADE]]</f>
        <v>#DIV/0!</v>
      </c>
      <c r="J455" s="2"/>
      <c r="K455" s="193"/>
      <c r="L455" s="8"/>
      <c r="M455" s="8"/>
      <c r="N455" s="8"/>
      <c r="O455" s="194"/>
      <c r="P455" s="195"/>
    </row>
    <row r="456" spans="1:16">
      <c r="A456" s="3"/>
      <c r="B456" s="3" t="str">
        <f>TEXT(Tabela223456[[#This Row],[DATA]],"mmmm")</f>
        <v>janeiro</v>
      </c>
      <c r="C456" s="2"/>
      <c r="D456" s="2"/>
      <c r="E456" s="2"/>
      <c r="F456" s="2"/>
      <c r="G456" s="173"/>
      <c r="H456" s="174"/>
      <c r="I456" s="173" t="e">
        <f>Tabela22[[#This Row],[PESO TOTAL]]/Tabela22[[#This Row],[QUANTIDADE]]</f>
        <v>#DIV/0!</v>
      </c>
      <c r="J456" s="2"/>
      <c r="K456" s="193"/>
      <c r="L456" s="8"/>
      <c r="M456" s="8"/>
      <c r="N456" s="8"/>
      <c r="O456" s="194"/>
      <c r="P456" s="195"/>
    </row>
    <row r="457" spans="1:16">
      <c r="A457" s="3"/>
      <c r="B457" s="3" t="str">
        <f>TEXT(Tabela223456[[#This Row],[DATA]],"mmmm")</f>
        <v>janeiro</v>
      </c>
      <c r="C457" s="2"/>
      <c r="D457" s="2"/>
      <c r="E457" s="2"/>
      <c r="F457" s="2"/>
      <c r="G457" s="173"/>
      <c r="H457" s="174"/>
      <c r="I457" s="173" t="e">
        <f>Tabela22[[#This Row],[PESO TOTAL]]/Tabela22[[#This Row],[QUANTIDADE]]</f>
        <v>#DIV/0!</v>
      </c>
      <c r="J457" s="2"/>
      <c r="K457" s="193"/>
      <c r="L457" s="8"/>
      <c r="M457" s="8"/>
      <c r="N457" s="8"/>
      <c r="O457" s="194"/>
      <c r="P457" s="195"/>
    </row>
    <row r="458" spans="1:16">
      <c r="A458" s="3"/>
      <c r="B458" s="3" t="str">
        <f>TEXT(Tabela223456[[#This Row],[DATA]],"mmmm")</f>
        <v>janeiro</v>
      </c>
      <c r="C458" s="2"/>
      <c r="D458" s="2"/>
      <c r="E458" s="2"/>
      <c r="F458" s="2"/>
      <c r="G458" s="173"/>
      <c r="H458" s="174"/>
      <c r="I458" s="173" t="e">
        <f>Tabela22[[#This Row],[PESO TOTAL]]/Tabela22[[#This Row],[QUANTIDADE]]</f>
        <v>#DIV/0!</v>
      </c>
      <c r="J458" s="2"/>
      <c r="K458" s="193"/>
      <c r="L458" s="8"/>
      <c r="M458" s="8"/>
      <c r="N458" s="8"/>
      <c r="O458" s="194"/>
      <c r="P458" s="195"/>
    </row>
    <row r="459" spans="1:16">
      <c r="A459" s="3"/>
      <c r="B459" s="3" t="str">
        <f>TEXT(Tabela223456[[#This Row],[DATA]],"mmmm")</f>
        <v>janeiro</v>
      </c>
      <c r="C459" s="2"/>
      <c r="D459" s="2"/>
      <c r="E459" s="2"/>
      <c r="F459" s="2"/>
      <c r="G459" s="173"/>
      <c r="H459" s="174"/>
      <c r="I459" s="173" t="e">
        <f>Tabela22[[#This Row],[PESO TOTAL]]/Tabela22[[#This Row],[QUANTIDADE]]</f>
        <v>#DIV/0!</v>
      </c>
      <c r="J459" s="2"/>
      <c r="K459" s="193"/>
      <c r="L459" s="8"/>
      <c r="M459" s="8"/>
      <c r="N459" s="8"/>
      <c r="O459" s="194"/>
      <c r="P459" s="195"/>
    </row>
    <row r="460" spans="1:16">
      <c r="A460" s="3"/>
      <c r="B460" s="3" t="str">
        <f>TEXT(Tabela223456[[#This Row],[DATA]],"mmmm")</f>
        <v>janeiro</v>
      </c>
      <c r="C460" s="2"/>
      <c r="D460" s="2"/>
      <c r="E460" s="2"/>
      <c r="F460" s="2"/>
      <c r="G460" s="173"/>
      <c r="H460" s="174"/>
      <c r="I460" s="173" t="e">
        <f>Tabela22[[#This Row],[PESO TOTAL]]/Tabela22[[#This Row],[QUANTIDADE]]</f>
        <v>#DIV/0!</v>
      </c>
      <c r="J460" s="2"/>
      <c r="K460" s="193"/>
      <c r="L460" s="8"/>
      <c r="M460" s="8"/>
      <c r="N460" s="8"/>
      <c r="O460" s="194"/>
      <c r="P460" s="195"/>
    </row>
    <row r="461" spans="1:16">
      <c r="A461" s="3"/>
      <c r="B461" s="3" t="str">
        <f>TEXT(Tabela223456[[#This Row],[DATA]],"mmmm")</f>
        <v>janeiro</v>
      </c>
      <c r="C461" s="2"/>
      <c r="D461" s="2"/>
      <c r="E461" s="2"/>
      <c r="F461" s="2"/>
      <c r="G461" s="173"/>
      <c r="H461" s="174"/>
      <c r="I461" s="173" t="e">
        <f>Tabela22[[#This Row],[PESO TOTAL]]/Tabela22[[#This Row],[QUANTIDADE]]</f>
        <v>#DIV/0!</v>
      </c>
      <c r="J461" s="2"/>
      <c r="K461" s="193"/>
      <c r="L461" s="8"/>
      <c r="M461" s="8"/>
      <c r="N461" s="8"/>
      <c r="O461" s="194"/>
      <c r="P461" s="195"/>
    </row>
    <row r="462" spans="1:16">
      <c r="A462" s="3"/>
      <c r="B462" s="3" t="str">
        <f>TEXT(Tabela223456[[#This Row],[DATA]],"mmmm")</f>
        <v>janeiro</v>
      </c>
      <c r="C462" s="2"/>
      <c r="D462" s="2"/>
      <c r="E462" s="2"/>
      <c r="F462" s="2"/>
      <c r="G462" s="173"/>
      <c r="H462" s="174"/>
      <c r="I462" s="173" t="e">
        <f>Tabela22[[#This Row],[PESO TOTAL]]/Tabela22[[#This Row],[QUANTIDADE]]</f>
        <v>#DIV/0!</v>
      </c>
      <c r="J462" s="2"/>
      <c r="K462" s="193"/>
      <c r="L462" s="8"/>
      <c r="M462" s="8"/>
      <c r="N462" s="8"/>
      <c r="O462" s="194"/>
      <c r="P462" s="195"/>
    </row>
    <row r="463" spans="1:16">
      <c r="A463" s="3"/>
      <c r="B463" s="3" t="str">
        <f>TEXT(Tabela223456[[#This Row],[DATA]],"mmmm")</f>
        <v>janeiro</v>
      </c>
      <c r="C463" s="2"/>
      <c r="D463" s="2"/>
      <c r="E463" s="2"/>
      <c r="F463" s="2"/>
      <c r="G463" s="173"/>
      <c r="H463" s="174"/>
      <c r="I463" s="173" t="e">
        <f>Tabela22[[#This Row],[PESO TOTAL]]/Tabela22[[#This Row],[QUANTIDADE]]</f>
        <v>#DIV/0!</v>
      </c>
      <c r="J463" s="2"/>
      <c r="K463" s="193"/>
      <c r="L463" s="8"/>
      <c r="M463" s="8"/>
      <c r="N463" s="8"/>
      <c r="O463" s="194"/>
      <c r="P463" s="195"/>
    </row>
    <row r="464" spans="1:16">
      <c r="A464" s="3"/>
      <c r="B464" s="3" t="str">
        <f>TEXT(Tabela223456[[#This Row],[DATA]],"mmmm")</f>
        <v>janeiro</v>
      </c>
      <c r="C464" s="2"/>
      <c r="D464" s="2"/>
      <c r="E464" s="2"/>
      <c r="F464" s="2"/>
      <c r="G464" s="173"/>
      <c r="H464" s="174"/>
      <c r="I464" s="173" t="e">
        <f>Tabela22[[#This Row],[PESO TOTAL]]/Tabela22[[#This Row],[QUANTIDADE]]</f>
        <v>#DIV/0!</v>
      </c>
      <c r="J464" s="2"/>
      <c r="K464" s="193"/>
      <c r="L464" s="8"/>
      <c r="M464" s="8"/>
      <c r="N464" s="8"/>
      <c r="O464" s="194"/>
      <c r="P464" s="195"/>
    </row>
    <row r="465" spans="1:16">
      <c r="A465" s="3"/>
      <c r="B465" s="3" t="str">
        <f>TEXT(Tabela223456[[#This Row],[DATA]],"mmmm")</f>
        <v>janeiro</v>
      </c>
      <c r="C465" s="2"/>
      <c r="D465" s="2"/>
      <c r="E465" s="2"/>
      <c r="F465" s="2"/>
      <c r="G465" s="173"/>
      <c r="H465" s="174"/>
      <c r="I465" s="173" t="e">
        <f>Tabela22[[#This Row],[PESO TOTAL]]/Tabela22[[#This Row],[QUANTIDADE]]</f>
        <v>#DIV/0!</v>
      </c>
      <c r="J465" s="2"/>
      <c r="K465" s="193"/>
      <c r="L465" s="8"/>
      <c r="M465" s="8"/>
      <c r="N465" s="8"/>
      <c r="O465" s="194"/>
      <c r="P465" s="195"/>
    </row>
    <row r="466" spans="1:16">
      <c r="A466" s="3"/>
      <c r="B466" s="3" t="str">
        <f>TEXT(Tabela223456[[#This Row],[DATA]],"mmmm")</f>
        <v>janeiro</v>
      </c>
      <c r="C466" s="2"/>
      <c r="D466" s="2"/>
      <c r="E466" s="2"/>
      <c r="F466" s="2"/>
      <c r="G466" s="173"/>
      <c r="H466" s="174"/>
      <c r="I466" s="173" t="e">
        <f>Tabela22[[#This Row],[PESO TOTAL]]/Tabela22[[#This Row],[QUANTIDADE]]</f>
        <v>#DIV/0!</v>
      </c>
      <c r="J466" s="2"/>
      <c r="K466" s="193"/>
      <c r="L466" s="8"/>
      <c r="M466" s="8"/>
      <c r="N466" s="8"/>
      <c r="O466" s="194"/>
      <c r="P466" s="195"/>
    </row>
    <row r="467" spans="1:16">
      <c r="A467" s="3"/>
      <c r="B467" s="3" t="str">
        <f>TEXT(Tabela223456[[#This Row],[DATA]],"mmmm")</f>
        <v>janeiro</v>
      </c>
      <c r="C467" s="2"/>
      <c r="D467" s="2"/>
      <c r="E467" s="2"/>
      <c r="F467" s="2"/>
      <c r="G467" s="173"/>
      <c r="H467" s="174"/>
      <c r="I467" s="173" t="e">
        <f>Tabela22[[#This Row],[PESO TOTAL]]/Tabela22[[#This Row],[QUANTIDADE]]</f>
        <v>#DIV/0!</v>
      </c>
      <c r="J467" s="2"/>
      <c r="K467" s="193"/>
      <c r="L467" s="8"/>
      <c r="M467" s="8"/>
      <c r="N467" s="8"/>
      <c r="O467" s="194"/>
      <c r="P467" s="195"/>
    </row>
    <row r="468" spans="1:16">
      <c r="A468" s="3"/>
      <c r="B468" s="3" t="str">
        <f>TEXT(Tabela223456[[#This Row],[DATA]],"mmmm")</f>
        <v>janeiro</v>
      </c>
      <c r="C468" s="2"/>
      <c r="D468" s="2"/>
      <c r="E468" s="2"/>
      <c r="F468" s="2"/>
      <c r="G468" s="173"/>
      <c r="H468" s="174"/>
      <c r="I468" s="173" t="e">
        <f>Tabela22[[#This Row],[PESO TOTAL]]/Tabela22[[#This Row],[QUANTIDADE]]</f>
        <v>#DIV/0!</v>
      </c>
      <c r="J468" s="2"/>
      <c r="K468" s="193"/>
      <c r="L468" s="8"/>
      <c r="M468" s="8"/>
      <c r="N468" s="8"/>
      <c r="O468" s="194"/>
      <c r="P468" s="195"/>
    </row>
    <row r="469" spans="1:16">
      <c r="A469" s="3"/>
      <c r="B469" s="3" t="str">
        <f>TEXT(Tabela223456[[#This Row],[DATA]],"mmmm")</f>
        <v>janeiro</v>
      </c>
      <c r="C469" s="2"/>
      <c r="D469" s="2"/>
      <c r="E469" s="2"/>
      <c r="F469" s="2"/>
      <c r="G469" s="173"/>
      <c r="H469" s="174"/>
      <c r="I469" s="173" t="e">
        <f>Tabela22[[#This Row],[PESO TOTAL]]/Tabela22[[#This Row],[QUANTIDADE]]</f>
        <v>#DIV/0!</v>
      </c>
      <c r="J469" s="2"/>
      <c r="K469" s="193"/>
      <c r="L469" s="8"/>
      <c r="M469" s="8"/>
      <c r="N469" s="8"/>
      <c r="O469" s="194"/>
      <c r="P469" s="195"/>
    </row>
    <row r="470" spans="1:16">
      <c r="A470" s="3"/>
      <c r="B470" s="3" t="str">
        <f>TEXT(Tabela223456[[#This Row],[DATA]],"mmmm")</f>
        <v>janeiro</v>
      </c>
      <c r="C470" s="2"/>
      <c r="D470" s="2"/>
      <c r="E470" s="2"/>
      <c r="F470" s="2"/>
      <c r="G470" s="173"/>
      <c r="H470" s="174"/>
      <c r="I470" s="173" t="e">
        <f>Tabela22[[#This Row],[PESO TOTAL]]/Tabela22[[#This Row],[QUANTIDADE]]</f>
        <v>#DIV/0!</v>
      </c>
      <c r="J470" s="2"/>
      <c r="K470" s="193"/>
      <c r="L470" s="8"/>
      <c r="M470" s="8"/>
      <c r="N470" s="8"/>
      <c r="O470" s="194"/>
      <c r="P470" s="195"/>
    </row>
    <row r="471" spans="1:16">
      <c r="A471" s="3"/>
      <c r="B471" s="3" t="str">
        <f>TEXT(Tabela223456[[#This Row],[DATA]],"mmmm")</f>
        <v>janeiro</v>
      </c>
      <c r="C471" s="2"/>
      <c r="D471" s="2"/>
      <c r="E471" s="2"/>
      <c r="F471" s="2"/>
      <c r="G471" s="173"/>
      <c r="H471" s="174"/>
      <c r="I471" s="173" t="e">
        <f>Tabela22[[#This Row],[PESO TOTAL]]/Tabela22[[#This Row],[QUANTIDADE]]</f>
        <v>#DIV/0!</v>
      </c>
      <c r="J471" s="2"/>
      <c r="K471" s="193"/>
      <c r="L471" s="8"/>
      <c r="M471" s="8"/>
      <c r="N471" s="8"/>
      <c r="O471" s="194"/>
      <c r="P471" s="195"/>
    </row>
    <row r="472" spans="1:16">
      <c r="A472" s="3"/>
      <c r="B472" s="3" t="str">
        <f>TEXT(Tabela223456[[#This Row],[DATA]],"mmmm")</f>
        <v>janeiro</v>
      </c>
      <c r="C472" s="2"/>
      <c r="D472" s="2"/>
      <c r="E472" s="2"/>
      <c r="F472" s="2"/>
      <c r="G472" s="173"/>
      <c r="H472" s="174"/>
      <c r="I472" s="173" t="e">
        <f>Tabela22[[#This Row],[PESO TOTAL]]/Tabela22[[#This Row],[QUANTIDADE]]</f>
        <v>#DIV/0!</v>
      </c>
      <c r="J472" s="2"/>
      <c r="K472" s="193"/>
      <c r="L472" s="8"/>
      <c r="M472" s="8"/>
      <c r="N472" s="8"/>
      <c r="O472" s="194"/>
      <c r="P472" s="195"/>
    </row>
    <row r="473" spans="1:16">
      <c r="A473" s="3"/>
      <c r="B473" s="3" t="str">
        <f>TEXT(Tabela223456[[#This Row],[DATA]],"mmmm")</f>
        <v>janeiro</v>
      </c>
      <c r="C473" s="2"/>
      <c r="D473" s="2"/>
      <c r="E473" s="2"/>
      <c r="F473" s="2"/>
      <c r="G473" s="173"/>
      <c r="H473" s="174"/>
      <c r="I473" s="173" t="e">
        <f>Tabela22[[#This Row],[PESO TOTAL]]/Tabela22[[#This Row],[QUANTIDADE]]</f>
        <v>#DIV/0!</v>
      </c>
      <c r="J473" s="2"/>
      <c r="K473" s="193"/>
      <c r="L473" s="8"/>
      <c r="M473" s="8"/>
      <c r="N473" s="8"/>
      <c r="O473" s="194"/>
      <c r="P473" s="195"/>
    </row>
    <row r="474" spans="1:16">
      <c r="A474" s="3"/>
      <c r="B474" s="3" t="str">
        <f>TEXT(Tabela223456[[#This Row],[DATA]],"mmmm")</f>
        <v>janeiro</v>
      </c>
      <c r="C474" s="2"/>
      <c r="D474" s="2"/>
      <c r="E474" s="2"/>
      <c r="F474" s="2"/>
      <c r="G474" s="173"/>
      <c r="H474" s="174"/>
      <c r="I474" s="173" t="e">
        <f>Tabela22[[#This Row],[PESO TOTAL]]/Tabela22[[#This Row],[QUANTIDADE]]</f>
        <v>#DIV/0!</v>
      </c>
      <c r="J474" s="2"/>
      <c r="K474" s="193"/>
      <c r="L474" s="8"/>
      <c r="M474" s="8"/>
      <c r="N474" s="8"/>
      <c r="O474" s="194"/>
      <c r="P474" s="195"/>
    </row>
    <row r="475" spans="1:16">
      <c r="A475" s="3"/>
      <c r="B475" s="3" t="str">
        <f>TEXT(Tabela223456[[#This Row],[DATA]],"mmmm")</f>
        <v>janeiro</v>
      </c>
      <c r="C475" s="2"/>
      <c r="D475" s="2"/>
      <c r="E475" s="2"/>
      <c r="F475" s="2"/>
      <c r="G475" s="173"/>
      <c r="H475" s="174"/>
      <c r="I475" s="173" t="e">
        <f>Tabela22[[#This Row],[PESO TOTAL]]/Tabela22[[#This Row],[QUANTIDADE]]</f>
        <v>#DIV/0!</v>
      </c>
      <c r="J475" s="2"/>
      <c r="K475" s="193"/>
      <c r="L475" s="8"/>
      <c r="M475" s="8"/>
      <c r="N475" s="8"/>
      <c r="O475" s="194"/>
      <c r="P475" s="195"/>
    </row>
    <row r="476" spans="1:16">
      <c r="A476" s="3"/>
      <c r="B476" s="3" t="str">
        <f>TEXT(Tabela223456[[#This Row],[DATA]],"mmmm")</f>
        <v>janeiro</v>
      </c>
      <c r="C476" s="2"/>
      <c r="D476" s="2"/>
      <c r="E476" s="2"/>
      <c r="F476" s="2"/>
      <c r="G476" s="173"/>
      <c r="H476" s="174"/>
      <c r="I476" s="173" t="e">
        <f>Tabela22[[#This Row],[PESO TOTAL]]/Tabela22[[#This Row],[QUANTIDADE]]</f>
        <v>#DIV/0!</v>
      </c>
      <c r="J476" s="2"/>
      <c r="K476" s="193"/>
      <c r="L476" s="8"/>
      <c r="M476" s="8"/>
      <c r="N476" s="8"/>
      <c r="O476" s="194"/>
      <c r="P476" s="195"/>
    </row>
    <row r="477" spans="1:16">
      <c r="A477" s="3"/>
      <c r="B477" s="3" t="str">
        <f>TEXT(Tabela223456[[#This Row],[DATA]],"mmmm")</f>
        <v>janeiro</v>
      </c>
      <c r="C477" s="2"/>
      <c r="D477" s="2"/>
      <c r="E477" s="2"/>
      <c r="F477" s="2"/>
      <c r="G477" s="173"/>
      <c r="H477" s="174"/>
      <c r="I477" s="173" t="e">
        <f>Tabela22[[#This Row],[PESO TOTAL]]/Tabela22[[#This Row],[QUANTIDADE]]</f>
        <v>#DIV/0!</v>
      </c>
      <c r="J477" s="2"/>
      <c r="K477" s="193"/>
      <c r="L477" s="8"/>
      <c r="M477" s="8"/>
      <c r="N477" s="8"/>
      <c r="O477" s="194"/>
      <c r="P477" s="195"/>
    </row>
    <row r="478" spans="1:16">
      <c r="A478" s="3"/>
      <c r="B478" s="3" t="str">
        <f>TEXT(Tabela223456[[#This Row],[DATA]],"mmmm")</f>
        <v>janeiro</v>
      </c>
      <c r="C478" s="2"/>
      <c r="D478" s="2"/>
      <c r="E478" s="2"/>
      <c r="F478" s="2"/>
      <c r="G478" s="173"/>
      <c r="H478" s="174"/>
      <c r="I478" s="173" t="e">
        <f>Tabela22[[#This Row],[PESO TOTAL]]/Tabela22[[#This Row],[QUANTIDADE]]</f>
        <v>#DIV/0!</v>
      </c>
      <c r="J478" s="2"/>
      <c r="K478" s="193"/>
      <c r="L478" s="8"/>
      <c r="M478" s="8"/>
      <c r="N478" s="8"/>
      <c r="O478" s="194"/>
      <c r="P478" s="195"/>
    </row>
    <row r="479" spans="1:16">
      <c r="A479" s="3"/>
      <c r="B479" s="3" t="str">
        <f>TEXT(Tabela223456[[#This Row],[DATA]],"mmmm")</f>
        <v>janeiro</v>
      </c>
      <c r="C479" s="2"/>
      <c r="D479" s="2"/>
      <c r="E479" s="2"/>
      <c r="F479" s="2"/>
      <c r="G479" s="173"/>
      <c r="H479" s="174"/>
      <c r="I479" s="173" t="e">
        <f>Tabela22[[#This Row],[PESO TOTAL]]/Tabela22[[#This Row],[QUANTIDADE]]</f>
        <v>#DIV/0!</v>
      </c>
      <c r="J479" s="2"/>
      <c r="K479" s="193"/>
      <c r="L479" s="8"/>
      <c r="M479" s="8"/>
      <c r="N479" s="8"/>
      <c r="O479" s="194"/>
      <c r="P479" s="195"/>
    </row>
    <row r="480" spans="1:16">
      <c r="A480" s="3"/>
      <c r="B480" s="3" t="str">
        <f>TEXT(Tabela223456[[#This Row],[DATA]],"mmmm")</f>
        <v>janeiro</v>
      </c>
      <c r="C480" s="2"/>
      <c r="D480" s="2"/>
      <c r="E480" s="2"/>
      <c r="F480" s="2"/>
      <c r="G480" s="173"/>
      <c r="H480" s="174"/>
      <c r="I480" s="173" t="e">
        <f>Tabela22[[#This Row],[PESO TOTAL]]/Tabela22[[#This Row],[QUANTIDADE]]</f>
        <v>#DIV/0!</v>
      </c>
      <c r="J480" s="2"/>
      <c r="K480" s="193"/>
      <c r="L480" s="8"/>
      <c r="M480" s="8"/>
      <c r="N480" s="8"/>
      <c r="O480" s="194"/>
      <c r="P480" s="195"/>
    </row>
    <row r="481" spans="1:16">
      <c r="A481" s="3"/>
      <c r="B481" s="3" t="str">
        <f>TEXT(Tabela223456[[#This Row],[DATA]],"mmmm")</f>
        <v>janeiro</v>
      </c>
      <c r="C481" s="2"/>
      <c r="D481" s="2"/>
      <c r="E481" s="2"/>
      <c r="F481" s="2"/>
      <c r="G481" s="173"/>
      <c r="H481" s="174"/>
      <c r="I481" s="173" t="e">
        <f>Tabela22[[#This Row],[PESO TOTAL]]/Tabela22[[#This Row],[QUANTIDADE]]</f>
        <v>#DIV/0!</v>
      </c>
      <c r="J481" s="2"/>
      <c r="K481" s="193"/>
      <c r="L481" s="8"/>
      <c r="M481" s="8"/>
      <c r="N481" s="8"/>
      <c r="O481" s="194"/>
      <c r="P481" s="195"/>
    </row>
    <row r="482" spans="1:16">
      <c r="A482" s="3"/>
      <c r="B482" s="3" t="str">
        <f>TEXT(Tabela223456[[#This Row],[DATA]],"mmmm")</f>
        <v>janeiro</v>
      </c>
      <c r="C482" s="2"/>
      <c r="D482" s="2"/>
      <c r="E482" s="2"/>
      <c r="F482" s="2"/>
      <c r="G482" s="173"/>
      <c r="H482" s="174"/>
      <c r="I482" s="173" t="e">
        <f>Tabela22[[#This Row],[PESO TOTAL]]/Tabela22[[#This Row],[QUANTIDADE]]</f>
        <v>#DIV/0!</v>
      </c>
      <c r="J482" s="2"/>
      <c r="K482" s="193"/>
      <c r="L482" s="8"/>
      <c r="M482" s="8"/>
      <c r="N482" s="8"/>
      <c r="O482" s="194"/>
      <c r="P482" s="195"/>
    </row>
    <row r="483" spans="1:16">
      <c r="A483" s="3"/>
      <c r="B483" s="3" t="str">
        <f>TEXT(Tabela223456[[#This Row],[DATA]],"mmmm")</f>
        <v>janeiro</v>
      </c>
      <c r="C483" s="2"/>
      <c r="D483" s="2"/>
      <c r="E483" s="2"/>
      <c r="F483" s="2"/>
      <c r="G483" s="173"/>
      <c r="H483" s="174"/>
      <c r="I483" s="173" t="e">
        <f>Tabela22[[#This Row],[PESO TOTAL]]/Tabela22[[#This Row],[QUANTIDADE]]</f>
        <v>#DIV/0!</v>
      </c>
      <c r="J483" s="2"/>
      <c r="K483" s="193"/>
      <c r="L483" s="8"/>
      <c r="M483" s="8"/>
      <c r="N483" s="8"/>
      <c r="O483" s="194"/>
      <c r="P483" s="195"/>
    </row>
    <row r="484" spans="1:16">
      <c r="A484" s="3"/>
      <c r="B484" s="3" t="str">
        <f>TEXT(Tabela223456[[#This Row],[DATA]],"mmmm")</f>
        <v>janeiro</v>
      </c>
      <c r="C484" s="2"/>
      <c r="D484" s="2"/>
      <c r="E484" s="2"/>
      <c r="F484" s="2"/>
      <c r="G484" s="173"/>
      <c r="H484" s="174"/>
      <c r="I484" s="173" t="e">
        <f>Tabela22[[#This Row],[PESO TOTAL]]/Tabela22[[#This Row],[QUANTIDADE]]</f>
        <v>#DIV/0!</v>
      </c>
      <c r="J484" s="2"/>
      <c r="K484" s="193"/>
      <c r="L484" s="8"/>
      <c r="M484" s="8"/>
      <c r="N484" s="8"/>
      <c r="O484" s="194"/>
      <c r="P484" s="195"/>
    </row>
    <row r="485" spans="1:16">
      <c r="A485" s="3"/>
      <c r="B485" s="3" t="str">
        <f>TEXT(Tabela223456[[#This Row],[DATA]],"mmmm")</f>
        <v>janeiro</v>
      </c>
      <c r="C485" s="2"/>
      <c r="D485" s="2"/>
      <c r="E485" s="2"/>
      <c r="F485" s="2"/>
      <c r="G485" s="173"/>
      <c r="H485" s="174"/>
      <c r="I485" s="173" t="e">
        <f>Tabela22[[#This Row],[PESO TOTAL]]/Tabela22[[#This Row],[QUANTIDADE]]</f>
        <v>#DIV/0!</v>
      </c>
      <c r="J485" s="2"/>
      <c r="K485" s="193"/>
      <c r="L485" s="8"/>
      <c r="M485" s="8"/>
      <c r="N485" s="8"/>
      <c r="O485" s="194"/>
      <c r="P485" s="195"/>
    </row>
    <row r="486" spans="1:16">
      <c r="A486" s="3"/>
      <c r="B486" s="3" t="str">
        <f>TEXT(Tabela223456[[#This Row],[DATA]],"mmmm")</f>
        <v>janeiro</v>
      </c>
      <c r="C486" s="2"/>
      <c r="D486" s="2"/>
      <c r="E486" s="2"/>
      <c r="F486" s="2"/>
      <c r="G486" s="173"/>
      <c r="H486" s="174"/>
      <c r="I486" s="173" t="e">
        <f>Tabela22[[#This Row],[PESO TOTAL]]/Tabela22[[#This Row],[QUANTIDADE]]</f>
        <v>#DIV/0!</v>
      </c>
      <c r="J486" s="2"/>
      <c r="K486" s="193"/>
      <c r="L486" s="8"/>
      <c r="M486" s="8"/>
      <c r="N486" s="8"/>
      <c r="O486" s="194"/>
      <c r="P486" s="195"/>
    </row>
    <row r="487" spans="1:16">
      <c r="A487" s="3"/>
      <c r="B487" s="3" t="str">
        <f>TEXT(Tabela223456[[#This Row],[DATA]],"mmmm")</f>
        <v>janeiro</v>
      </c>
      <c r="C487" s="2"/>
      <c r="D487" s="2"/>
      <c r="E487" s="2"/>
      <c r="F487" s="2"/>
      <c r="G487" s="173"/>
      <c r="H487" s="174"/>
      <c r="I487" s="173" t="e">
        <f>Tabela22[[#This Row],[PESO TOTAL]]/Tabela22[[#This Row],[QUANTIDADE]]</f>
        <v>#DIV/0!</v>
      </c>
      <c r="J487" s="2"/>
      <c r="K487" s="193"/>
      <c r="L487" s="8"/>
      <c r="M487" s="8"/>
      <c r="N487" s="8"/>
      <c r="O487" s="194"/>
      <c r="P487" s="195"/>
    </row>
    <row r="488" spans="1:16">
      <c r="A488" s="3"/>
      <c r="B488" s="3" t="str">
        <f>TEXT(Tabela223456[[#This Row],[DATA]],"mmmm")</f>
        <v>janeiro</v>
      </c>
      <c r="C488" s="2"/>
      <c r="D488" s="2"/>
      <c r="E488" s="2"/>
      <c r="F488" s="2"/>
      <c r="G488" s="173"/>
      <c r="H488" s="174"/>
      <c r="I488" s="173" t="e">
        <f>Tabela22[[#This Row],[PESO TOTAL]]/Tabela22[[#This Row],[QUANTIDADE]]</f>
        <v>#DIV/0!</v>
      </c>
      <c r="J488" s="2"/>
      <c r="K488" s="193"/>
      <c r="L488" s="8"/>
      <c r="M488" s="8"/>
      <c r="N488" s="8"/>
      <c r="O488" s="194"/>
      <c r="P488" s="195"/>
    </row>
    <row r="489" spans="1:16">
      <c r="A489" s="3"/>
      <c r="B489" s="3" t="str">
        <f>TEXT(Tabela223456[[#This Row],[DATA]],"mmmm")</f>
        <v>janeiro</v>
      </c>
      <c r="C489" s="2"/>
      <c r="D489" s="2"/>
      <c r="E489" s="2"/>
      <c r="F489" s="2"/>
      <c r="G489" s="173"/>
      <c r="H489" s="174"/>
      <c r="I489" s="173" t="e">
        <f>Tabela22[[#This Row],[PESO TOTAL]]/Tabela22[[#This Row],[QUANTIDADE]]</f>
        <v>#DIV/0!</v>
      </c>
      <c r="J489" s="2"/>
      <c r="K489" s="193"/>
      <c r="L489" s="8"/>
      <c r="M489" s="8"/>
      <c r="N489" s="8"/>
      <c r="O489" s="194"/>
      <c r="P489" s="195"/>
    </row>
    <row r="490" spans="1:16">
      <c r="A490" s="3"/>
      <c r="B490" s="3" t="str">
        <f>TEXT(Tabela223456[[#This Row],[DATA]],"mmmm")</f>
        <v>janeiro</v>
      </c>
      <c r="C490" s="2"/>
      <c r="D490" s="2"/>
      <c r="E490" s="2"/>
      <c r="F490" s="2"/>
      <c r="G490" s="173"/>
      <c r="H490" s="174"/>
      <c r="I490" s="173" t="e">
        <f>Tabela22[[#This Row],[PESO TOTAL]]/Tabela22[[#This Row],[QUANTIDADE]]</f>
        <v>#DIV/0!</v>
      </c>
      <c r="J490" s="2"/>
      <c r="K490" s="193"/>
      <c r="L490" s="8"/>
      <c r="M490" s="8"/>
      <c r="N490" s="8"/>
      <c r="O490" s="194"/>
      <c r="P490" s="195"/>
    </row>
    <row r="491" spans="1:16">
      <c r="A491" s="3"/>
      <c r="B491" s="3" t="str">
        <f>TEXT(Tabela223456[[#This Row],[DATA]],"mmmm")</f>
        <v>janeiro</v>
      </c>
      <c r="C491" s="2"/>
      <c r="D491" s="2"/>
      <c r="E491" s="2"/>
      <c r="F491" s="2"/>
      <c r="G491" s="173"/>
      <c r="H491" s="174"/>
      <c r="I491" s="173" t="e">
        <f>Tabela22[[#This Row],[PESO TOTAL]]/Tabela22[[#This Row],[QUANTIDADE]]</f>
        <v>#DIV/0!</v>
      </c>
      <c r="J491" s="2"/>
      <c r="K491" s="193"/>
      <c r="L491" s="8"/>
      <c r="M491" s="8"/>
      <c r="N491" s="8"/>
      <c r="O491" s="194"/>
      <c r="P491" s="195"/>
    </row>
    <row r="492" spans="1:16">
      <c r="A492" s="3"/>
      <c r="B492" s="3" t="str">
        <f>TEXT(Tabela223456[[#This Row],[DATA]],"mmmm")</f>
        <v>janeiro</v>
      </c>
      <c r="C492" s="2"/>
      <c r="D492" s="2"/>
      <c r="E492" s="2"/>
      <c r="F492" s="2"/>
      <c r="G492" s="173"/>
      <c r="H492" s="174"/>
      <c r="I492" s="173" t="e">
        <f>Tabela22[[#This Row],[PESO TOTAL]]/Tabela22[[#This Row],[QUANTIDADE]]</f>
        <v>#DIV/0!</v>
      </c>
      <c r="J492" s="2"/>
      <c r="K492" s="193"/>
      <c r="L492" s="8"/>
      <c r="M492" s="8"/>
      <c r="N492" s="8"/>
      <c r="O492" s="194"/>
      <c r="P492" s="195"/>
    </row>
    <row r="493" spans="1:16">
      <c r="A493" s="3"/>
      <c r="B493" s="3" t="str">
        <f>TEXT(Tabela223456[[#This Row],[DATA]],"mmmm")</f>
        <v>janeiro</v>
      </c>
      <c r="C493" s="2"/>
      <c r="D493" s="2"/>
      <c r="E493" s="2"/>
      <c r="F493" s="2"/>
      <c r="G493" s="173"/>
      <c r="H493" s="174"/>
      <c r="I493" s="173" t="e">
        <f>Tabela22[[#This Row],[PESO TOTAL]]/Tabela22[[#This Row],[QUANTIDADE]]</f>
        <v>#DIV/0!</v>
      </c>
      <c r="J493" s="2"/>
      <c r="K493" s="193"/>
      <c r="L493" s="8"/>
      <c r="M493" s="8"/>
      <c r="N493" s="8"/>
      <c r="O493" s="194"/>
      <c r="P493" s="195"/>
    </row>
    <row r="494" spans="1:16">
      <c r="A494" s="3"/>
      <c r="B494" s="3" t="str">
        <f>TEXT(Tabela223456[[#This Row],[DATA]],"mmmm")</f>
        <v>janeiro</v>
      </c>
      <c r="C494" s="2"/>
      <c r="D494" s="2"/>
      <c r="E494" s="2"/>
      <c r="F494" s="2"/>
      <c r="G494" s="173"/>
      <c r="H494" s="174"/>
      <c r="I494" s="173" t="e">
        <f>Tabela22[[#This Row],[PESO TOTAL]]/Tabela22[[#This Row],[QUANTIDADE]]</f>
        <v>#DIV/0!</v>
      </c>
      <c r="J494" s="2"/>
      <c r="K494" s="193"/>
      <c r="L494" s="8"/>
      <c r="M494" s="8"/>
      <c r="N494" s="8"/>
      <c r="O494" s="194"/>
      <c r="P494" s="195"/>
    </row>
    <row r="495" spans="1:16">
      <c r="A495" s="3"/>
      <c r="B495" s="3" t="str">
        <f>TEXT(Tabela223456[[#This Row],[DATA]],"mmmm")</f>
        <v>janeiro</v>
      </c>
      <c r="C495" s="2"/>
      <c r="D495" s="2"/>
      <c r="E495" s="2"/>
      <c r="F495" s="2"/>
      <c r="G495" s="173"/>
      <c r="H495" s="174"/>
      <c r="I495" s="173" t="e">
        <f>Tabela22[[#This Row],[PESO TOTAL]]/Tabela22[[#This Row],[QUANTIDADE]]</f>
        <v>#DIV/0!</v>
      </c>
      <c r="J495" s="2"/>
      <c r="K495" s="193"/>
      <c r="L495" s="8"/>
      <c r="M495" s="8"/>
      <c r="N495" s="8"/>
      <c r="O495" s="194"/>
      <c r="P495" s="195"/>
    </row>
    <row r="496" spans="1:16">
      <c r="A496" s="3"/>
      <c r="B496" s="3" t="str">
        <f>TEXT(Tabela223456[[#This Row],[DATA]],"mmmm")</f>
        <v>janeiro</v>
      </c>
      <c r="C496" s="2"/>
      <c r="D496" s="2"/>
      <c r="E496" s="2"/>
      <c r="F496" s="2"/>
      <c r="G496" s="173"/>
      <c r="H496" s="174"/>
      <c r="I496" s="173" t="e">
        <f>Tabela22[[#This Row],[PESO TOTAL]]/Tabela22[[#This Row],[QUANTIDADE]]</f>
        <v>#DIV/0!</v>
      </c>
      <c r="J496" s="2"/>
      <c r="K496" s="193"/>
      <c r="L496" s="8"/>
      <c r="M496" s="8"/>
      <c r="N496" s="8"/>
      <c r="O496" s="194"/>
      <c r="P496" s="195"/>
    </row>
    <row r="497" spans="1:16">
      <c r="A497" s="3"/>
      <c r="B497" s="3" t="str">
        <f>TEXT(Tabela223456[[#This Row],[DATA]],"mmmm")</f>
        <v>janeiro</v>
      </c>
      <c r="C497" s="2"/>
      <c r="D497" s="2"/>
      <c r="E497" s="2"/>
      <c r="F497" s="2"/>
      <c r="G497" s="173"/>
      <c r="H497" s="174"/>
      <c r="I497" s="173" t="e">
        <f>Tabela22[[#This Row],[PESO TOTAL]]/Tabela22[[#This Row],[QUANTIDADE]]</f>
        <v>#DIV/0!</v>
      </c>
      <c r="J497" s="2"/>
      <c r="K497" s="193"/>
      <c r="L497" s="8"/>
      <c r="M497" s="8"/>
      <c r="N497" s="8"/>
      <c r="O497" s="194"/>
      <c r="P497" s="195"/>
    </row>
    <row r="498" spans="1:16">
      <c r="A498" s="3"/>
      <c r="B498" s="3" t="str">
        <f>TEXT(Tabela223456[[#This Row],[DATA]],"mmmm")</f>
        <v>janeiro</v>
      </c>
      <c r="C498" s="2"/>
      <c r="D498" s="2"/>
      <c r="E498" s="2"/>
      <c r="F498" s="2"/>
      <c r="G498" s="173"/>
      <c r="H498" s="174"/>
      <c r="I498" s="173" t="e">
        <f>Tabela22[[#This Row],[PESO TOTAL]]/Tabela22[[#This Row],[QUANTIDADE]]</f>
        <v>#DIV/0!</v>
      </c>
      <c r="J498" s="2"/>
      <c r="K498" s="193"/>
      <c r="L498" s="8"/>
      <c r="M498" s="8"/>
      <c r="N498" s="8"/>
      <c r="O498" s="194"/>
      <c r="P498" s="195"/>
    </row>
    <row r="499" spans="1:16">
      <c r="A499" s="3"/>
      <c r="B499" s="3" t="str">
        <f>TEXT(Tabela223456[[#This Row],[DATA]],"mmmm")</f>
        <v>janeiro</v>
      </c>
      <c r="C499" s="2"/>
      <c r="D499" s="2"/>
      <c r="E499" s="2"/>
      <c r="F499" s="2"/>
      <c r="G499" s="173"/>
      <c r="H499" s="174"/>
      <c r="I499" s="173" t="e">
        <f>Tabela22[[#This Row],[PESO TOTAL]]/Tabela22[[#This Row],[QUANTIDADE]]</f>
        <v>#DIV/0!</v>
      </c>
      <c r="J499" s="2"/>
      <c r="K499" s="193"/>
      <c r="L499" s="8"/>
      <c r="M499" s="8"/>
      <c r="N499" s="8"/>
      <c r="O499" s="194"/>
      <c r="P499" s="195"/>
    </row>
    <row r="500" spans="1:16">
      <c r="A500" s="3"/>
      <c r="B500" s="3" t="str">
        <f>TEXT(Tabela223456[[#This Row],[DATA]],"mmmm")</f>
        <v>janeiro</v>
      </c>
      <c r="C500" s="2"/>
      <c r="D500" s="2"/>
      <c r="E500" s="2"/>
      <c r="F500" s="2"/>
      <c r="G500" s="173"/>
      <c r="H500" s="174"/>
      <c r="I500" s="173" t="e">
        <f>Tabela22[[#This Row],[PESO TOTAL]]/Tabela22[[#This Row],[QUANTIDADE]]</f>
        <v>#DIV/0!</v>
      </c>
      <c r="J500" s="2"/>
      <c r="K500" s="193"/>
      <c r="L500" s="8"/>
      <c r="M500" s="8"/>
      <c r="N500" s="8"/>
      <c r="O500" s="194"/>
      <c r="P500" s="195"/>
    </row>
    <row r="501" spans="1:16">
      <c r="A501" s="3"/>
      <c r="B501" s="3" t="str">
        <f>TEXT(Tabela223456[[#This Row],[DATA]],"mmmm")</f>
        <v>janeiro</v>
      </c>
      <c r="C501" s="2"/>
      <c r="D501" s="2"/>
      <c r="E501" s="2"/>
      <c r="F501" s="2"/>
      <c r="G501" s="173"/>
      <c r="H501" s="174"/>
      <c r="I501" s="173" t="e">
        <f>Tabela22[[#This Row],[PESO TOTAL]]/Tabela22[[#This Row],[QUANTIDADE]]</f>
        <v>#DIV/0!</v>
      </c>
      <c r="J501" s="2"/>
      <c r="K501" s="193"/>
      <c r="L501" s="8"/>
      <c r="M501" s="8"/>
      <c r="N501" s="8"/>
      <c r="O501" s="194"/>
      <c r="P501" s="195"/>
    </row>
    <row r="502" spans="1:16">
      <c r="A502" s="3"/>
      <c r="B502" s="3" t="str">
        <f>TEXT(Tabela223456[[#This Row],[DATA]],"mmmm")</f>
        <v>janeiro</v>
      </c>
      <c r="C502" s="2"/>
      <c r="D502" s="2"/>
      <c r="E502" s="2"/>
      <c r="F502" s="2"/>
      <c r="G502" s="173"/>
      <c r="H502" s="174"/>
      <c r="I502" s="173" t="e">
        <f>Tabela22[[#This Row],[PESO TOTAL]]/Tabela22[[#This Row],[QUANTIDADE]]</f>
        <v>#DIV/0!</v>
      </c>
      <c r="J502" s="2"/>
      <c r="K502" s="193"/>
      <c r="L502" s="8"/>
      <c r="M502" s="8"/>
      <c r="N502" s="8"/>
      <c r="O502" s="194"/>
      <c r="P502" s="195"/>
    </row>
    <row r="503" spans="1:16">
      <c r="A503" s="3"/>
      <c r="B503" s="3" t="str">
        <f>TEXT(Tabela223456[[#This Row],[DATA]],"mmmm")</f>
        <v>janeiro</v>
      </c>
      <c r="C503" s="2"/>
      <c r="D503" s="2"/>
      <c r="E503" s="2"/>
      <c r="F503" s="2"/>
      <c r="G503" s="173"/>
      <c r="H503" s="174"/>
      <c r="I503" s="173" t="e">
        <f>Tabela22[[#This Row],[PESO TOTAL]]/Tabela22[[#This Row],[QUANTIDADE]]</f>
        <v>#DIV/0!</v>
      </c>
      <c r="J503" s="2"/>
      <c r="K503" s="193"/>
      <c r="L503" s="8"/>
      <c r="M503" s="8"/>
      <c r="N503" s="8"/>
      <c r="O503" s="194"/>
      <c r="P503" s="195"/>
    </row>
    <row r="504" spans="1:16">
      <c r="A504" s="3"/>
      <c r="B504" s="3" t="str">
        <f>TEXT(Tabela223456[[#This Row],[DATA]],"mmmm")</f>
        <v>janeiro</v>
      </c>
      <c r="C504" s="2"/>
      <c r="D504" s="2"/>
      <c r="E504" s="2"/>
      <c r="F504" s="2"/>
      <c r="G504" s="173"/>
      <c r="H504" s="174"/>
      <c r="I504" s="173" t="e">
        <f>Tabela22[[#This Row],[PESO TOTAL]]/Tabela22[[#This Row],[QUANTIDADE]]</f>
        <v>#DIV/0!</v>
      </c>
      <c r="J504" s="2"/>
      <c r="K504" s="193"/>
      <c r="L504" s="8"/>
      <c r="M504" s="8"/>
      <c r="N504" s="8"/>
      <c r="O504" s="194"/>
      <c r="P504" s="195"/>
    </row>
    <row r="505" spans="1:16">
      <c r="A505" s="3"/>
      <c r="B505" s="3" t="str">
        <f>TEXT(Tabela223456[[#This Row],[DATA]],"mmmm")</f>
        <v>janeiro</v>
      </c>
      <c r="C505" s="2"/>
      <c r="D505" s="2"/>
      <c r="E505" s="2"/>
      <c r="F505" s="2"/>
      <c r="G505" s="173"/>
      <c r="H505" s="174"/>
      <c r="I505" s="173" t="e">
        <f>Tabela22[[#This Row],[PESO TOTAL]]/Tabela22[[#This Row],[QUANTIDADE]]</f>
        <v>#DIV/0!</v>
      </c>
      <c r="J505" s="2"/>
      <c r="K505" s="193"/>
      <c r="L505" s="8"/>
      <c r="M505" s="8"/>
      <c r="N505" s="8"/>
      <c r="O505" s="194"/>
      <c r="P505" s="195"/>
    </row>
    <row r="506" spans="1:16">
      <c r="A506" s="3"/>
      <c r="B506" s="3" t="str">
        <f>TEXT(Tabela223456[[#This Row],[DATA]],"mmmm")</f>
        <v>janeiro</v>
      </c>
      <c r="C506" s="2"/>
      <c r="D506" s="2"/>
      <c r="E506" s="2"/>
      <c r="F506" s="2"/>
      <c r="G506" s="173"/>
      <c r="H506" s="174"/>
      <c r="I506" s="173" t="e">
        <f>Tabela22[[#This Row],[PESO TOTAL]]/Tabela22[[#This Row],[QUANTIDADE]]</f>
        <v>#DIV/0!</v>
      </c>
      <c r="J506" s="2"/>
      <c r="K506" s="193"/>
      <c r="L506" s="8"/>
      <c r="M506" s="8"/>
      <c r="N506" s="8"/>
      <c r="O506" s="194"/>
      <c r="P506" s="195"/>
    </row>
    <row r="507" spans="1:16">
      <c r="A507" s="3"/>
      <c r="B507" s="3" t="str">
        <f>TEXT(Tabela223456[[#This Row],[DATA]],"mmmm")</f>
        <v>janeiro</v>
      </c>
      <c r="C507" s="2"/>
      <c r="D507" s="2"/>
      <c r="E507" s="2"/>
      <c r="F507" s="2"/>
      <c r="G507" s="173"/>
      <c r="H507" s="174"/>
      <c r="I507" s="173" t="e">
        <f>Tabela22[[#This Row],[PESO TOTAL]]/Tabela22[[#This Row],[QUANTIDADE]]</f>
        <v>#DIV/0!</v>
      </c>
      <c r="J507" s="2"/>
      <c r="K507" s="193"/>
      <c r="L507" s="8"/>
      <c r="M507" s="8"/>
      <c r="N507" s="8"/>
      <c r="O507" s="194"/>
      <c r="P507" s="195"/>
    </row>
    <row r="508" spans="1:16">
      <c r="A508" s="3"/>
      <c r="B508" s="3" t="str">
        <f>TEXT(Tabela223456[[#This Row],[DATA]],"mmmm")</f>
        <v>janeiro</v>
      </c>
      <c r="C508" s="2"/>
      <c r="D508" s="2"/>
      <c r="E508" s="2"/>
      <c r="F508" s="2"/>
      <c r="G508" s="173"/>
      <c r="H508" s="174"/>
      <c r="I508" s="173" t="e">
        <f>Tabela22[[#This Row],[PESO TOTAL]]/Tabela22[[#This Row],[QUANTIDADE]]</f>
        <v>#DIV/0!</v>
      </c>
      <c r="J508" s="2"/>
      <c r="K508" s="193"/>
      <c r="L508" s="8"/>
      <c r="M508" s="8"/>
      <c r="N508" s="8"/>
      <c r="O508" s="194"/>
      <c r="P508" s="195"/>
    </row>
    <row r="509" spans="1:16">
      <c r="A509" s="3"/>
      <c r="B509" s="3" t="str">
        <f>TEXT(Tabela223456[[#This Row],[DATA]],"mmmm")</f>
        <v>janeiro</v>
      </c>
      <c r="C509" s="2"/>
      <c r="D509" s="2"/>
      <c r="E509" s="2"/>
      <c r="F509" s="2"/>
      <c r="G509" s="173"/>
      <c r="H509" s="174"/>
      <c r="I509" s="173" t="e">
        <f>Tabela22[[#This Row],[PESO TOTAL]]/Tabela22[[#This Row],[QUANTIDADE]]</f>
        <v>#DIV/0!</v>
      </c>
      <c r="J509" s="2"/>
      <c r="K509" s="193"/>
      <c r="L509" s="8"/>
      <c r="M509" s="8"/>
      <c r="N509" s="8"/>
      <c r="O509" s="194"/>
      <c r="P509" s="195"/>
    </row>
    <row r="510" spans="1:16">
      <c r="A510" s="3"/>
      <c r="B510" s="3" t="str">
        <f>TEXT(Tabela223456[[#This Row],[DATA]],"mmmm")</f>
        <v>janeiro</v>
      </c>
      <c r="C510" s="2"/>
      <c r="D510" s="2"/>
      <c r="E510" s="2"/>
      <c r="F510" s="2"/>
      <c r="G510" s="173"/>
      <c r="H510" s="174"/>
      <c r="I510" s="173" t="e">
        <f>Tabela22[[#This Row],[PESO TOTAL]]/Tabela22[[#This Row],[QUANTIDADE]]</f>
        <v>#DIV/0!</v>
      </c>
      <c r="J510" s="2"/>
      <c r="K510" s="193"/>
      <c r="L510" s="8"/>
      <c r="M510" s="8"/>
      <c r="N510" s="8"/>
      <c r="O510" s="194"/>
      <c r="P510" s="195"/>
    </row>
    <row r="511" spans="1:16">
      <c r="A511" s="3"/>
      <c r="B511" s="3" t="str">
        <f>TEXT(Tabela223456[[#This Row],[DATA]],"mmmm")</f>
        <v>janeiro</v>
      </c>
      <c r="C511" s="2"/>
      <c r="D511" s="2"/>
      <c r="E511" s="2"/>
      <c r="F511" s="2"/>
      <c r="G511" s="173"/>
      <c r="H511" s="174"/>
      <c r="I511" s="173" t="e">
        <f>Tabela22[[#This Row],[PESO TOTAL]]/Tabela22[[#This Row],[QUANTIDADE]]</f>
        <v>#DIV/0!</v>
      </c>
      <c r="J511" s="2"/>
      <c r="K511" s="193"/>
      <c r="L511" s="8"/>
      <c r="M511" s="8"/>
      <c r="N511" s="8"/>
      <c r="O511" s="194"/>
      <c r="P511" s="195"/>
    </row>
    <row r="512" spans="1:16">
      <c r="A512" s="3"/>
      <c r="B512" s="3" t="str">
        <f>TEXT(Tabela223456[[#This Row],[DATA]],"mmmm")</f>
        <v>janeiro</v>
      </c>
      <c r="C512" s="2"/>
      <c r="D512" s="2"/>
      <c r="E512" s="2"/>
      <c r="F512" s="2"/>
      <c r="G512" s="173"/>
      <c r="H512" s="174"/>
      <c r="I512" s="173" t="e">
        <f>Tabela22[[#This Row],[PESO TOTAL]]/Tabela22[[#This Row],[QUANTIDADE]]</f>
        <v>#DIV/0!</v>
      </c>
      <c r="J512" s="2"/>
      <c r="K512" s="193"/>
      <c r="L512" s="8"/>
      <c r="M512" s="8"/>
      <c r="N512" s="8"/>
      <c r="O512" s="194"/>
      <c r="P512" s="195"/>
    </row>
    <row r="513" spans="1:16">
      <c r="A513" s="3"/>
      <c r="B513" s="3" t="str">
        <f>TEXT(Tabela223456[[#This Row],[DATA]],"mmmm")</f>
        <v>janeiro</v>
      </c>
      <c r="C513" s="2"/>
      <c r="D513" s="2"/>
      <c r="E513" s="2"/>
      <c r="F513" s="2"/>
      <c r="G513" s="173"/>
      <c r="H513" s="174"/>
      <c r="I513" s="173" t="e">
        <f>Tabela22[[#This Row],[PESO TOTAL]]/Tabela22[[#This Row],[QUANTIDADE]]</f>
        <v>#DIV/0!</v>
      </c>
      <c r="J513" s="2"/>
      <c r="K513" s="193"/>
      <c r="L513" s="8"/>
      <c r="M513" s="8"/>
      <c r="N513" s="8"/>
      <c r="O513" s="194"/>
      <c r="P513" s="195"/>
    </row>
    <row r="514" spans="1:16">
      <c r="A514" s="3"/>
      <c r="B514" s="3" t="str">
        <f>TEXT(Tabela223456[[#This Row],[DATA]],"mmmm")</f>
        <v>janeiro</v>
      </c>
      <c r="C514" s="2"/>
      <c r="D514" s="2"/>
      <c r="E514" s="2"/>
      <c r="F514" s="2"/>
      <c r="G514" s="173"/>
      <c r="H514" s="174"/>
      <c r="I514" s="173" t="e">
        <f>Tabela22[[#This Row],[PESO TOTAL]]/Tabela22[[#This Row],[QUANTIDADE]]</f>
        <v>#DIV/0!</v>
      </c>
      <c r="J514" s="2"/>
      <c r="K514" s="193"/>
      <c r="L514" s="8"/>
      <c r="M514" s="8"/>
      <c r="N514" s="8"/>
      <c r="O514" s="194"/>
      <c r="P514" s="195"/>
    </row>
    <row r="515" spans="1:16">
      <c r="A515" s="3"/>
      <c r="B515" s="3" t="str">
        <f>TEXT(Tabela223456[[#This Row],[DATA]],"mmmm")</f>
        <v>janeiro</v>
      </c>
      <c r="C515" s="2"/>
      <c r="D515" s="2"/>
      <c r="E515" s="2"/>
      <c r="F515" s="2"/>
      <c r="G515" s="173"/>
      <c r="H515" s="174"/>
      <c r="I515" s="173" t="e">
        <f>Tabela22[[#This Row],[PESO TOTAL]]/Tabela22[[#This Row],[QUANTIDADE]]</f>
        <v>#DIV/0!</v>
      </c>
      <c r="J515" s="2"/>
      <c r="K515" s="193"/>
      <c r="L515" s="8"/>
      <c r="M515" s="8"/>
      <c r="N515" s="8"/>
      <c r="O515" s="194"/>
      <c r="P515" s="195"/>
    </row>
    <row r="516" spans="1:16">
      <c r="A516" s="3"/>
      <c r="B516" s="3" t="str">
        <f>TEXT(Tabela223456[[#This Row],[DATA]],"mmmm")</f>
        <v>janeiro</v>
      </c>
      <c r="C516" s="2"/>
      <c r="D516" s="2"/>
      <c r="E516" s="2"/>
      <c r="F516" s="2"/>
      <c r="G516" s="173"/>
      <c r="H516" s="174"/>
      <c r="I516" s="173" t="e">
        <f>Tabela22[[#This Row],[PESO TOTAL]]/Tabela22[[#This Row],[QUANTIDADE]]</f>
        <v>#DIV/0!</v>
      </c>
      <c r="J516" s="2"/>
      <c r="K516" s="193"/>
      <c r="L516" s="8"/>
      <c r="M516" s="8"/>
      <c r="N516" s="8"/>
      <c r="O516" s="194"/>
      <c r="P516" s="195"/>
    </row>
    <row r="517" spans="1:16">
      <c r="A517" s="3"/>
      <c r="B517" s="3" t="str">
        <f>TEXT(Tabela223456[[#This Row],[DATA]],"mmmm")</f>
        <v>janeiro</v>
      </c>
      <c r="C517" s="2"/>
      <c r="D517" s="2"/>
      <c r="E517" s="2"/>
      <c r="F517" s="2"/>
      <c r="G517" s="173"/>
      <c r="H517" s="174"/>
      <c r="I517" s="173" t="e">
        <f>Tabela22[[#This Row],[PESO TOTAL]]/Tabela22[[#This Row],[QUANTIDADE]]</f>
        <v>#DIV/0!</v>
      </c>
      <c r="J517" s="2"/>
      <c r="K517" s="193"/>
      <c r="L517" s="8"/>
      <c r="M517" s="8"/>
      <c r="N517" s="8"/>
      <c r="O517" s="194"/>
      <c r="P517" s="195"/>
    </row>
    <row r="518" spans="1:16">
      <c r="A518" s="3"/>
      <c r="B518" s="3" t="str">
        <f>TEXT(Tabela223456[[#This Row],[DATA]],"mmmm")</f>
        <v>janeiro</v>
      </c>
      <c r="C518" s="2"/>
      <c r="D518" s="2"/>
      <c r="E518" s="2"/>
      <c r="F518" s="2"/>
      <c r="G518" s="173"/>
      <c r="H518" s="174"/>
      <c r="I518" s="173" t="e">
        <f>Tabela22[[#This Row],[PESO TOTAL]]/Tabela22[[#This Row],[QUANTIDADE]]</f>
        <v>#DIV/0!</v>
      </c>
      <c r="J518" s="2"/>
      <c r="K518" s="193"/>
      <c r="L518" s="8"/>
      <c r="M518" s="8"/>
      <c r="N518" s="8"/>
      <c r="O518" s="194"/>
      <c r="P518" s="195"/>
    </row>
    <row r="519" spans="1:16">
      <c r="A519" s="3"/>
      <c r="B519" s="3" t="str">
        <f>TEXT(Tabela223456[[#This Row],[DATA]],"mmmm")</f>
        <v>janeiro</v>
      </c>
      <c r="C519" s="2"/>
      <c r="D519" s="2"/>
      <c r="E519" s="2"/>
      <c r="F519" s="2"/>
      <c r="G519" s="173"/>
      <c r="H519" s="174"/>
      <c r="I519" s="173" t="e">
        <f>Tabela22[[#This Row],[PESO TOTAL]]/Tabela22[[#This Row],[QUANTIDADE]]</f>
        <v>#DIV/0!</v>
      </c>
      <c r="J519" s="2"/>
      <c r="K519" s="193"/>
      <c r="L519" s="8"/>
      <c r="M519" s="8"/>
      <c r="N519" s="8"/>
      <c r="O519" s="194"/>
      <c r="P519" s="195"/>
    </row>
    <row r="520" spans="1:16">
      <c r="A520" s="3"/>
      <c r="B520" s="3" t="str">
        <f>TEXT(Tabela223456[[#This Row],[DATA]],"mmmm")</f>
        <v>janeiro</v>
      </c>
      <c r="C520" s="2"/>
      <c r="D520" s="2"/>
      <c r="E520" s="2"/>
      <c r="F520" s="2"/>
      <c r="G520" s="173"/>
      <c r="H520" s="174"/>
      <c r="I520" s="173" t="e">
        <f>Tabela22[[#This Row],[PESO TOTAL]]/Tabela22[[#This Row],[QUANTIDADE]]</f>
        <v>#DIV/0!</v>
      </c>
      <c r="J520" s="2"/>
      <c r="K520" s="193"/>
      <c r="L520" s="8"/>
      <c r="M520" s="8"/>
      <c r="N520" s="8"/>
      <c r="O520" s="194"/>
      <c r="P520" s="195"/>
    </row>
    <row r="521" spans="1:16">
      <c r="A521" s="3"/>
      <c r="B521" s="3" t="str">
        <f>TEXT(Tabela223456[[#This Row],[DATA]],"mmmm")</f>
        <v>janeiro</v>
      </c>
      <c r="C521" s="2"/>
      <c r="D521" s="2"/>
      <c r="E521" s="2"/>
      <c r="F521" s="2"/>
      <c r="G521" s="173"/>
      <c r="H521" s="174"/>
      <c r="I521" s="173" t="e">
        <f>Tabela22[[#This Row],[PESO TOTAL]]/Tabela22[[#This Row],[QUANTIDADE]]</f>
        <v>#DIV/0!</v>
      </c>
      <c r="J521" s="2"/>
      <c r="K521" s="193"/>
      <c r="L521" s="8"/>
      <c r="M521" s="8"/>
      <c r="N521" s="8"/>
      <c r="O521" s="194"/>
      <c r="P521" s="195"/>
    </row>
    <row r="522" spans="1:16">
      <c r="A522" s="3"/>
      <c r="B522" s="3" t="str">
        <f>TEXT(Tabela223456[[#This Row],[DATA]],"mmmm")</f>
        <v>janeiro</v>
      </c>
      <c r="C522" s="2"/>
      <c r="D522" s="2"/>
      <c r="E522" s="2"/>
      <c r="F522" s="2"/>
      <c r="G522" s="173"/>
      <c r="H522" s="174"/>
      <c r="I522" s="173" t="e">
        <f>Tabela22[[#This Row],[PESO TOTAL]]/Tabela22[[#This Row],[QUANTIDADE]]</f>
        <v>#DIV/0!</v>
      </c>
      <c r="J522" s="2"/>
      <c r="K522" s="193"/>
      <c r="L522" s="8"/>
      <c r="M522" s="8"/>
      <c r="N522" s="8"/>
      <c r="O522" s="194"/>
      <c r="P522" s="195"/>
    </row>
    <row r="523" spans="1:16">
      <c r="A523" s="3"/>
      <c r="B523" s="3" t="str">
        <f>TEXT(Tabela223456[[#This Row],[DATA]],"mmmm")</f>
        <v>janeiro</v>
      </c>
      <c r="C523" s="2"/>
      <c r="D523" s="2"/>
      <c r="E523" s="2"/>
      <c r="F523" s="2"/>
      <c r="G523" s="173"/>
      <c r="H523" s="174"/>
      <c r="I523" s="173" t="e">
        <f>Tabela22[[#This Row],[PESO TOTAL]]/Tabela22[[#This Row],[QUANTIDADE]]</f>
        <v>#DIV/0!</v>
      </c>
      <c r="J523" s="2"/>
      <c r="K523" s="193"/>
      <c r="L523" s="8"/>
      <c r="M523" s="8"/>
      <c r="N523" s="8"/>
      <c r="O523" s="194"/>
      <c r="P523" s="195"/>
    </row>
    <row r="524" spans="1:16">
      <c r="A524" s="3"/>
      <c r="B524" s="3" t="str">
        <f>TEXT(Tabela223456[[#This Row],[DATA]],"mmmm")</f>
        <v>janeiro</v>
      </c>
      <c r="C524" s="2"/>
      <c r="D524" s="2"/>
      <c r="E524" s="2"/>
      <c r="F524" s="2"/>
      <c r="G524" s="173"/>
      <c r="H524" s="174"/>
      <c r="I524" s="173" t="e">
        <f>Tabela22[[#This Row],[PESO TOTAL]]/Tabela22[[#This Row],[QUANTIDADE]]</f>
        <v>#DIV/0!</v>
      </c>
      <c r="J524" s="2"/>
      <c r="K524" s="193"/>
      <c r="L524" s="8"/>
      <c r="M524" s="8"/>
      <c r="N524" s="8"/>
      <c r="O524" s="194"/>
      <c r="P524" s="195"/>
    </row>
    <row r="525" spans="1:16">
      <c r="A525" s="3"/>
      <c r="B525" s="3" t="str">
        <f>TEXT(Tabela223456[[#This Row],[DATA]],"mmmm")</f>
        <v>janeiro</v>
      </c>
      <c r="C525" s="2"/>
      <c r="D525" s="2"/>
      <c r="E525" s="2"/>
      <c r="F525" s="2"/>
      <c r="G525" s="173"/>
      <c r="H525" s="174"/>
      <c r="I525" s="173" t="e">
        <f>Tabela22[[#This Row],[PESO TOTAL]]/Tabela22[[#This Row],[QUANTIDADE]]</f>
        <v>#DIV/0!</v>
      </c>
      <c r="J525" s="2"/>
      <c r="K525" s="193"/>
      <c r="L525" s="8"/>
      <c r="M525" s="8"/>
      <c r="N525" s="8"/>
      <c r="O525" s="194"/>
      <c r="P525" s="195"/>
    </row>
    <row r="526" spans="1:16">
      <c r="A526" s="3"/>
      <c r="B526" s="3" t="str">
        <f>TEXT(Tabela223456[[#This Row],[DATA]],"mmmm")</f>
        <v>janeiro</v>
      </c>
      <c r="C526" s="2"/>
      <c r="D526" s="2"/>
      <c r="E526" s="2"/>
      <c r="F526" s="2"/>
      <c r="G526" s="173"/>
      <c r="H526" s="174"/>
      <c r="I526" s="173" t="e">
        <f>Tabela22[[#This Row],[PESO TOTAL]]/Tabela22[[#This Row],[QUANTIDADE]]</f>
        <v>#DIV/0!</v>
      </c>
      <c r="J526" s="2"/>
      <c r="K526" s="193"/>
      <c r="L526" s="8"/>
      <c r="M526" s="8"/>
      <c r="N526" s="8"/>
      <c r="O526" s="194"/>
      <c r="P526" s="195"/>
    </row>
    <row r="527" spans="1:16">
      <c r="A527" s="3"/>
      <c r="B527" s="3" t="str">
        <f>TEXT(Tabela223456[[#This Row],[DATA]],"mmmm")</f>
        <v>janeiro</v>
      </c>
      <c r="C527" s="2"/>
      <c r="D527" s="2"/>
      <c r="E527" s="2"/>
      <c r="F527" s="2"/>
      <c r="G527" s="173"/>
      <c r="H527" s="174"/>
      <c r="I527" s="173" t="e">
        <f>Tabela22[[#This Row],[PESO TOTAL]]/Tabela22[[#This Row],[QUANTIDADE]]</f>
        <v>#DIV/0!</v>
      </c>
      <c r="J527" s="2"/>
      <c r="K527" s="193"/>
      <c r="L527" s="8"/>
      <c r="M527" s="8"/>
      <c r="N527" s="8"/>
      <c r="O527" s="194"/>
      <c r="P527" s="195"/>
    </row>
    <row r="528" spans="1:16">
      <c r="A528" s="3"/>
      <c r="B528" s="3" t="str">
        <f>TEXT(Tabela223456[[#This Row],[DATA]],"mmmm")</f>
        <v>janeiro</v>
      </c>
      <c r="C528" s="2"/>
      <c r="D528" s="2"/>
      <c r="E528" s="2"/>
      <c r="F528" s="2"/>
      <c r="G528" s="173"/>
      <c r="H528" s="174"/>
      <c r="I528" s="173" t="e">
        <f>Tabela22[[#This Row],[PESO TOTAL]]/Tabela22[[#This Row],[QUANTIDADE]]</f>
        <v>#DIV/0!</v>
      </c>
      <c r="J528" s="2"/>
      <c r="K528" s="193"/>
      <c r="L528" s="8"/>
      <c r="M528" s="8"/>
      <c r="N528" s="8"/>
      <c r="O528" s="194"/>
      <c r="P528" s="195"/>
    </row>
    <row r="529" spans="1:16">
      <c r="A529" s="3"/>
      <c r="B529" s="3" t="str">
        <f>TEXT(Tabela223456[[#This Row],[DATA]],"mmmm")</f>
        <v>janeiro</v>
      </c>
      <c r="C529" s="2"/>
      <c r="D529" s="2"/>
      <c r="E529" s="2"/>
      <c r="F529" s="2"/>
      <c r="G529" s="173"/>
      <c r="H529" s="174"/>
      <c r="I529" s="173" t="e">
        <f>Tabela22[[#This Row],[PESO TOTAL]]/Tabela22[[#This Row],[QUANTIDADE]]</f>
        <v>#DIV/0!</v>
      </c>
      <c r="J529" s="2"/>
      <c r="K529" s="193"/>
      <c r="L529" s="8"/>
      <c r="M529" s="8"/>
      <c r="N529" s="8"/>
      <c r="O529" s="194"/>
      <c r="P529" s="195"/>
    </row>
    <row r="530" spans="1:16">
      <c r="A530" s="3"/>
      <c r="B530" s="3" t="str">
        <f>TEXT(Tabela223456[[#This Row],[DATA]],"mmmm")</f>
        <v>janeiro</v>
      </c>
      <c r="C530" s="2"/>
      <c r="D530" s="2"/>
      <c r="E530" s="2"/>
      <c r="F530" s="2"/>
      <c r="G530" s="173"/>
      <c r="H530" s="174"/>
      <c r="I530" s="173" t="e">
        <f>Tabela22[[#This Row],[PESO TOTAL]]/Tabela22[[#This Row],[QUANTIDADE]]</f>
        <v>#DIV/0!</v>
      </c>
      <c r="J530" s="2"/>
      <c r="K530" s="193"/>
      <c r="L530" s="8"/>
      <c r="M530" s="8"/>
      <c r="N530" s="8"/>
      <c r="O530" s="194"/>
      <c r="P530" s="195"/>
    </row>
    <row r="531" spans="1:16">
      <c r="A531" s="3"/>
      <c r="B531" s="3" t="str">
        <f>TEXT(Tabela223456[[#This Row],[DATA]],"mmmm")</f>
        <v>janeiro</v>
      </c>
      <c r="C531" s="2"/>
      <c r="D531" s="2"/>
      <c r="E531" s="2"/>
      <c r="F531" s="2"/>
      <c r="G531" s="173"/>
      <c r="H531" s="174"/>
      <c r="I531" s="173" t="e">
        <f>Tabela22[[#This Row],[PESO TOTAL]]/Tabela22[[#This Row],[QUANTIDADE]]</f>
        <v>#DIV/0!</v>
      </c>
      <c r="J531" s="2"/>
      <c r="K531" s="193"/>
      <c r="L531" s="8"/>
      <c r="M531" s="8"/>
      <c r="N531" s="8"/>
      <c r="O531" s="194"/>
      <c r="P531" s="195"/>
    </row>
    <row r="532" spans="1:16">
      <c r="A532" s="3"/>
      <c r="B532" s="3" t="str">
        <f>TEXT(Tabela223456[[#This Row],[DATA]],"mmmm")</f>
        <v>janeiro</v>
      </c>
      <c r="C532" s="2"/>
      <c r="D532" s="2"/>
      <c r="E532" s="2"/>
      <c r="F532" s="2"/>
      <c r="G532" s="173"/>
      <c r="H532" s="174"/>
      <c r="I532" s="173" t="e">
        <f>Tabela22[[#This Row],[PESO TOTAL]]/Tabela22[[#This Row],[QUANTIDADE]]</f>
        <v>#DIV/0!</v>
      </c>
      <c r="J532" s="2"/>
      <c r="K532" s="193"/>
      <c r="L532" s="8"/>
      <c r="M532" s="8"/>
      <c r="N532" s="8"/>
      <c r="O532" s="194"/>
      <c r="P532" s="195"/>
    </row>
    <row r="533" spans="1:16">
      <c r="A533" s="3"/>
      <c r="B533" s="3" t="str">
        <f>TEXT(Tabela223456[[#This Row],[DATA]],"mmmm")</f>
        <v>janeiro</v>
      </c>
      <c r="C533" s="2"/>
      <c r="D533" s="2"/>
      <c r="E533" s="2"/>
      <c r="F533" s="2"/>
      <c r="G533" s="173"/>
      <c r="H533" s="174"/>
      <c r="I533" s="173" t="e">
        <f>Tabela22[[#This Row],[PESO TOTAL]]/Tabela22[[#This Row],[QUANTIDADE]]</f>
        <v>#DIV/0!</v>
      </c>
      <c r="J533" s="2"/>
      <c r="K533" s="193"/>
      <c r="L533" s="8"/>
      <c r="M533" s="8"/>
      <c r="N533" s="8"/>
      <c r="O533" s="194"/>
      <c r="P533" s="195"/>
    </row>
    <row r="534" spans="1:16">
      <c r="A534" s="3"/>
      <c r="B534" s="3" t="str">
        <f>TEXT(Tabela223456[[#This Row],[DATA]],"mmmm")</f>
        <v>janeiro</v>
      </c>
      <c r="C534" s="2"/>
      <c r="D534" s="2"/>
      <c r="E534" s="2"/>
      <c r="F534" s="2"/>
      <c r="G534" s="173"/>
      <c r="H534" s="174"/>
      <c r="I534" s="173" t="e">
        <f>Tabela22[[#This Row],[PESO TOTAL]]/Tabela22[[#This Row],[QUANTIDADE]]</f>
        <v>#DIV/0!</v>
      </c>
      <c r="J534" s="2"/>
      <c r="K534" s="193"/>
      <c r="L534" s="8"/>
      <c r="M534" s="8"/>
      <c r="N534" s="8"/>
      <c r="O534" s="194"/>
      <c r="P534" s="195"/>
    </row>
    <row r="535" spans="1:16">
      <c r="A535" s="3"/>
      <c r="B535" s="3" t="str">
        <f>TEXT(Tabela223456[[#This Row],[DATA]],"mmmm")</f>
        <v>janeiro</v>
      </c>
      <c r="C535" s="2"/>
      <c r="D535" s="2"/>
      <c r="E535" s="2"/>
      <c r="F535" s="2"/>
      <c r="G535" s="173"/>
      <c r="H535" s="174"/>
      <c r="I535" s="173" t="e">
        <f>Tabela22[[#This Row],[PESO TOTAL]]/Tabela22[[#This Row],[QUANTIDADE]]</f>
        <v>#DIV/0!</v>
      </c>
      <c r="J535" s="2"/>
      <c r="K535" s="193"/>
      <c r="L535" s="8"/>
      <c r="M535" s="8"/>
      <c r="N535" s="8"/>
      <c r="O535" s="194"/>
      <c r="P535" s="195"/>
    </row>
    <row r="536" spans="1:16">
      <c r="A536" s="3"/>
      <c r="B536" s="3" t="str">
        <f>TEXT(Tabela223456[[#This Row],[DATA]],"mmmm")</f>
        <v>janeiro</v>
      </c>
      <c r="C536" s="2"/>
      <c r="D536" s="2"/>
      <c r="E536" s="2"/>
      <c r="F536" s="2"/>
      <c r="G536" s="173"/>
      <c r="H536" s="174"/>
      <c r="I536" s="173" t="e">
        <f>Tabela22[[#This Row],[PESO TOTAL]]/Tabela22[[#This Row],[QUANTIDADE]]</f>
        <v>#DIV/0!</v>
      </c>
      <c r="J536" s="2"/>
      <c r="K536" s="193"/>
      <c r="L536" s="8"/>
      <c r="M536" s="8"/>
      <c r="N536" s="8"/>
      <c r="O536" s="194"/>
      <c r="P536" s="195"/>
    </row>
    <row r="537" spans="1:16">
      <c r="A537" s="3"/>
      <c r="B537" s="3" t="str">
        <f>TEXT(Tabela223456[[#This Row],[DATA]],"mmmm")</f>
        <v>janeiro</v>
      </c>
      <c r="C537" s="2"/>
      <c r="D537" s="2"/>
      <c r="E537" s="2"/>
      <c r="F537" s="2"/>
      <c r="G537" s="173"/>
      <c r="H537" s="174"/>
      <c r="I537" s="173" t="e">
        <f>Tabela22[[#This Row],[PESO TOTAL]]/Tabela22[[#This Row],[QUANTIDADE]]</f>
        <v>#DIV/0!</v>
      </c>
      <c r="J537" s="2"/>
      <c r="K537" s="193"/>
      <c r="L537" s="8"/>
      <c r="M537" s="8"/>
      <c r="N537" s="8"/>
      <c r="O537" s="194"/>
      <c r="P537" s="195"/>
    </row>
    <row r="538" spans="1:16">
      <c r="A538" s="3"/>
      <c r="B538" s="3" t="str">
        <f>TEXT(Tabela223456[[#This Row],[DATA]],"mmmm")</f>
        <v>janeiro</v>
      </c>
      <c r="C538" s="2"/>
      <c r="D538" s="2"/>
      <c r="E538" s="2"/>
      <c r="F538" s="2"/>
      <c r="G538" s="173"/>
      <c r="H538" s="174"/>
      <c r="I538" s="173" t="e">
        <f>Tabela22[[#This Row],[PESO TOTAL]]/Tabela22[[#This Row],[QUANTIDADE]]</f>
        <v>#DIV/0!</v>
      </c>
      <c r="J538" s="2"/>
      <c r="K538" s="193"/>
      <c r="L538" s="8"/>
      <c r="M538" s="8"/>
      <c r="N538" s="8"/>
      <c r="O538" s="194"/>
      <c r="P538" s="195"/>
    </row>
    <row r="539" spans="1:16">
      <c r="A539" s="3"/>
      <c r="B539" s="3" t="str">
        <f>TEXT(Tabela223456[[#This Row],[DATA]],"mmmm")</f>
        <v>janeiro</v>
      </c>
      <c r="C539" s="2"/>
      <c r="D539" s="2"/>
      <c r="E539" s="2"/>
      <c r="F539" s="2"/>
      <c r="G539" s="173"/>
      <c r="H539" s="174"/>
      <c r="I539" s="173" t="e">
        <f>Tabela22[[#This Row],[PESO TOTAL]]/Tabela22[[#This Row],[QUANTIDADE]]</f>
        <v>#DIV/0!</v>
      </c>
      <c r="J539" s="2"/>
      <c r="K539" s="193"/>
      <c r="L539" s="8"/>
      <c r="M539" s="8"/>
      <c r="N539" s="8"/>
      <c r="O539" s="194"/>
      <c r="P539" s="195"/>
    </row>
    <row r="540" spans="1:16">
      <c r="A540" s="3"/>
      <c r="B540" s="3" t="str">
        <f>TEXT(Tabela223456[[#This Row],[DATA]],"mmmm")</f>
        <v>janeiro</v>
      </c>
      <c r="C540" s="2"/>
      <c r="D540" s="2"/>
      <c r="E540" s="2"/>
      <c r="F540" s="2"/>
      <c r="G540" s="173"/>
      <c r="H540" s="174"/>
      <c r="I540" s="173" t="e">
        <f>Tabela22[[#This Row],[PESO TOTAL]]/Tabela22[[#This Row],[QUANTIDADE]]</f>
        <v>#DIV/0!</v>
      </c>
      <c r="J540" s="2"/>
      <c r="K540" s="193"/>
      <c r="L540" s="8"/>
      <c r="M540" s="8"/>
      <c r="N540" s="8"/>
      <c r="O540" s="194"/>
      <c r="P540" s="195"/>
    </row>
    <row r="541" spans="1:16">
      <c r="A541" s="3"/>
      <c r="B541" s="3" t="str">
        <f>TEXT(Tabela223456[[#This Row],[DATA]],"mmmm")</f>
        <v>janeiro</v>
      </c>
      <c r="C541" s="2"/>
      <c r="D541" s="2"/>
      <c r="E541" s="2"/>
      <c r="F541" s="2"/>
      <c r="G541" s="173"/>
      <c r="H541" s="174"/>
      <c r="I541" s="173" t="e">
        <f>Tabela22[[#This Row],[PESO TOTAL]]/Tabela22[[#This Row],[QUANTIDADE]]</f>
        <v>#DIV/0!</v>
      </c>
      <c r="J541" s="2"/>
      <c r="K541" s="193"/>
      <c r="L541" s="8"/>
      <c r="M541" s="8"/>
      <c r="N541" s="8"/>
      <c r="O541" s="194"/>
      <c r="P541" s="195"/>
    </row>
    <row r="542" spans="1:16">
      <c r="A542" s="3"/>
      <c r="B542" s="3" t="str">
        <f>TEXT(Tabela223456[[#This Row],[DATA]],"mmmm")</f>
        <v>janeiro</v>
      </c>
      <c r="C542" s="2"/>
      <c r="D542" s="2"/>
      <c r="E542" s="2"/>
      <c r="F542" s="2"/>
      <c r="G542" s="173"/>
      <c r="H542" s="174"/>
      <c r="I542" s="173" t="e">
        <f>Tabela22[[#This Row],[PESO TOTAL]]/Tabela22[[#This Row],[QUANTIDADE]]</f>
        <v>#DIV/0!</v>
      </c>
      <c r="J542" s="2"/>
      <c r="K542" s="193"/>
      <c r="L542" s="8"/>
      <c r="M542" s="8"/>
      <c r="N542" s="8"/>
      <c r="O542" s="194"/>
      <c r="P542" s="195"/>
    </row>
    <row r="543" spans="1:16">
      <c r="A543" s="3"/>
      <c r="B543" s="3" t="str">
        <f>TEXT(Tabela223456[[#This Row],[DATA]],"mmmm")</f>
        <v>janeiro</v>
      </c>
      <c r="C543" s="2"/>
      <c r="D543" s="2"/>
      <c r="E543" s="2"/>
      <c r="F543" s="2"/>
      <c r="G543" s="173"/>
      <c r="H543" s="174"/>
      <c r="I543" s="173" t="e">
        <f>Tabela22[[#This Row],[PESO TOTAL]]/Tabela22[[#This Row],[QUANTIDADE]]</f>
        <v>#DIV/0!</v>
      </c>
      <c r="J543" s="2"/>
      <c r="K543" s="193"/>
      <c r="L543" s="8"/>
      <c r="M543" s="8"/>
      <c r="N543" s="8"/>
      <c r="O543" s="194"/>
      <c r="P543" s="195"/>
    </row>
    <row r="544" spans="1:16">
      <c r="A544" s="3"/>
      <c r="B544" s="3" t="str">
        <f>TEXT(Tabela223456[[#This Row],[DATA]],"mmmm")</f>
        <v>janeiro</v>
      </c>
      <c r="C544" s="2"/>
      <c r="D544" s="2"/>
      <c r="E544" s="2"/>
      <c r="F544" s="2"/>
      <c r="G544" s="173"/>
      <c r="H544" s="174"/>
      <c r="I544" s="173" t="e">
        <f>Tabela22[[#This Row],[PESO TOTAL]]/Tabela22[[#This Row],[QUANTIDADE]]</f>
        <v>#DIV/0!</v>
      </c>
      <c r="J544" s="2"/>
      <c r="K544" s="193"/>
      <c r="L544" s="8"/>
      <c r="M544" s="8"/>
      <c r="N544" s="8"/>
      <c r="O544" s="194"/>
      <c r="P544" s="195"/>
    </row>
    <row r="545" spans="1:16">
      <c r="A545" s="3"/>
      <c r="B545" s="3" t="str">
        <f>TEXT(Tabela223456[[#This Row],[DATA]],"mmmm")</f>
        <v>janeiro</v>
      </c>
      <c r="C545" s="2"/>
      <c r="D545" s="2"/>
      <c r="E545" s="2"/>
      <c r="F545" s="2"/>
      <c r="G545" s="173"/>
      <c r="H545" s="174"/>
      <c r="I545" s="173" t="e">
        <f>Tabela22[[#This Row],[PESO TOTAL]]/Tabela22[[#This Row],[QUANTIDADE]]</f>
        <v>#DIV/0!</v>
      </c>
      <c r="J545" s="2"/>
      <c r="K545" s="193"/>
      <c r="L545" s="8"/>
      <c r="M545" s="8"/>
      <c r="N545" s="8"/>
      <c r="O545" s="194"/>
      <c r="P545" s="195"/>
    </row>
    <row r="546" spans="1:16">
      <c r="A546" s="3"/>
      <c r="B546" s="3" t="str">
        <f>TEXT(Tabela223456[[#This Row],[DATA]],"mmmm")</f>
        <v>janeiro</v>
      </c>
      <c r="C546" s="2"/>
      <c r="D546" s="2"/>
      <c r="E546" s="2"/>
      <c r="F546" s="2"/>
      <c r="G546" s="173"/>
      <c r="H546" s="174"/>
      <c r="I546" s="173" t="e">
        <f>Tabela22[[#This Row],[PESO TOTAL]]/Tabela22[[#This Row],[QUANTIDADE]]</f>
        <v>#DIV/0!</v>
      </c>
      <c r="J546" s="2"/>
      <c r="K546" s="193"/>
      <c r="L546" s="8"/>
      <c r="M546" s="8"/>
      <c r="N546" s="8"/>
      <c r="O546" s="194"/>
      <c r="P546" s="195"/>
    </row>
    <row r="547" spans="1:16">
      <c r="A547" s="3"/>
      <c r="B547" s="3" t="str">
        <f>TEXT(Tabela223456[[#This Row],[DATA]],"mmmm")</f>
        <v>janeiro</v>
      </c>
      <c r="C547" s="2"/>
      <c r="D547" s="2"/>
      <c r="E547" s="2"/>
      <c r="F547" s="2"/>
      <c r="G547" s="173"/>
      <c r="H547" s="174"/>
      <c r="I547" s="173" t="e">
        <f>Tabela22[[#This Row],[PESO TOTAL]]/Tabela22[[#This Row],[QUANTIDADE]]</f>
        <v>#DIV/0!</v>
      </c>
      <c r="J547" s="2"/>
      <c r="K547" s="193"/>
      <c r="L547" s="8"/>
      <c r="M547" s="8"/>
      <c r="N547" s="8"/>
      <c r="O547" s="194"/>
      <c r="P547" s="195"/>
    </row>
    <row r="548" spans="1:16">
      <c r="A548" s="3"/>
      <c r="B548" s="3" t="str">
        <f>TEXT(Tabela223456[[#This Row],[DATA]],"mmmm")</f>
        <v>janeiro</v>
      </c>
      <c r="C548" s="2"/>
      <c r="D548" s="2"/>
      <c r="E548" s="2"/>
      <c r="F548" s="2"/>
      <c r="G548" s="173"/>
      <c r="H548" s="174"/>
      <c r="I548" s="173" t="e">
        <f>Tabela22[[#This Row],[PESO TOTAL]]/Tabela22[[#This Row],[QUANTIDADE]]</f>
        <v>#DIV/0!</v>
      </c>
      <c r="J548" s="2"/>
      <c r="K548" s="193"/>
      <c r="L548" s="8"/>
      <c r="M548" s="8"/>
      <c r="N548" s="8"/>
      <c r="O548" s="194"/>
      <c r="P548" s="195"/>
    </row>
    <row r="549" spans="1:16">
      <c r="A549" s="3"/>
      <c r="B549" s="3" t="str">
        <f>TEXT(Tabela223456[[#This Row],[DATA]],"mmmm")</f>
        <v>janeiro</v>
      </c>
      <c r="C549" s="2"/>
      <c r="D549" s="2"/>
      <c r="E549" s="2"/>
      <c r="F549" s="2"/>
      <c r="G549" s="173"/>
      <c r="H549" s="174"/>
      <c r="I549" s="173" t="e">
        <f>Tabela22[[#This Row],[PESO TOTAL]]/Tabela22[[#This Row],[QUANTIDADE]]</f>
        <v>#DIV/0!</v>
      </c>
      <c r="J549" s="2"/>
      <c r="K549" s="193"/>
      <c r="L549" s="8"/>
      <c r="M549" s="8"/>
      <c r="N549" s="8"/>
      <c r="O549" s="194"/>
      <c r="P549" s="195"/>
    </row>
    <row r="550" spans="1:16">
      <c r="B550" s="1" t="str">
        <f>TEXT(Tabela223456[[#This Row],[DATA]],"mmmm")</f>
        <v>janeiro</v>
      </c>
      <c r="G550" s="197"/>
      <c r="H550" s="174"/>
      <c r="I550" s="173" t="e">
        <f>Tabela22[[#This Row],[PESO TOTAL]]/Tabela22[[#This Row],[QUANTIDADE]]</f>
        <v>#DIV/0!</v>
      </c>
      <c r="K550" s="198"/>
      <c r="O550" s="199"/>
      <c r="P550" s="195"/>
    </row>
    <row r="551" spans="1:16">
      <c r="B551" s="1" t="str">
        <f>TEXT(Tabela223456[[#This Row],[DATA]],"mmmm")</f>
        <v>janeiro</v>
      </c>
      <c r="G551" s="197"/>
      <c r="H551" s="174"/>
      <c r="I551" s="173" t="e">
        <f>Tabela22[[#This Row],[PESO TOTAL]]/Tabela22[[#This Row],[QUANTIDADE]]</f>
        <v>#DIV/0!</v>
      </c>
      <c r="K551" s="198"/>
      <c r="O551" s="199"/>
      <c r="P551" s="195"/>
    </row>
    <row r="552" spans="1:16">
      <c r="B552" s="1" t="str">
        <f>TEXT(Tabela223456[[#This Row],[DATA]],"mmmm")</f>
        <v>janeiro</v>
      </c>
      <c r="G552" s="197"/>
      <c r="H552" s="174"/>
      <c r="I552" s="173" t="e">
        <f>Tabela22[[#This Row],[PESO TOTAL]]/Tabela22[[#This Row],[QUANTIDADE]]</f>
        <v>#DIV/0!</v>
      </c>
      <c r="K552" s="198"/>
      <c r="O552" s="199"/>
      <c r="P552" s="195"/>
    </row>
    <row r="553" spans="1:16">
      <c r="B553" s="1" t="str">
        <f>TEXT(Tabela223456[[#This Row],[DATA]],"mmmm")</f>
        <v>janeiro</v>
      </c>
      <c r="G553" s="197"/>
      <c r="H553" s="174"/>
      <c r="I553" s="173" t="e">
        <f>Tabela22[[#This Row],[PESO TOTAL]]/Tabela22[[#This Row],[QUANTIDADE]]</f>
        <v>#DIV/0!</v>
      </c>
      <c r="K553" s="198"/>
      <c r="O553" s="199"/>
      <c r="P553" s="90"/>
    </row>
    <row r="554" spans="1:16">
      <c r="B554" s="1" t="str">
        <f>TEXT(Tabela223456[[#This Row],[DATA]],"mmmm")</f>
        <v>janeiro</v>
      </c>
      <c r="G554" s="197"/>
      <c r="H554" s="174"/>
      <c r="I554" s="173" t="e">
        <f>Tabela22[[#This Row],[PESO TOTAL]]/Tabela22[[#This Row],[QUANTIDADE]]</f>
        <v>#DIV/0!</v>
      </c>
      <c r="K554" s="198"/>
      <c r="O554" s="199"/>
      <c r="P554" s="90"/>
    </row>
    <row r="555" spans="1:16">
      <c r="B555" s="1" t="str">
        <f>TEXT(Tabela223456[[#This Row],[DATA]],"mmmm")</f>
        <v>janeiro</v>
      </c>
      <c r="G555" s="197"/>
      <c r="H555" s="174"/>
      <c r="I555" s="173" t="e">
        <f>Tabela22[[#This Row],[PESO TOTAL]]/Tabela22[[#This Row],[QUANTIDADE]]</f>
        <v>#DIV/0!</v>
      </c>
      <c r="K555" s="198"/>
      <c r="O555" s="199"/>
      <c r="P555" s="90"/>
    </row>
    <row r="556" spans="1:16">
      <c r="B556" s="1" t="str">
        <f>TEXT(Tabela223456[[#This Row],[DATA]],"mmmm")</f>
        <v>janeiro</v>
      </c>
      <c r="G556" s="197"/>
      <c r="H556" s="174"/>
      <c r="I556" s="173" t="e">
        <f>Tabela22[[#This Row],[PESO TOTAL]]/Tabela22[[#This Row],[QUANTIDADE]]</f>
        <v>#DIV/0!</v>
      </c>
      <c r="K556" s="198"/>
      <c r="O556" s="199"/>
      <c r="P556" s="90"/>
    </row>
    <row r="557" spans="1:16">
      <c r="B557" s="1" t="str">
        <f>TEXT(Tabela223456[[#This Row],[DATA]],"mmmm")</f>
        <v>janeiro</v>
      </c>
      <c r="G557" s="197"/>
      <c r="H557" s="174"/>
      <c r="I557" s="173" t="e">
        <f>Tabela22[[#This Row],[PESO TOTAL]]/Tabela22[[#This Row],[QUANTIDADE]]</f>
        <v>#DIV/0!</v>
      </c>
      <c r="K557" s="198"/>
      <c r="O557" s="199"/>
      <c r="P557" s="90"/>
    </row>
    <row r="558" spans="1:16">
      <c r="B558" s="1" t="str">
        <f>TEXT(Tabela223456[[#This Row],[DATA]],"mmmm")</f>
        <v>janeiro</v>
      </c>
      <c r="G558" s="197"/>
      <c r="H558" s="174"/>
      <c r="I558" s="173" t="e">
        <f>Tabela22[[#This Row],[PESO TOTAL]]/Tabela22[[#This Row],[QUANTIDADE]]</f>
        <v>#DIV/0!</v>
      </c>
      <c r="K558" s="198"/>
      <c r="O558" s="199"/>
      <c r="P558" s="90"/>
    </row>
    <row r="559" spans="1:16">
      <c r="B559" s="1" t="str">
        <f>TEXT(Tabela223456[[#This Row],[DATA]],"mmmm")</f>
        <v>janeiro</v>
      </c>
      <c r="G559" s="197"/>
      <c r="H559" s="174"/>
      <c r="I559" s="173" t="e">
        <f>Tabela22[[#This Row],[PESO TOTAL]]/Tabela22[[#This Row],[QUANTIDADE]]</f>
        <v>#DIV/0!</v>
      </c>
      <c r="K559" s="198"/>
      <c r="O559" s="199"/>
      <c r="P559" s="90"/>
    </row>
    <row r="560" spans="1:16">
      <c r="B560" s="1" t="str">
        <f>TEXT(Tabela223456[[#This Row],[DATA]],"mmmm")</f>
        <v>janeiro</v>
      </c>
      <c r="G560" s="197"/>
      <c r="H560" s="174"/>
      <c r="I560" s="173" t="e">
        <f>Tabela22[[#This Row],[PESO TOTAL]]/Tabela22[[#This Row],[QUANTIDADE]]</f>
        <v>#DIV/0!</v>
      </c>
      <c r="K560" s="198"/>
      <c r="O560" s="199"/>
      <c r="P560" s="90"/>
    </row>
    <row r="561" spans="2:16">
      <c r="B561" s="1" t="str">
        <f>TEXT(Tabela223456[[#This Row],[DATA]],"mmmm")</f>
        <v>janeiro</v>
      </c>
      <c r="G561" s="197"/>
      <c r="H561" s="174"/>
      <c r="I561" s="173" t="e">
        <f>Tabela22[[#This Row],[PESO TOTAL]]/Tabela22[[#This Row],[QUANTIDADE]]</f>
        <v>#DIV/0!</v>
      </c>
      <c r="K561" s="198"/>
      <c r="O561" s="199"/>
      <c r="P561" s="90"/>
    </row>
    <row r="562" spans="2:16">
      <c r="B562" s="1" t="str">
        <f>TEXT(Tabela223456[[#This Row],[DATA]],"mmmm")</f>
        <v>janeiro</v>
      </c>
      <c r="G562" s="197"/>
      <c r="H562" s="174"/>
      <c r="I562" s="173" t="e">
        <f>Tabela22[[#This Row],[PESO TOTAL]]/Tabela22[[#This Row],[QUANTIDADE]]</f>
        <v>#DIV/0!</v>
      </c>
      <c r="K562" s="198"/>
      <c r="O562" s="199"/>
      <c r="P562" s="90"/>
    </row>
    <row r="563" spans="2:16">
      <c r="B563" s="1" t="str">
        <f>TEXT(Tabela223456[[#This Row],[DATA]],"mmmm")</f>
        <v>janeiro</v>
      </c>
      <c r="G563" s="197"/>
      <c r="H563" s="174"/>
      <c r="I563" s="173" t="e">
        <f>Tabela22[[#This Row],[PESO TOTAL]]/Tabela22[[#This Row],[QUANTIDADE]]</f>
        <v>#DIV/0!</v>
      </c>
      <c r="K563" s="198"/>
      <c r="O563" s="199"/>
      <c r="P563" s="90"/>
    </row>
    <row r="564" spans="2:16">
      <c r="B564" s="1" t="str">
        <f>TEXT(Tabela223456[[#This Row],[DATA]],"mmmm")</f>
        <v>janeiro</v>
      </c>
      <c r="G564" s="197"/>
      <c r="H564" s="174"/>
      <c r="I564" s="173" t="e">
        <f>Tabela22[[#This Row],[PESO TOTAL]]/Tabela22[[#This Row],[QUANTIDADE]]</f>
        <v>#DIV/0!</v>
      </c>
      <c r="K564" s="198"/>
      <c r="O564" s="199"/>
      <c r="P564" s="90"/>
    </row>
    <row r="565" spans="2:16">
      <c r="B565" s="1" t="str">
        <f>TEXT(Tabela223456[[#This Row],[DATA]],"mmmm")</f>
        <v>janeiro</v>
      </c>
      <c r="G565" s="197"/>
      <c r="H565" s="174"/>
      <c r="I565" s="173" t="e">
        <f>Tabela22[[#This Row],[PESO TOTAL]]/Tabela22[[#This Row],[QUANTIDADE]]</f>
        <v>#DIV/0!</v>
      </c>
      <c r="K565" s="198"/>
      <c r="O565" s="199"/>
      <c r="P565" s="90"/>
    </row>
    <row r="566" spans="2:16">
      <c r="B566" s="1" t="str">
        <f>TEXT(Tabela223456[[#This Row],[DATA]],"mmmm")</f>
        <v>janeiro</v>
      </c>
      <c r="G566" s="197"/>
      <c r="H566" s="174"/>
      <c r="I566" s="173" t="e">
        <f>Tabela22[[#This Row],[PESO TOTAL]]/Tabela22[[#This Row],[QUANTIDADE]]</f>
        <v>#DIV/0!</v>
      </c>
      <c r="K566" s="198"/>
      <c r="O566" s="199"/>
      <c r="P566" s="90"/>
    </row>
    <row r="567" spans="2:16">
      <c r="B567" s="1" t="str">
        <f>TEXT(Tabela223456[[#This Row],[DATA]],"mmmm")</f>
        <v>janeiro</v>
      </c>
      <c r="G567" s="197"/>
      <c r="H567" s="174"/>
      <c r="I567" s="173" t="e">
        <f>Tabela22[[#This Row],[PESO TOTAL]]/Tabela22[[#This Row],[QUANTIDADE]]</f>
        <v>#DIV/0!</v>
      </c>
      <c r="K567" s="198"/>
      <c r="O567" s="199"/>
      <c r="P567" s="90"/>
    </row>
    <row r="568" spans="2:16">
      <c r="B568" s="1" t="str">
        <f>TEXT(Tabela223456[[#This Row],[DATA]],"mmmm")</f>
        <v>janeiro</v>
      </c>
      <c r="G568" s="197"/>
      <c r="H568" s="174"/>
      <c r="I568" s="173" t="e">
        <f>Tabela22[[#This Row],[PESO TOTAL]]/Tabela22[[#This Row],[QUANTIDADE]]</f>
        <v>#DIV/0!</v>
      </c>
      <c r="K568" s="198"/>
      <c r="O568" s="199"/>
      <c r="P568" s="90"/>
    </row>
    <row r="569" spans="2:16">
      <c r="B569" s="1" t="str">
        <f>TEXT(Tabela223456[[#This Row],[DATA]],"mmmm")</f>
        <v>janeiro</v>
      </c>
      <c r="G569" s="197"/>
      <c r="H569" s="174"/>
      <c r="I569" s="173" t="e">
        <f>Tabela22[[#This Row],[PESO TOTAL]]/Tabela22[[#This Row],[QUANTIDADE]]</f>
        <v>#DIV/0!</v>
      </c>
      <c r="K569" s="198"/>
      <c r="O569" s="199"/>
      <c r="P569" s="90"/>
    </row>
    <row r="570" spans="2:16">
      <c r="B570" s="1" t="str">
        <f>TEXT(Tabela223456[[#This Row],[DATA]],"mmmm")</f>
        <v>janeiro</v>
      </c>
      <c r="G570" s="197"/>
      <c r="H570" s="174"/>
      <c r="I570" s="173" t="e">
        <f>Tabela22[[#This Row],[PESO TOTAL]]/Tabela22[[#This Row],[QUANTIDADE]]</f>
        <v>#DIV/0!</v>
      </c>
      <c r="K570" s="198"/>
      <c r="O570" s="199"/>
      <c r="P570" s="90"/>
    </row>
    <row r="571" spans="2:16">
      <c r="B571" s="1" t="str">
        <f>TEXT(Tabela223456[[#This Row],[DATA]],"mmmm")</f>
        <v>janeiro</v>
      </c>
      <c r="G571" s="197"/>
      <c r="H571" s="174"/>
      <c r="I571" s="173" t="e">
        <f>Tabela22[[#This Row],[PESO TOTAL]]/Tabela22[[#This Row],[QUANTIDADE]]</f>
        <v>#DIV/0!</v>
      </c>
      <c r="K571" s="198"/>
      <c r="O571" s="199"/>
      <c r="P571" s="90"/>
    </row>
    <row r="572" spans="2:16">
      <c r="B572" s="1" t="str">
        <f>TEXT(Tabela223456[[#This Row],[DATA]],"mmmm")</f>
        <v>janeiro</v>
      </c>
      <c r="G572" s="197"/>
      <c r="H572" s="174"/>
      <c r="I572" s="173" t="e">
        <f>Tabela22[[#This Row],[PESO TOTAL]]/Tabela22[[#This Row],[QUANTIDADE]]</f>
        <v>#DIV/0!</v>
      </c>
      <c r="K572" s="198"/>
      <c r="O572" s="199"/>
      <c r="P572" s="90"/>
    </row>
  </sheetData>
  <mergeCells count="5">
    <mergeCell ref="A1:O1"/>
    <mergeCell ref="A4:C4"/>
    <mergeCell ref="A18:G18"/>
    <mergeCell ref="D2:I3"/>
    <mergeCell ref="J2:N3"/>
  </mergeCells>
  <dataValidations count="3">
    <dataValidation type="list" allowBlank="1" showInputMessage="1" showErrorMessage="1" sqref="C20:C1048576" xr:uid="{00000000-0002-0000-0500-000000000000}">
      <formula1>$A$5:$A$14</formula1>
    </dataValidation>
    <dataValidation type="list" allowBlank="1" showInputMessage="1" showErrorMessage="1" sqref="D20:D25 D27:D572" xr:uid="{00000000-0002-0000-0500-000001000000}">
      <formula1>$S$1:$S$9</formula1>
    </dataValidation>
    <dataValidation type="list" allowBlank="1" showInputMessage="1" showErrorMessage="1" sqref="D573:D1048576" xr:uid="{00000000-0002-0000-0500-000002000000}">
      <formula1>$S$1:$S$7</formula1>
    </dataValidation>
  </dataValidations>
  <printOptions horizontalCentered="1" verticalCentered="1"/>
  <pageMargins left="0.511811023622047" right="0.511811023622047" top="0.78740157480314998" bottom="0.78740157480314998" header="0.31496062992126" footer="0.31496062992126"/>
  <pageSetup paperSize="9" scale="50" orientation="landscape"/>
  <rowBreaks count="2" manualBreakCount="2">
    <brk id="9" max="14" man="1"/>
    <brk id="205" max="11" man="1"/>
  </rowBreaks>
  <colBreaks count="1" manualBreakCount="1">
    <brk id="11" max="14" man="1"/>
  </colBreaks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S18"/>
  <sheetViews>
    <sheetView zoomScale="50" zoomScaleNormal="50" zoomScaleSheetLayoutView="50" workbookViewId="0">
      <selection activeCell="I17" sqref="I17:J19"/>
    </sheetView>
  </sheetViews>
  <sheetFormatPr defaultColWidth="9" defaultRowHeight="14.4"/>
  <cols>
    <col min="1" max="1" width="15" customWidth="1"/>
    <col min="2" max="2" width="16.6640625" customWidth="1"/>
    <col min="3" max="3" width="23" customWidth="1"/>
    <col min="4" max="4" width="40.6640625" customWidth="1"/>
    <col min="5" max="5" width="29.44140625" customWidth="1"/>
    <col min="6" max="6" width="26.88671875" customWidth="1"/>
    <col min="7" max="7" width="17.5546875" customWidth="1"/>
    <col min="8" max="8" width="30" style="114" customWidth="1"/>
    <col min="9" max="9" width="17.88671875" customWidth="1"/>
    <col min="10" max="10" width="19.44140625" customWidth="1"/>
    <col min="11" max="11" width="22.44140625" style="115" customWidth="1"/>
    <col min="12" max="12" width="18.88671875" style="115" customWidth="1"/>
    <col min="13" max="13" width="22.44140625" style="115" customWidth="1"/>
    <col min="14" max="14" width="18.33203125" style="115" customWidth="1"/>
    <col min="15" max="15" width="25" style="115" customWidth="1"/>
    <col min="16" max="16" width="38.5546875" customWidth="1"/>
    <col min="17" max="17" width="17.44140625" customWidth="1"/>
    <col min="18" max="18" width="11" customWidth="1"/>
    <col min="19" max="19" width="19.88671875" customWidth="1"/>
  </cols>
  <sheetData>
    <row r="1" spans="1:19" ht="61.2">
      <c r="A1" s="254" t="s">
        <v>51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7"/>
      <c r="Q1" s="7"/>
      <c r="S1" s="141" t="s">
        <v>1</v>
      </c>
    </row>
    <row r="2" spans="1:19" ht="36.6">
      <c r="A2" s="116"/>
      <c r="B2" s="116"/>
      <c r="C2" s="116"/>
      <c r="D2" s="258" t="s">
        <v>2</v>
      </c>
      <c r="E2" s="259"/>
      <c r="F2" s="259"/>
      <c r="G2" s="259"/>
      <c r="H2" s="259"/>
      <c r="I2" s="260"/>
      <c r="J2" s="264" t="s">
        <v>3</v>
      </c>
      <c r="K2" s="265"/>
      <c r="L2" s="265"/>
      <c r="M2" s="265"/>
      <c r="N2" s="266"/>
      <c r="O2" s="135" t="s">
        <v>4</v>
      </c>
      <c r="S2" s="141" t="s">
        <v>5</v>
      </c>
    </row>
    <row r="3" spans="1:19" ht="36.6">
      <c r="A3" s="117"/>
      <c r="B3" s="117"/>
      <c r="C3" s="118"/>
      <c r="D3" s="261"/>
      <c r="E3" s="262"/>
      <c r="F3" s="262"/>
      <c r="G3" s="262"/>
      <c r="H3" s="262"/>
      <c r="I3" s="263"/>
      <c r="J3" s="267"/>
      <c r="K3" s="268"/>
      <c r="L3" s="268"/>
      <c r="M3" s="268"/>
      <c r="N3" s="269"/>
      <c r="O3" s="136"/>
      <c r="S3" s="141" t="s">
        <v>6</v>
      </c>
    </row>
    <row r="4" spans="1:19" ht="36.6">
      <c r="A4" s="255" t="s">
        <v>7</v>
      </c>
      <c r="B4" s="256"/>
      <c r="C4" s="257"/>
      <c r="D4" s="119" t="s">
        <v>8</v>
      </c>
      <c r="E4" s="119" t="s">
        <v>1</v>
      </c>
      <c r="F4" s="119" t="s">
        <v>9</v>
      </c>
      <c r="G4" s="119" t="s">
        <v>5</v>
      </c>
      <c r="H4" s="119" t="s">
        <v>6</v>
      </c>
      <c r="I4" s="119" t="s">
        <v>10</v>
      </c>
      <c r="J4" s="137" t="s">
        <v>11</v>
      </c>
      <c r="K4" s="137" t="s">
        <v>12</v>
      </c>
      <c r="L4" s="137" t="s">
        <v>13</v>
      </c>
      <c r="M4" s="137" t="s">
        <v>14</v>
      </c>
      <c r="N4" s="137" t="s">
        <v>10</v>
      </c>
      <c r="O4" s="138" t="s">
        <v>15</v>
      </c>
      <c r="S4" s="141" t="s">
        <v>11</v>
      </c>
    </row>
    <row r="5" spans="1:19" ht="36.6">
      <c r="A5" s="120" t="s">
        <v>16</v>
      </c>
      <c r="B5" s="121"/>
      <c r="C5" s="122"/>
      <c r="D5" s="123">
        <f>SUM('GOIANO:SAO JOSE DO GROTAO'!D5)</f>
        <v>0</v>
      </c>
      <c r="E5" s="123">
        <f>SUM('GOIANO:SAO JOSE DO GROTAO'!E5)</f>
        <v>0</v>
      </c>
      <c r="F5" s="123">
        <f>SUM('GOIANO:SAO JOSE DO GROTAO'!F5)</f>
        <v>0</v>
      </c>
      <c r="G5" s="123">
        <f>SUM('GOIANO:SAO JOSE DO GROTAO'!G5)</f>
        <v>0</v>
      </c>
      <c r="H5" s="123">
        <f>SUM('GOIANO:SAO JOSE DO GROTAO'!H5)</f>
        <v>0</v>
      </c>
      <c r="I5" s="123">
        <f>SUM('GOIANO:SAO JOSE DO GROTAO'!I5)</f>
        <v>0</v>
      </c>
      <c r="J5" s="139">
        <f>SUM('GOIANO:SAO JOSE DO GROTAO'!J5)</f>
        <v>0</v>
      </c>
      <c r="K5" s="139">
        <f>SUM('GOIANO:SAO JOSE DO GROTAO'!K5)</f>
        <v>0</v>
      </c>
      <c r="L5" s="139">
        <f>SUM('GOIANO:SAO JOSE DO GROTAO'!L5)</f>
        <v>0</v>
      </c>
      <c r="M5" s="139">
        <f>SUM('GOIANO:SAO JOSE DO GROTAO'!M5)</f>
        <v>0</v>
      </c>
      <c r="N5" s="139">
        <f>SUM('GOIANO:SAO JOSE DO GROTAO'!N5)</f>
        <v>0</v>
      </c>
      <c r="O5" s="140">
        <f>SUM('GOIANO:SAO JOSE DO GROTAO'!O5)</f>
        <v>0</v>
      </c>
      <c r="S5" s="141" t="s">
        <v>12</v>
      </c>
    </row>
    <row r="6" spans="1:19" ht="36.6">
      <c r="A6" s="124" t="s">
        <v>17</v>
      </c>
      <c r="B6" s="120"/>
      <c r="C6" s="122"/>
      <c r="D6" s="123">
        <f>SUM('GOIANO:SAO JOSE DO GROTAO'!D6)</f>
        <v>0</v>
      </c>
      <c r="E6" s="123">
        <f>SUM('GOIANO:SAO JOSE DO GROTAO'!E6)</f>
        <v>0</v>
      </c>
      <c r="F6" s="123">
        <f>SUM('GOIANO:SAO JOSE DO GROTAO'!F6)</f>
        <v>0</v>
      </c>
      <c r="G6" s="123">
        <f>SUM('GOIANO:SAO JOSE DO GROTAO'!G6)</f>
        <v>0</v>
      </c>
      <c r="H6" s="123">
        <f>SUM('GOIANO:SAO JOSE DO GROTAO'!H6)</f>
        <v>0</v>
      </c>
      <c r="I6" s="123">
        <f>SUM('GOIANO:SAO JOSE DO GROTAO'!I6)</f>
        <v>0</v>
      </c>
      <c r="J6" s="139">
        <f>SUM('GOIANO:SAO JOSE DO GROTAO'!J6)</f>
        <v>0</v>
      </c>
      <c r="K6" s="139">
        <f>SUM('GOIANO:SAO JOSE DO GROTAO'!K6)</f>
        <v>0</v>
      </c>
      <c r="L6" s="139">
        <f>SUM('GOIANO:SAO JOSE DO GROTAO'!L6)</f>
        <v>0</v>
      </c>
      <c r="M6" s="139">
        <f>SUM('GOIANO:SAO JOSE DO GROTAO'!M6)</f>
        <v>0</v>
      </c>
      <c r="N6" s="139">
        <f>SUM('GOIANO:SAO JOSE DO GROTAO'!N6)</f>
        <v>0</v>
      </c>
      <c r="O6" s="140">
        <f>SUM('GOIANO:SAO JOSE DO GROTAO'!O6)</f>
        <v>0</v>
      </c>
      <c r="S6" s="141" t="s">
        <v>14</v>
      </c>
    </row>
    <row r="7" spans="1:19" ht="36.6">
      <c r="A7" s="125" t="s">
        <v>18</v>
      </c>
      <c r="B7" s="126"/>
      <c r="C7" s="127"/>
      <c r="D7" s="123">
        <f>SUM('GOIANO:SAO JOSE DO GROTAO'!D7)</f>
        <v>0</v>
      </c>
      <c r="E7" s="123">
        <f>SUM('GOIANO:SAO JOSE DO GROTAO'!E7)</f>
        <v>0</v>
      </c>
      <c r="F7" s="123">
        <f>SUM('GOIANO:SAO JOSE DO GROTAO'!F7)</f>
        <v>0</v>
      </c>
      <c r="G7" s="123">
        <f>SUM('GOIANO:SAO JOSE DO GROTAO'!G7)</f>
        <v>0</v>
      </c>
      <c r="H7" s="123">
        <f>SUM('GOIANO:SAO JOSE DO GROTAO'!H7)</f>
        <v>0</v>
      </c>
      <c r="I7" s="123">
        <f>SUM('GOIANO:SAO JOSE DO GROTAO'!I7)</f>
        <v>0</v>
      </c>
      <c r="J7" s="139">
        <f>SUM('GOIANO:SAO JOSE DO GROTAO'!J7)</f>
        <v>0</v>
      </c>
      <c r="K7" s="139">
        <f>SUM('GOIANO:SAO JOSE DO GROTAO'!K7)</f>
        <v>0</v>
      </c>
      <c r="L7" s="139">
        <f>SUM('GOIANO:SAO JOSE DO GROTAO'!L7)</f>
        <v>0</v>
      </c>
      <c r="M7" s="139">
        <f>SUM('GOIANO:SAO JOSE DO GROTAO'!M7)</f>
        <v>0</v>
      </c>
      <c r="N7" s="139">
        <f>SUM('GOIANO:SAO JOSE DO GROTAO'!N7)</f>
        <v>0</v>
      </c>
      <c r="O7" s="140">
        <f>SUM('GOIANO:SAO JOSE DO GROTAO'!O7)</f>
        <v>0</v>
      </c>
      <c r="S7" s="141" t="s">
        <v>8</v>
      </c>
    </row>
    <row r="8" spans="1:19" ht="36.6">
      <c r="A8" s="120" t="s">
        <v>19</v>
      </c>
      <c r="B8" s="121"/>
      <c r="C8" s="122"/>
      <c r="D8" s="123">
        <f>SUM('GOIANO:SAO JOSE DO GROTAO'!D8)</f>
        <v>0</v>
      </c>
      <c r="E8" s="123">
        <f>SUM('GOIANO:SAO JOSE DO GROTAO'!E8)</f>
        <v>0</v>
      </c>
      <c r="F8" s="123">
        <f>SUM('GOIANO:SAO JOSE DO GROTAO'!F8)</f>
        <v>0</v>
      </c>
      <c r="G8" s="123">
        <f>SUM('GOIANO:SAO JOSE DO GROTAO'!G8)</f>
        <v>0</v>
      </c>
      <c r="H8" s="123">
        <f>SUM('GOIANO:SAO JOSE DO GROTAO'!H8)</f>
        <v>0</v>
      </c>
      <c r="I8" s="123">
        <f>SUM('GOIANO:SAO JOSE DO GROTAO'!I8)</f>
        <v>0</v>
      </c>
      <c r="J8" s="139">
        <f>SUM('GOIANO:SAO JOSE DO GROTAO'!J8)</f>
        <v>0</v>
      </c>
      <c r="K8" s="139">
        <f>SUM('GOIANO:SAO JOSE DO GROTAO'!K8)</f>
        <v>0</v>
      </c>
      <c r="L8" s="139">
        <f>SUM('GOIANO:SAO JOSE DO GROTAO'!L8)</f>
        <v>0</v>
      </c>
      <c r="M8" s="139">
        <f>SUM('GOIANO:SAO JOSE DO GROTAO'!M8)</f>
        <v>0</v>
      </c>
      <c r="N8" s="139">
        <f>SUM('GOIANO:SAO JOSE DO GROTAO'!N8)</f>
        <v>0</v>
      </c>
      <c r="O8" s="140">
        <f>SUM('GOIANO:SAO JOSE DO GROTAO'!O8)</f>
        <v>0</v>
      </c>
      <c r="S8" s="141" t="s">
        <v>9</v>
      </c>
    </row>
    <row r="9" spans="1:19" ht="36.6">
      <c r="A9" s="120" t="s">
        <v>20</v>
      </c>
      <c r="B9" s="121"/>
      <c r="C9" s="122"/>
      <c r="D9" s="123">
        <f>SUM('GOIANO:SAO JOSE DO GROTAO'!D9)</f>
        <v>0</v>
      </c>
      <c r="E9" s="123">
        <f>SUM('GOIANO:SAO JOSE DO GROTAO'!E9)</f>
        <v>0</v>
      </c>
      <c r="F9" s="123">
        <f>SUM('GOIANO:SAO JOSE DO GROTAO'!F9)</f>
        <v>0</v>
      </c>
      <c r="G9" s="123">
        <f>SUM('GOIANO:SAO JOSE DO GROTAO'!G9)</f>
        <v>0</v>
      </c>
      <c r="H9" s="123">
        <f>SUM('GOIANO:SAO JOSE DO GROTAO'!H9)</f>
        <v>0</v>
      </c>
      <c r="I9" s="123">
        <f>SUM('GOIANO:SAO JOSE DO GROTAO'!I9)</f>
        <v>0</v>
      </c>
      <c r="J9" s="139">
        <f>SUM('GOIANO:SAO JOSE DO GROTAO'!J9)</f>
        <v>0</v>
      </c>
      <c r="K9" s="139">
        <f>SUM('GOIANO:SAO JOSE DO GROTAO'!K9)</f>
        <v>0</v>
      </c>
      <c r="L9" s="139">
        <f>SUM('GOIANO:SAO JOSE DO GROTAO'!L9)</f>
        <v>0</v>
      </c>
      <c r="M9" s="139">
        <f>SUM('GOIANO:SAO JOSE DO GROTAO'!M9)</f>
        <v>0</v>
      </c>
      <c r="N9" s="139">
        <f>SUM('GOIANO:SAO JOSE DO GROTAO'!N9)</f>
        <v>0</v>
      </c>
      <c r="O9" s="140">
        <f>SUM('GOIANO:SAO JOSE DO GROTAO'!O9)</f>
        <v>0</v>
      </c>
      <c r="S9" s="141" t="s">
        <v>13</v>
      </c>
    </row>
    <row r="10" spans="1:19" ht="36.6">
      <c r="A10" s="124" t="s">
        <v>21</v>
      </c>
      <c r="B10" s="120"/>
      <c r="C10" s="122"/>
      <c r="D10" s="123">
        <f>SUM('GOIANO:SAO JOSE DO GROTAO'!D10)</f>
        <v>0</v>
      </c>
      <c r="E10" s="123">
        <f>SUM('GOIANO:SAO JOSE DO GROTAO'!E10)</f>
        <v>0</v>
      </c>
      <c r="F10" s="123">
        <f>SUM('GOIANO:SAO JOSE DO GROTAO'!F10)</f>
        <v>0</v>
      </c>
      <c r="G10" s="123">
        <f>SUM('GOIANO:SAO JOSE DO GROTAO'!G10)</f>
        <v>0</v>
      </c>
      <c r="H10" s="123">
        <f>SUM('GOIANO:SAO JOSE DO GROTAO'!H10)</f>
        <v>0</v>
      </c>
      <c r="I10" s="123">
        <f>SUM('GOIANO:SAO JOSE DO GROTAO'!I10)</f>
        <v>0</v>
      </c>
      <c r="J10" s="139">
        <f>SUM('GOIANO:SAO JOSE DO GROTAO'!J10)</f>
        <v>0</v>
      </c>
      <c r="K10" s="139">
        <f>SUM('GOIANO:SAO JOSE DO GROTAO'!K10)</f>
        <v>0</v>
      </c>
      <c r="L10" s="139">
        <f>SUM('GOIANO:SAO JOSE DO GROTAO'!L10)</f>
        <v>0</v>
      </c>
      <c r="M10" s="139">
        <f>SUM('GOIANO:SAO JOSE DO GROTAO'!M10)</f>
        <v>0</v>
      </c>
      <c r="N10" s="139">
        <f>SUM('GOIANO:SAO JOSE DO GROTAO'!N10)</f>
        <v>0</v>
      </c>
      <c r="O10" s="140">
        <f>SUM('GOIANO:SAO JOSE DO GROTAO'!O10)</f>
        <v>0</v>
      </c>
    </row>
    <row r="11" spans="1:19" ht="36.6">
      <c r="A11" s="124" t="s">
        <v>22</v>
      </c>
      <c r="B11" s="120"/>
      <c r="C11" s="122"/>
      <c r="D11" s="123">
        <f>SUM('GOIANO:SAO JOSE DO GROTAO'!D11)</f>
        <v>0</v>
      </c>
      <c r="E11" s="123">
        <f>SUM('GOIANO:SAO JOSE DO GROTAO'!E11)</f>
        <v>0</v>
      </c>
      <c r="F11" s="123">
        <f>SUM('GOIANO:SAO JOSE DO GROTAO'!F11)</f>
        <v>0</v>
      </c>
      <c r="G11" s="123">
        <f>SUM('GOIANO:SAO JOSE DO GROTAO'!G11)</f>
        <v>0</v>
      </c>
      <c r="H11" s="123">
        <f>SUM('GOIANO:SAO JOSE DO GROTAO'!H11)</f>
        <v>0</v>
      </c>
      <c r="I11" s="123">
        <f>SUM('GOIANO:SAO JOSE DO GROTAO'!I11)</f>
        <v>0</v>
      </c>
      <c r="J11" s="139">
        <f>SUM('GOIANO:SAO JOSE DO GROTAO'!J11)</f>
        <v>0</v>
      </c>
      <c r="K11" s="139">
        <f>SUM('GOIANO:SAO JOSE DO GROTAO'!K11)</f>
        <v>0</v>
      </c>
      <c r="L11" s="139">
        <f>SUM('GOIANO:SAO JOSE DO GROTAO'!L11)</f>
        <v>0</v>
      </c>
      <c r="M11" s="139">
        <f>SUM('GOIANO:SAO JOSE DO GROTAO'!M11)</f>
        <v>140</v>
      </c>
      <c r="N11" s="139">
        <f>SUM('GOIANO:SAO JOSE DO GROTAO'!N11)</f>
        <v>140</v>
      </c>
      <c r="O11" s="140">
        <f>SUM('GOIANO:SAO JOSE DO GROTAO'!O11)</f>
        <v>-140</v>
      </c>
    </row>
    <row r="12" spans="1:19" ht="36.6">
      <c r="A12" s="124" t="s">
        <v>24</v>
      </c>
      <c r="B12" s="120"/>
      <c r="C12" s="122"/>
      <c r="D12" s="123">
        <f>SUM('GOIANO:SAO JOSE DO GROTAO'!D12)</f>
        <v>0</v>
      </c>
      <c r="E12" s="123">
        <f>SUM('GOIANO:SAO JOSE DO GROTAO'!E12)</f>
        <v>0</v>
      </c>
      <c r="F12" s="123">
        <f>SUM('GOIANO:SAO JOSE DO GROTAO'!F12)</f>
        <v>0</v>
      </c>
      <c r="G12" s="123">
        <f>SUM('GOIANO:SAO JOSE DO GROTAO'!G12)</f>
        <v>0</v>
      </c>
      <c r="H12" s="123">
        <f>SUM('GOIANO:SAO JOSE DO GROTAO'!H12)</f>
        <v>0</v>
      </c>
      <c r="I12" s="123">
        <f>SUM('GOIANO:SAO JOSE DO GROTAO'!I12)</f>
        <v>0</v>
      </c>
      <c r="J12" s="139">
        <f>SUM('GOIANO:SAO JOSE DO GROTAO'!J12)</f>
        <v>0</v>
      </c>
      <c r="K12" s="139">
        <f>SUM('GOIANO:SAO JOSE DO GROTAO'!K12)</f>
        <v>0</v>
      </c>
      <c r="L12" s="139">
        <f>SUM('GOIANO:SAO JOSE DO GROTAO'!L12)</f>
        <v>0</v>
      </c>
      <c r="M12" s="139">
        <f>SUM('GOIANO:SAO JOSE DO GROTAO'!M12)</f>
        <v>0</v>
      </c>
      <c r="N12" s="139">
        <f>SUM('GOIANO:SAO JOSE DO GROTAO'!N12)</f>
        <v>0</v>
      </c>
      <c r="O12" s="140">
        <f>SUM('GOIANO:SAO JOSE DO GROTAO'!O12)</f>
        <v>0</v>
      </c>
    </row>
    <row r="13" spans="1:19" ht="36.6">
      <c r="A13" s="120" t="s">
        <v>26</v>
      </c>
      <c r="B13" s="121"/>
      <c r="C13" s="122"/>
      <c r="D13" s="123">
        <f>SUM('GOIANO:SAO JOSE DO GROTAO'!D13)</f>
        <v>0</v>
      </c>
      <c r="E13" s="123">
        <f>SUM('GOIANO:SAO JOSE DO GROTAO'!E13)</f>
        <v>0</v>
      </c>
      <c r="F13" s="123">
        <f>SUM('GOIANO:SAO JOSE DO GROTAO'!F13)</f>
        <v>0</v>
      </c>
      <c r="G13" s="123">
        <f>SUM('GOIANO:SAO JOSE DO GROTAO'!G13)</f>
        <v>0</v>
      </c>
      <c r="H13" s="123">
        <f>SUM('GOIANO:SAO JOSE DO GROTAO'!H13)</f>
        <v>0</v>
      </c>
      <c r="I13" s="123">
        <f>SUM('GOIANO:SAO JOSE DO GROTAO'!I13)</f>
        <v>0</v>
      </c>
      <c r="J13" s="139">
        <f>SUM('GOIANO:SAO JOSE DO GROTAO'!J13)</f>
        <v>0</v>
      </c>
      <c r="K13" s="139">
        <f>SUM('GOIANO:SAO JOSE DO GROTAO'!K13)</f>
        <v>0</v>
      </c>
      <c r="L13" s="139">
        <f>SUM('GOIANO:SAO JOSE DO GROTAO'!L13)</f>
        <v>0</v>
      </c>
      <c r="M13" s="139">
        <f>SUM('GOIANO:SAO JOSE DO GROTAO'!M13)</f>
        <v>0</v>
      </c>
      <c r="N13" s="139">
        <f>SUM('GOIANO:SAO JOSE DO GROTAO'!N13)</f>
        <v>0</v>
      </c>
      <c r="O13" s="140">
        <f>SUM('GOIANO:SAO JOSE DO GROTAO'!O13)</f>
        <v>0</v>
      </c>
    </row>
    <row r="14" spans="1:19" ht="36.6">
      <c r="A14" s="120" t="s">
        <v>28</v>
      </c>
      <c r="B14" s="121"/>
      <c r="C14" s="122"/>
      <c r="D14" s="123">
        <f>SUM('GOIANO:SAO JOSE DO GROTAO'!D14)</f>
        <v>0</v>
      </c>
      <c r="E14" s="123">
        <f>SUM('GOIANO:SAO JOSE DO GROTAO'!E14)</f>
        <v>0</v>
      </c>
      <c r="F14" s="123">
        <f>SUM('GOIANO:SAO JOSE DO GROTAO'!F14)</f>
        <v>0</v>
      </c>
      <c r="G14" s="123">
        <f>SUM('GOIANO:SAO JOSE DO GROTAO'!G14)</f>
        <v>0</v>
      </c>
      <c r="H14" s="123">
        <f>SUM('GOIANO:SAO JOSE DO GROTAO'!H14)</f>
        <v>0</v>
      </c>
      <c r="I14" s="123">
        <f>SUM('GOIANO:SAO JOSE DO GROTAO'!I14)</f>
        <v>0</v>
      </c>
      <c r="J14" s="139">
        <f>SUM('GOIANO:SAO JOSE DO GROTAO'!J14)</f>
        <v>0</v>
      </c>
      <c r="K14" s="139">
        <f>SUM('GOIANO:SAO JOSE DO GROTAO'!K14)</f>
        <v>0</v>
      </c>
      <c r="L14" s="139">
        <f>SUM('GOIANO:SAO JOSE DO GROTAO'!L14)</f>
        <v>0</v>
      </c>
      <c r="M14" s="139">
        <f>SUM('GOIANO:SAO JOSE DO GROTAO'!M14)</f>
        <v>0</v>
      </c>
      <c r="N14" s="139">
        <f>SUM('GOIANO:SAO JOSE DO GROTAO'!N14)</f>
        <v>0</v>
      </c>
      <c r="O14" s="140">
        <f>SUM('GOIANO:SAO JOSE DO GROTAO'!O14)</f>
        <v>0</v>
      </c>
    </row>
    <row r="15" spans="1:19" ht="36.6">
      <c r="A15" s="120" t="s">
        <v>52</v>
      </c>
      <c r="B15" s="128"/>
      <c r="C15" s="129"/>
      <c r="D15" s="123">
        <f>SUM('GOIANO:SAO JOSE DO GROTAO'!D15)</f>
        <v>0</v>
      </c>
      <c r="E15" s="123">
        <f>SUM('GOIANO:SAO JOSE DO GROTAO'!E15)</f>
        <v>0</v>
      </c>
      <c r="F15" s="123">
        <f>SUM('GOIANO:SAO JOSE DO GROTAO'!F15)</f>
        <v>0</v>
      </c>
      <c r="G15" s="123">
        <f>SUM('GOIANO:SAO JOSE DO GROTAO'!G15)</f>
        <v>0</v>
      </c>
      <c r="H15" s="123">
        <f>SUM('GOIANO:SAO JOSE DO GROTAO'!H15)</f>
        <v>0</v>
      </c>
      <c r="I15" s="123">
        <f>SUM('GOIANO:SAO JOSE DO GROTAO'!I15)</f>
        <v>0</v>
      </c>
      <c r="J15" s="139">
        <f>SUM('GOIANO:SAO JOSE DO GROTAO'!J15)</f>
        <v>0</v>
      </c>
      <c r="K15" s="139">
        <f>SUM('GOIANO:SAO JOSE DO GROTAO'!K15)</f>
        <v>0</v>
      </c>
      <c r="L15" s="139">
        <f>SUM('GOIANO:SAO JOSE DO GROTAO'!L15)</f>
        <v>0</v>
      </c>
      <c r="M15" s="139">
        <f>SUM('GOIANO:SAO JOSE DO GROTAO'!M15)</f>
        <v>0</v>
      </c>
      <c r="N15" s="139">
        <f>SUM('GOIANO:SAO JOSE DO GROTAO'!N15)</f>
        <v>0</v>
      </c>
      <c r="O15" s="140">
        <f>SUM('GOIANO:SAO JOSE DO GROTAO'!O15)</f>
        <v>0</v>
      </c>
    </row>
    <row r="16" spans="1:19" ht="36.6">
      <c r="A16" s="130" t="s">
        <v>10</v>
      </c>
      <c r="B16" s="131"/>
      <c r="C16" s="132"/>
      <c r="D16" s="133">
        <f>SUM('GOIANO:SAO JOSE DO GROTAO'!D16)</f>
        <v>0</v>
      </c>
      <c r="E16" s="134">
        <f>SUM('GOIANO:SAO JOSE DO GROTAO'!E16)</f>
        <v>0</v>
      </c>
      <c r="F16" s="134">
        <f>SUM('GOIANO:SAO JOSE DO GROTAO'!F16)</f>
        <v>0</v>
      </c>
      <c r="G16" s="134">
        <f>SUM('GOIANO:SAO JOSE DO GROTAO'!G16)</f>
        <v>0</v>
      </c>
      <c r="H16" s="133">
        <f>SUM('GOIANO:SAO JOSE DO GROTAO'!H16)</f>
        <v>0</v>
      </c>
      <c r="I16" s="133">
        <f>SUM('GOIANO:SAO JOSE DO GROTAO'!I16)</f>
        <v>0</v>
      </c>
      <c r="J16" s="134">
        <f>SUM('GOIANO:SAO JOSE DO GROTAO'!J16)</f>
        <v>0</v>
      </c>
      <c r="K16" s="133">
        <f>SUM('GOIANO:SAO JOSE DO GROTAO'!K16)</f>
        <v>0</v>
      </c>
      <c r="L16" s="134">
        <f>SUM('GOIANO:SAO JOSE DO GROTAO'!L16)</f>
        <v>0</v>
      </c>
      <c r="M16" s="133">
        <f>SUM('GOIANO:SAO JOSE DO GROTAO'!M16)</f>
        <v>140</v>
      </c>
      <c r="N16" s="133">
        <f>SUM('GOIANO:SAO JOSE DO GROTAO'!N16)</f>
        <v>140</v>
      </c>
      <c r="O16" s="140">
        <f>SUM('GOIANO:SAO JOSE DO GROTAO'!O16)</f>
        <v>-140</v>
      </c>
    </row>
    <row r="17" spans="9:10" customFormat="1"/>
    <row r="18" spans="9:10">
      <c r="I18" s="1"/>
      <c r="J18" s="1"/>
    </row>
  </sheetData>
  <mergeCells count="4">
    <mergeCell ref="A1:O1"/>
    <mergeCell ref="A4:C4"/>
    <mergeCell ref="D2:I3"/>
    <mergeCell ref="J2:N3"/>
  </mergeCells>
  <printOptions horizontalCentered="1" verticalCentered="1"/>
  <pageMargins left="0.511811023622047" right="0.511811023622047" top="0.78740157480314998" bottom="0.78740157480314998" header="0.31496062992126" footer="0.31496062992126"/>
  <pageSetup paperSize="9" scale="40" orientation="landscape"/>
  <rowBreaks count="1" manualBreakCount="1">
    <brk id="9" max="14" man="1"/>
  </rowBreaks>
  <colBreaks count="1" manualBreakCount="1">
    <brk id="11" max="14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AT3967"/>
  <sheetViews>
    <sheetView zoomScale="70" zoomScaleNormal="70" workbookViewId="0"/>
  </sheetViews>
  <sheetFormatPr defaultColWidth="9" defaultRowHeight="14.4"/>
  <cols>
    <col min="2" max="3" width="18.5546875" customWidth="1"/>
    <col min="4" max="4" width="24.33203125" customWidth="1"/>
    <col min="5" max="5" width="35.109375" customWidth="1"/>
    <col min="6" max="6" width="18.88671875" customWidth="1"/>
    <col min="7" max="7" width="54.6640625" customWidth="1"/>
    <col min="8" max="11" width="18.5546875" customWidth="1"/>
    <col min="12" max="12" width="11.109375" customWidth="1"/>
    <col min="13" max="13" width="16.5546875" customWidth="1"/>
    <col min="14" max="14" width="85" customWidth="1"/>
    <col min="15" max="15" width="16.5546875" customWidth="1"/>
    <col min="16" max="16" width="255.6640625" customWidth="1"/>
    <col min="17" max="17" width="12" customWidth="1"/>
    <col min="19" max="19" width="9.109375" style="2"/>
    <col min="20" max="20" width="15.44140625" customWidth="1"/>
    <col min="21" max="21" width="17.5546875" customWidth="1"/>
    <col min="22" max="22" width="22.88671875" customWidth="1"/>
    <col min="23" max="23" width="34.6640625" customWidth="1"/>
    <col min="24" max="24" width="19.88671875" customWidth="1"/>
    <col min="25" max="25" width="60.88671875" customWidth="1"/>
    <col min="26" max="26" width="17.33203125" customWidth="1"/>
    <col min="27" max="27" width="17.109375" customWidth="1"/>
    <col min="28" max="28" width="93.109375" customWidth="1"/>
    <col min="29" max="29" width="28.109375" customWidth="1"/>
    <col min="30" max="30" width="34" customWidth="1"/>
    <col min="31" max="31" width="14.44140625" customWidth="1"/>
    <col min="32" max="32" width="11.6640625" customWidth="1"/>
    <col min="34" max="34" width="13.88671875" customWidth="1"/>
    <col min="45" max="45" width="12.5546875" style="2" customWidth="1"/>
    <col min="46" max="46" width="14.88671875" style="2" customWidth="1"/>
  </cols>
  <sheetData>
    <row r="1" spans="2:46" ht="22.5" customHeight="1">
      <c r="T1" s="98"/>
      <c r="U1" s="98"/>
      <c r="V1" s="99"/>
      <c r="W1" s="100"/>
      <c r="Y1" s="271"/>
      <c r="Z1" s="271"/>
      <c r="AB1" s="104"/>
      <c r="AC1" s="105"/>
      <c r="AD1" s="106"/>
    </row>
    <row r="2" spans="2:46" ht="24.75" customHeight="1">
      <c r="T2" s="98"/>
      <c r="U2" s="98"/>
      <c r="V2" s="99"/>
      <c r="W2" s="100"/>
      <c r="Y2" s="271"/>
      <c r="Z2" s="271"/>
      <c r="AB2" s="104"/>
      <c r="AC2" s="105"/>
    </row>
    <row r="3" spans="2:46" ht="21.75" customHeight="1">
      <c r="T3" s="98"/>
      <c r="U3" s="98"/>
      <c r="V3" s="98"/>
      <c r="W3" s="101"/>
      <c r="Y3" s="270"/>
      <c r="Z3" s="270"/>
      <c r="AA3" s="107"/>
      <c r="AB3" s="105"/>
      <c r="AC3" s="105"/>
    </row>
    <row r="4" spans="2:46" ht="29.25" customHeight="1">
      <c r="T4" s="98"/>
      <c r="U4" s="98"/>
      <c r="X4" s="98"/>
      <c r="Y4" s="272"/>
      <c r="Z4" s="272"/>
      <c r="AB4" s="105"/>
      <c r="AC4" s="105"/>
      <c r="AE4" s="107"/>
    </row>
    <row r="5" spans="2:46" ht="20.100000000000001" customHeight="1">
      <c r="T5" s="98"/>
      <c r="U5" s="98"/>
      <c r="V5" s="273"/>
      <c r="W5" s="273"/>
      <c r="X5" s="273"/>
      <c r="Y5" s="272"/>
      <c r="Z5" s="272"/>
    </row>
    <row r="6" spans="2:46" ht="10.5" customHeight="1">
      <c r="T6" s="100"/>
      <c r="U6" s="100"/>
      <c r="V6" s="273"/>
      <c r="W6" s="273"/>
      <c r="X6" s="273"/>
      <c r="Y6" s="272"/>
      <c r="Z6" s="272"/>
      <c r="AB6" s="108"/>
      <c r="AC6" s="109"/>
    </row>
    <row r="7" spans="2:46" ht="27.75" customHeight="1">
      <c r="B7" s="93" t="s">
        <v>31</v>
      </c>
      <c r="C7" s="93" t="s">
        <v>53</v>
      </c>
      <c r="D7" s="93" t="s">
        <v>54</v>
      </c>
      <c r="E7" s="93" t="s">
        <v>55</v>
      </c>
      <c r="F7" s="93" t="s">
        <v>56</v>
      </c>
      <c r="G7" s="93" t="s">
        <v>57</v>
      </c>
      <c r="H7" s="93" t="s">
        <v>32</v>
      </c>
      <c r="I7" s="93" t="s">
        <v>58</v>
      </c>
      <c r="J7" s="93" t="s">
        <v>59</v>
      </c>
      <c r="K7" s="93" t="s">
        <v>60</v>
      </c>
      <c r="L7" s="93" t="s">
        <v>61</v>
      </c>
      <c r="M7" s="93" t="s">
        <v>62</v>
      </c>
      <c r="N7" s="93" t="s">
        <v>63</v>
      </c>
      <c r="O7" s="93" t="s">
        <v>64</v>
      </c>
      <c r="P7" s="93" t="s">
        <v>65</v>
      </c>
      <c r="Q7" s="2"/>
      <c r="T7" s="102"/>
      <c r="U7" s="102"/>
      <c r="AF7" s="7" t="s">
        <v>31</v>
      </c>
      <c r="AG7" s="7" t="s">
        <v>32</v>
      </c>
      <c r="AS7"/>
      <c r="AT7"/>
    </row>
    <row r="8" spans="2:46" ht="18">
      <c r="B8" s="94">
        <v>45858</v>
      </c>
      <c r="C8" s="95">
        <v>96</v>
      </c>
      <c r="D8" s="95" t="s">
        <v>66</v>
      </c>
      <c r="E8" s="96">
        <v>225000</v>
      </c>
      <c r="F8" s="97">
        <f>Tabela27[[#This Row],[VALOR TOTAL DA COMPRA]]/Tabela27[[#This Row],[QUANT.]]</f>
        <v>2343.75</v>
      </c>
      <c r="G8" s="95" t="s">
        <v>43</v>
      </c>
      <c r="H8" s="95" t="s">
        <v>67</v>
      </c>
      <c r="I8" s="95" t="s">
        <v>45</v>
      </c>
      <c r="J8" s="95">
        <v>2025</v>
      </c>
      <c r="K8" s="95" t="s">
        <v>68</v>
      </c>
      <c r="L8" s="95" t="s">
        <v>45</v>
      </c>
      <c r="M8" s="95" t="s">
        <v>45</v>
      </c>
      <c r="N8" s="95" t="s">
        <v>45</v>
      </c>
      <c r="O8" s="95" t="s">
        <v>45</v>
      </c>
      <c r="P8" s="95" t="s">
        <v>45</v>
      </c>
      <c r="Q8" s="2"/>
      <c r="T8" s="103"/>
      <c r="U8" s="103"/>
      <c r="AF8" s="3">
        <v>45292</v>
      </c>
      <c r="AG8" s="2" t="s">
        <v>69</v>
      </c>
      <c r="AS8"/>
      <c r="AT8"/>
    </row>
    <row r="9" spans="2:46" ht="18">
      <c r="B9" s="94">
        <v>45889</v>
      </c>
      <c r="C9" s="95">
        <v>40</v>
      </c>
      <c r="D9" s="95" t="s">
        <v>66</v>
      </c>
      <c r="E9" s="96">
        <v>110000</v>
      </c>
      <c r="F9" s="97">
        <f>Tabela27[[#This Row],[VALOR TOTAL DA COMPRA]]/Tabela27[[#This Row],[QUANT.]]</f>
        <v>2750</v>
      </c>
      <c r="G9" s="95" t="s">
        <v>43</v>
      </c>
      <c r="H9" s="95" t="s">
        <v>70</v>
      </c>
      <c r="I9" s="95" t="s">
        <v>45</v>
      </c>
      <c r="J9" s="95">
        <v>2025</v>
      </c>
      <c r="K9" s="95" t="s">
        <v>68</v>
      </c>
      <c r="L9" s="95" t="s">
        <v>45</v>
      </c>
      <c r="M9" s="95" t="s">
        <v>45</v>
      </c>
      <c r="N9" s="95" t="s">
        <v>45</v>
      </c>
      <c r="O9" s="95" t="s">
        <v>45</v>
      </c>
      <c r="P9" s="95" t="s">
        <v>45</v>
      </c>
      <c r="Q9" s="2"/>
      <c r="T9" s="103"/>
      <c r="U9" s="103"/>
      <c r="AF9" s="3">
        <v>45293</v>
      </c>
      <c r="AG9" s="2" t="s">
        <v>69</v>
      </c>
      <c r="AS9"/>
      <c r="AT9"/>
    </row>
    <row r="10" spans="2:46" ht="18">
      <c r="B10" s="94">
        <v>45947</v>
      </c>
      <c r="C10" s="95">
        <v>12</v>
      </c>
      <c r="D10" s="220" t="s">
        <v>66</v>
      </c>
      <c r="E10" s="96">
        <v>28800</v>
      </c>
      <c r="F10" s="97">
        <f>Tabela27[[#This Row],[VALOR TOTAL DA COMPRA]]/Tabela27[[#This Row],[QUANT.]]</f>
        <v>2400</v>
      </c>
      <c r="G10" s="220" t="s">
        <v>43</v>
      </c>
      <c r="H10" s="220" t="s">
        <v>77</v>
      </c>
      <c r="I10" s="220" t="s">
        <v>45</v>
      </c>
      <c r="J10" s="95">
        <v>2025</v>
      </c>
      <c r="K10" s="220" t="s">
        <v>68</v>
      </c>
      <c r="L10" s="220" t="s">
        <v>45</v>
      </c>
      <c r="M10" s="220" t="s">
        <v>45</v>
      </c>
      <c r="N10" s="220" t="s">
        <v>45</v>
      </c>
      <c r="O10" s="220" t="s">
        <v>45</v>
      </c>
      <c r="P10" s="95"/>
      <c r="Q10" s="2"/>
      <c r="T10" s="103"/>
      <c r="U10" s="103"/>
      <c r="AF10" s="3">
        <v>45294</v>
      </c>
      <c r="AG10" s="2" t="s">
        <v>69</v>
      </c>
      <c r="AS10"/>
      <c r="AT10"/>
    </row>
    <row r="11" spans="2:46" ht="18">
      <c r="B11" s="94">
        <v>45953</v>
      </c>
      <c r="C11" s="95">
        <v>42</v>
      </c>
      <c r="D11" s="220" t="s">
        <v>66</v>
      </c>
      <c r="E11" s="96">
        <v>105000</v>
      </c>
      <c r="F11" s="97">
        <f>Tabela27[[#This Row],[VALOR TOTAL DA COMPRA]]/Tabela27[[#This Row],[QUANT.]]</f>
        <v>2500</v>
      </c>
      <c r="G11" s="220" t="s">
        <v>43</v>
      </c>
      <c r="H11" s="220" t="s">
        <v>77</v>
      </c>
      <c r="I11" s="220" t="s">
        <v>45</v>
      </c>
      <c r="J11" s="95">
        <v>2025</v>
      </c>
      <c r="K11" s="220" t="s">
        <v>68</v>
      </c>
      <c r="L11" s="220" t="s">
        <v>45</v>
      </c>
      <c r="M11" s="220" t="s">
        <v>45</v>
      </c>
      <c r="N11" s="220" t="s">
        <v>45</v>
      </c>
      <c r="O11" s="220" t="s">
        <v>45</v>
      </c>
      <c r="P11" s="95"/>
      <c r="Q11" s="2"/>
      <c r="T11" s="103"/>
      <c r="U11" s="103"/>
      <c r="AF11" s="3">
        <v>45295</v>
      </c>
      <c r="AG11" s="2" t="s">
        <v>69</v>
      </c>
      <c r="AS11"/>
      <c r="AT11"/>
    </row>
    <row r="12" spans="2:46" ht="18">
      <c r="B12" s="94">
        <v>45999</v>
      </c>
      <c r="C12" s="95">
        <v>69</v>
      </c>
      <c r="D12" s="220" t="s">
        <v>66</v>
      </c>
      <c r="E12" s="96">
        <v>138000</v>
      </c>
      <c r="F12" s="97">
        <f>Tabela27[[#This Row],[VALOR TOTAL DA COMPRA]]/Tabela27[[#This Row],[QUANT.]]</f>
        <v>2000</v>
      </c>
      <c r="G12" s="220" t="s">
        <v>43</v>
      </c>
      <c r="H12" s="220" t="s">
        <v>79</v>
      </c>
      <c r="I12" s="220" t="s">
        <v>45</v>
      </c>
      <c r="J12" s="95">
        <v>2025</v>
      </c>
      <c r="K12" s="220" t="s">
        <v>68</v>
      </c>
      <c r="L12" s="220" t="s">
        <v>45</v>
      </c>
      <c r="M12" s="220" t="s">
        <v>45</v>
      </c>
      <c r="N12" s="220" t="s">
        <v>45</v>
      </c>
      <c r="O12" s="220" t="s">
        <v>45</v>
      </c>
      <c r="P12" s="95"/>
      <c r="Q12" s="2"/>
      <c r="T12" s="103"/>
      <c r="U12" s="103"/>
      <c r="AF12" s="3">
        <v>45296</v>
      </c>
      <c r="AG12" s="2" t="s">
        <v>69</v>
      </c>
      <c r="AS12"/>
      <c r="AT12"/>
    </row>
    <row r="13" spans="2:46" ht="18">
      <c r="B13" s="94">
        <v>45981</v>
      </c>
      <c r="C13" s="95">
        <v>150</v>
      </c>
      <c r="D13" s="220" t="s">
        <v>66</v>
      </c>
      <c r="E13" s="96">
        <v>375000</v>
      </c>
      <c r="F13" s="97">
        <f>Tabela27[[#This Row],[VALOR TOTAL DA COMPRA]]/Tabela27[[#This Row],[QUANT.]]</f>
        <v>2500</v>
      </c>
      <c r="G13" s="220" t="s">
        <v>43</v>
      </c>
      <c r="H13" s="220" t="s">
        <v>78</v>
      </c>
      <c r="I13" s="220" t="s">
        <v>45</v>
      </c>
      <c r="J13" s="95">
        <v>2025</v>
      </c>
      <c r="K13" s="220" t="s">
        <v>68</v>
      </c>
      <c r="L13" s="220" t="s">
        <v>45</v>
      </c>
      <c r="M13" s="220" t="s">
        <v>45</v>
      </c>
      <c r="N13" s="220" t="s">
        <v>45</v>
      </c>
      <c r="O13" s="220" t="s">
        <v>45</v>
      </c>
      <c r="P13" s="95"/>
      <c r="Q13" s="2"/>
      <c r="T13" s="103"/>
      <c r="U13" s="103"/>
      <c r="AF13" s="3">
        <v>45297</v>
      </c>
      <c r="AG13" s="2" t="s">
        <v>69</v>
      </c>
      <c r="AS13"/>
      <c r="AT13"/>
    </row>
    <row r="14" spans="2:46" ht="18">
      <c r="B14" s="94">
        <v>46020</v>
      </c>
      <c r="C14" s="95">
        <v>105</v>
      </c>
      <c r="D14" s="95" t="s">
        <v>66</v>
      </c>
      <c r="E14" s="96">
        <f>150000+110172.15</f>
        <v>260172.15</v>
      </c>
      <c r="F14" s="97">
        <f>Tabela27[[#This Row],[VALOR TOTAL DA COMPRA]]/Tabela27[[#This Row],[QUANT.]]</f>
        <v>2477.83</v>
      </c>
      <c r="G14" s="95" t="s">
        <v>43</v>
      </c>
      <c r="H14" s="95" t="s">
        <v>79</v>
      </c>
      <c r="I14" s="95"/>
      <c r="J14" s="95">
        <v>2025</v>
      </c>
      <c r="K14" s="95" t="s">
        <v>68</v>
      </c>
      <c r="L14" s="220" t="s">
        <v>45</v>
      </c>
      <c r="M14" s="220" t="s">
        <v>45</v>
      </c>
      <c r="N14" s="95"/>
      <c r="O14" s="95"/>
      <c r="P14" s="95"/>
      <c r="Q14" s="2"/>
      <c r="T14" s="103"/>
      <c r="U14" s="103"/>
      <c r="AF14" s="3">
        <v>45298</v>
      </c>
      <c r="AG14" s="2" t="s">
        <v>69</v>
      </c>
      <c r="AS14"/>
      <c r="AT14"/>
    </row>
    <row r="15" spans="2:46" ht="18">
      <c r="B15" s="94">
        <v>45989</v>
      </c>
      <c r="C15" s="95">
        <v>40</v>
      </c>
      <c r="D15" s="95" t="s">
        <v>66</v>
      </c>
      <c r="E15" s="228">
        <v>98000</v>
      </c>
      <c r="F15" s="97">
        <f>Tabela27[[#This Row],[VALOR TOTAL DA COMPRA]]/Tabela27[[#This Row],[QUANT.]]</f>
        <v>2450</v>
      </c>
      <c r="G15" s="95" t="s">
        <v>43</v>
      </c>
      <c r="H15" s="95" t="s">
        <v>78</v>
      </c>
      <c r="I15" s="95"/>
      <c r="J15" s="95">
        <v>2025</v>
      </c>
      <c r="K15" s="95" t="s">
        <v>68</v>
      </c>
      <c r="L15" s="220" t="s">
        <v>45</v>
      </c>
      <c r="M15" s="220" t="s">
        <v>45</v>
      </c>
      <c r="N15" s="95"/>
      <c r="O15" s="95"/>
      <c r="P15" s="95"/>
      <c r="Q15" s="2"/>
      <c r="T15" s="103"/>
      <c r="U15" s="103"/>
      <c r="AF15" s="3">
        <v>45299</v>
      </c>
      <c r="AG15" s="2" t="s">
        <v>69</v>
      </c>
      <c r="AS15"/>
      <c r="AT15"/>
    </row>
    <row r="16" spans="2:46" ht="18">
      <c r="B16" s="94">
        <v>46098</v>
      </c>
      <c r="C16" s="95">
        <v>6</v>
      </c>
      <c r="D16" s="95" t="s">
        <v>66</v>
      </c>
      <c r="E16" s="228">
        <v>14200</v>
      </c>
      <c r="F16" s="97">
        <f>Tabela27[[#This Row],[VALOR TOTAL DA COMPRA]]/Tabela27[[#This Row],[QUANT.]]</f>
        <v>2366.6666666666665</v>
      </c>
      <c r="G16" s="95" t="s">
        <v>43</v>
      </c>
      <c r="H16" s="95" t="s">
        <v>72</v>
      </c>
      <c r="I16" s="95"/>
      <c r="J16" s="95">
        <v>2026</v>
      </c>
      <c r="K16" s="95" t="s">
        <v>68</v>
      </c>
      <c r="L16" s="220" t="s">
        <v>45</v>
      </c>
      <c r="M16" s="220" t="s">
        <v>45</v>
      </c>
      <c r="N16" s="95"/>
      <c r="O16" s="95"/>
      <c r="P16" s="95"/>
      <c r="Q16" s="2"/>
      <c r="T16" s="103"/>
      <c r="U16" s="103"/>
      <c r="AF16" s="3">
        <v>45300</v>
      </c>
      <c r="AG16" s="2" t="s">
        <v>69</v>
      </c>
      <c r="AS16"/>
      <c r="AT16"/>
    </row>
    <row r="17" spans="2:46" ht="18">
      <c r="B17" s="94">
        <v>46139</v>
      </c>
      <c r="C17" s="95">
        <v>130</v>
      </c>
      <c r="D17" s="95" t="s">
        <v>66</v>
      </c>
      <c r="E17" s="96">
        <v>344500</v>
      </c>
      <c r="F17" s="97">
        <f>Tabela27[[#This Row],[VALOR TOTAL DA COMPRA]]/Tabela27[[#This Row],[QUANT.]]</f>
        <v>2650</v>
      </c>
      <c r="G17" s="95" t="s">
        <v>43</v>
      </c>
      <c r="H17" s="95" t="s">
        <v>73</v>
      </c>
      <c r="I17" s="95"/>
      <c r="J17" s="95">
        <v>2026</v>
      </c>
      <c r="K17" s="95" t="s">
        <v>68</v>
      </c>
      <c r="L17" s="95"/>
      <c r="M17" s="95"/>
      <c r="N17" s="95"/>
      <c r="O17" s="95"/>
      <c r="P17" s="95"/>
      <c r="Q17" s="2"/>
      <c r="T17" s="103"/>
      <c r="U17" s="103"/>
      <c r="AF17" s="3">
        <v>45301</v>
      </c>
      <c r="AG17" s="2" t="s">
        <v>69</v>
      </c>
      <c r="AS17"/>
      <c r="AT17"/>
    </row>
    <row r="18" spans="2:46" ht="18">
      <c r="B18" s="94">
        <v>46139</v>
      </c>
      <c r="C18" s="95">
        <v>120</v>
      </c>
      <c r="D18" s="95" t="s">
        <v>66</v>
      </c>
      <c r="E18" s="96">
        <v>318000</v>
      </c>
      <c r="F18" s="97">
        <f>Tabela27[[#This Row],[VALOR TOTAL DA COMPRA]]/Tabela27[[#This Row],[QUANT.]]</f>
        <v>2650</v>
      </c>
      <c r="G18" s="95" t="s">
        <v>43</v>
      </c>
      <c r="H18" s="95" t="s">
        <v>73</v>
      </c>
      <c r="I18" s="95"/>
      <c r="J18" s="95">
        <v>2026</v>
      </c>
      <c r="K18" s="95" t="s">
        <v>68</v>
      </c>
      <c r="L18" s="95"/>
      <c r="M18" s="95"/>
      <c r="N18" s="95"/>
      <c r="O18" s="95"/>
      <c r="P18" s="95"/>
      <c r="Q18" s="2"/>
      <c r="T18" s="103"/>
      <c r="U18" s="103"/>
      <c r="AF18" s="3">
        <v>45302</v>
      </c>
      <c r="AG18" s="2" t="s">
        <v>69</v>
      </c>
      <c r="AS18"/>
      <c r="AT18"/>
    </row>
    <row r="19" spans="2:46" ht="18">
      <c r="B19" s="94">
        <v>46139</v>
      </c>
      <c r="C19" s="95">
        <v>18</v>
      </c>
      <c r="D19" s="95" t="s">
        <v>66</v>
      </c>
      <c r="E19" s="96">
        <v>53000</v>
      </c>
      <c r="F19" s="97">
        <f>Tabela27[[#This Row],[VALOR TOTAL DA COMPRA]]/Tabela27[[#This Row],[QUANT.]]</f>
        <v>2944.4444444444443</v>
      </c>
      <c r="G19" s="95" t="s">
        <v>43</v>
      </c>
      <c r="H19" s="95" t="s">
        <v>73</v>
      </c>
      <c r="I19" s="95"/>
      <c r="J19" s="95">
        <v>2026</v>
      </c>
      <c r="K19" s="95" t="s">
        <v>68</v>
      </c>
      <c r="L19" s="95"/>
      <c r="M19" s="95"/>
      <c r="N19" s="95"/>
      <c r="O19" s="95"/>
      <c r="P19" s="95"/>
      <c r="Q19" s="2"/>
      <c r="T19" s="103"/>
      <c r="U19" s="103"/>
      <c r="AF19" s="3">
        <v>45303</v>
      </c>
      <c r="AG19" s="2" t="s">
        <v>69</v>
      </c>
      <c r="AS19"/>
      <c r="AT19"/>
    </row>
    <row r="20" spans="2:46" ht="18">
      <c r="B20" s="94">
        <v>46139</v>
      </c>
      <c r="C20" s="95">
        <v>126</v>
      </c>
      <c r="D20" s="95" t="s">
        <v>66</v>
      </c>
      <c r="E20" s="96">
        <v>388080</v>
      </c>
      <c r="F20" s="97">
        <f>Tabela27[[#This Row],[VALOR TOTAL DA COMPRA]]/Tabela27[[#This Row],[QUANT.]]</f>
        <v>3080</v>
      </c>
      <c r="G20" s="95" t="s">
        <v>43</v>
      </c>
      <c r="H20" s="95" t="s">
        <v>73</v>
      </c>
      <c r="I20" s="95" t="s">
        <v>45</v>
      </c>
      <c r="J20" s="95">
        <v>2026</v>
      </c>
      <c r="K20" s="95" t="s">
        <v>68</v>
      </c>
      <c r="L20" s="95"/>
      <c r="M20" s="95"/>
      <c r="N20" s="95"/>
      <c r="O20" s="95"/>
      <c r="P20" s="95"/>
      <c r="Q20" s="2"/>
      <c r="T20" s="103"/>
      <c r="U20" s="103"/>
      <c r="AF20" s="3">
        <v>45304</v>
      </c>
      <c r="AG20" s="2" t="s">
        <v>69</v>
      </c>
      <c r="AS20"/>
      <c r="AT20"/>
    </row>
    <row r="21" spans="2:46" ht="18">
      <c r="B21" s="94"/>
      <c r="C21" s="95"/>
      <c r="D21" s="95"/>
      <c r="E21" s="96"/>
      <c r="F21" s="97" t="e">
        <f>Tabela27[[#This Row],[VALOR TOTAL DA COMPRA]]/Tabela27[[#This Row],[QUANT.]]</f>
        <v>#DIV/0!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2"/>
      <c r="T21" s="103"/>
      <c r="U21" s="103"/>
      <c r="AF21" s="3">
        <v>45305</v>
      </c>
      <c r="AG21" s="2" t="s">
        <v>69</v>
      </c>
      <c r="AS21"/>
      <c r="AT21"/>
    </row>
    <row r="22" spans="2:46" ht="18">
      <c r="B22" s="94"/>
      <c r="C22" s="95"/>
      <c r="D22" s="95"/>
      <c r="E22" s="96"/>
      <c r="F22" s="97" t="e">
        <f>Tabela27[[#This Row],[VALOR TOTAL DA COMPRA]]/Tabela27[[#This Row],[QUANT.]]</f>
        <v>#DIV/0!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2"/>
      <c r="T22" s="103"/>
      <c r="U22" s="103"/>
      <c r="AF22" s="3">
        <v>45306</v>
      </c>
      <c r="AG22" s="2" t="s">
        <v>69</v>
      </c>
      <c r="AS22"/>
      <c r="AT22"/>
    </row>
    <row r="23" spans="2:46" ht="18">
      <c r="B23" s="94"/>
      <c r="C23" s="95"/>
      <c r="D23" s="95"/>
      <c r="E23" s="96"/>
      <c r="F23" s="97" t="e">
        <f>Tabela27[[#This Row],[VALOR TOTAL DA COMPRA]]/Tabela27[[#This Row],[QUANT.]]</f>
        <v>#DIV/0!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2"/>
      <c r="T23" s="103"/>
      <c r="U23" s="103"/>
      <c r="AF23" s="3">
        <v>45307</v>
      </c>
      <c r="AG23" s="2" t="s">
        <v>69</v>
      </c>
      <c r="AS23"/>
      <c r="AT23"/>
    </row>
    <row r="24" spans="2:46" ht="18">
      <c r="B24" s="94"/>
      <c r="C24" s="95"/>
      <c r="D24" s="95"/>
      <c r="E24" s="96"/>
      <c r="F24" s="97" t="e">
        <f>Tabela27[[#This Row],[VALOR TOTAL DA COMPRA]]/Tabela27[[#This Row],[QUANT.]]</f>
        <v>#DIV/0!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2"/>
      <c r="T24" s="103"/>
      <c r="U24" s="103"/>
      <c r="AF24" s="3">
        <v>45308</v>
      </c>
      <c r="AG24" s="2" t="s">
        <v>69</v>
      </c>
      <c r="AS24"/>
      <c r="AT24"/>
    </row>
    <row r="25" spans="2:46" ht="18">
      <c r="B25" s="94"/>
      <c r="C25" s="95"/>
      <c r="D25" s="95"/>
      <c r="E25" s="96"/>
      <c r="F25" s="97" t="e">
        <f>Tabela27[[#This Row],[VALOR TOTAL DA COMPRA]]/Tabela27[[#This Row],[QUANT.]]</f>
        <v>#DIV/0!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2"/>
      <c r="T25" s="103"/>
      <c r="U25" s="103"/>
      <c r="AF25" s="3">
        <v>45309</v>
      </c>
      <c r="AG25" s="2" t="s">
        <v>69</v>
      </c>
      <c r="AS25"/>
      <c r="AT25"/>
    </row>
    <row r="26" spans="2:46" ht="18">
      <c r="B26" s="94"/>
      <c r="C26" s="95"/>
      <c r="D26" s="95"/>
      <c r="E26" s="96"/>
      <c r="F26" s="97" t="e">
        <f>Tabela27[[#This Row],[VALOR TOTAL DA COMPRA]]/Tabela27[[#This Row],[QUANT.]]</f>
        <v>#DIV/0!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2"/>
      <c r="T26" s="103"/>
      <c r="U26" s="103"/>
      <c r="AF26" s="3">
        <v>45310</v>
      </c>
      <c r="AG26" s="2" t="s">
        <v>69</v>
      </c>
      <c r="AS26"/>
      <c r="AT26"/>
    </row>
    <row r="27" spans="2:46" ht="18">
      <c r="B27" s="94"/>
      <c r="C27" s="95"/>
      <c r="D27" s="95"/>
      <c r="E27" s="96"/>
      <c r="F27" s="97" t="e">
        <f>Tabela27[[#This Row],[VALOR TOTAL DA COMPRA]]/Tabela27[[#This Row],[QUANT.]]</f>
        <v>#DIV/0!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2"/>
      <c r="T27" s="103"/>
      <c r="U27" s="103"/>
      <c r="AF27" s="3">
        <v>45311</v>
      </c>
      <c r="AG27" s="2" t="s">
        <v>69</v>
      </c>
      <c r="AS27"/>
      <c r="AT27"/>
    </row>
    <row r="28" spans="2:46" ht="18">
      <c r="B28" s="94"/>
      <c r="C28" s="95"/>
      <c r="D28" s="95"/>
      <c r="E28" s="96"/>
      <c r="F28" s="97" t="e">
        <f>Tabela27[[#This Row],[VALOR TOTAL DA COMPRA]]/Tabela27[[#This Row],[QUANT.]]</f>
        <v>#DIV/0!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2"/>
      <c r="T28" s="103"/>
      <c r="U28" s="103"/>
      <c r="AF28" s="3">
        <v>45312</v>
      </c>
      <c r="AG28" s="2" t="s">
        <v>69</v>
      </c>
      <c r="AS28"/>
      <c r="AT28"/>
    </row>
    <row r="29" spans="2:46" ht="18">
      <c r="B29" s="94"/>
      <c r="C29" s="95"/>
      <c r="D29" s="95"/>
      <c r="E29" s="96"/>
      <c r="F29" s="97" t="e">
        <f>Tabela27[[#This Row],[VALOR TOTAL DA COMPRA]]/Tabela27[[#This Row],[QUANT.]]</f>
        <v>#DIV/0!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2"/>
      <c r="T29" s="103"/>
      <c r="U29" s="103"/>
      <c r="AF29" s="3">
        <v>45313</v>
      </c>
      <c r="AG29" s="2" t="s">
        <v>69</v>
      </c>
      <c r="AS29"/>
      <c r="AT29"/>
    </row>
    <row r="30" spans="2:46" ht="18">
      <c r="B30" s="94"/>
      <c r="C30" s="95"/>
      <c r="D30" s="95"/>
      <c r="E30" s="96"/>
      <c r="F30" s="97" t="e">
        <f>Tabela27[[#This Row],[VALOR TOTAL DA COMPRA]]/Tabela27[[#This Row],[QUANT.]]</f>
        <v>#DIV/0!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2"/>
      <c r="T30" s="103"/>
      <c r="U30" s="103"/>
      <c r="AF30" s="3">
        <v>45314</v>
      </c>
      <c r="AG30" s="2" t="s">
        <v>69</v>
      </c>
      <c r="AS30"/>
      <c r="AT30"/>
    </row>
    <row r="31" spans="2:46" ht="18">
      <c r="B31" s="94"/>
      <c r="C31" s="95"/>
      <c r="D31" s="95"/>
      <c r="E31" s="96"/>
      <c r="F31" s="97" t="e">
        <f>Tabela27[[#This Row],[VALOR TOTAL DA COMPRA]]/Tabela27[[#This Row],[QUANT.]]</f>
        <v>#DIV/0!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2"/>
      <c r="T31" s="103"/>
      <c r="U31" s="103"/>
      <c r="AF31" s="3">
        <v>45315</v>
      </c>
      <c r="AG31" s="2" t="s">
        <v>69</v>
      </c>
      <c r="AS31"/>
      <c r="AT31"/>
    </row>
    <row r="32" spans="2:46" ht="18">
      <c r="B32" s="94"/>
      <c r="C32" s="95"/>
      <c r="D32" s="95"/>
      <c r="E32" s="96"/>
      <c r="F32" s="97" t="e">
        <f>Tabela27[[#This Row],[VALOR TOTAL DA COMPRA]]/Tabela27[[#This Row],[QUANT.]]</f>
        <v>#DIV/0!</v>
      </c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2"/>
      <c r="T32" s="103"/>
      <c r="U32" s="103"/>
      <c r="AF32" s="3">
        <v>45316</v>
      </c>
      <c r="AG32" s="2" t="s">
        <v>69</v>
      </c>
      <c r="AS32"/>
      <c r="AT32"/>
    </row>
    <row r="33" spans="2:46" ht="18">
      <c r="B33" s="94"/>
      <c r="C33" s="95"/>
      <c r="D33" s="95"/>
      <c r="E33" s="96"/>
      <c r="F33" s="97" t="e">
        <f>Tabela27[[#This Row],[VALOR TOTAL DA COMPRA]]/Tabela27[[#This Row],[QUANT.]]</f>
        <v>#DIV/0!</v>
      </c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2"/>
      <c r="T33" s="103"/>
      <c r="U33" s="103"/>
      <c r="AF33" s="3">
        <v>45317</v>
      </c>
      <c r="AG33" s="2" t="s">
        <v>69</v>
      </c>
      <c r="AS33"/>
      <c r="AT33"/>
    </row>
    <row r="34" spans="2:46" ht="18">
      <c r="B34" s="94"/>
      <c r="C34" s="95"/>
      <c r="D34" s="95"/>
      <c r="E34" s="96"/>
      <c r="F34" s="97" t="e">
        <f>Tabela27[[#This Row],[VALOR TOTAL DA COMPRA]]/Tabela27[[#This Row],[QUANT.]]</f>
        <v>#DIV/0!</v>
      </c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2"/>
      <c r="T34" s="103"/>
      <c r="U34" s="103"/>
      <c r="AF34" s="3">
        <v>45318</v>
      </c>
      <c r="AG34" s="2" t="s">
        <v>69</v>
      </c>
      <c r="AS34"/>
      <c r="AT34"/>
    </row>
    <row r="35" spans="2:46" ht="18">
      <c r="B35" s="94"/>
      <c r="C35" s="95"/>
      <c r="D35" s="95"/>
      <c r="E35" s="96"/>
      <c r="F35" s="97" t="e">
        <f>Tabela27[[#This Row],[VALOR TOTAL DA COMPRA]]/Tabela27[[#This Row],[QUANT.]]</f>
        <v>#DIV/0!</v>
      </c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2"/>
      <c r="T35" s="103"/>
      <c r="U35" s="103"/>
      <c r="AF35" s="3">
        <v>45319</v>
      </c>
      <c r="AG35" s="2" t="s">
        <v>69</v>
      </c>
      <c r="AS35"/>
      <c r="AT35"/>
    </row>
    <row r="36" spans="2:46" ht="18">
      <c r="B36" s="94"/>
      <c r="C36" s="95"/>
      <c r="D36" s="95"/>
      <c r="E36" s="96"/>
      <c r="F36" s="97" t="e">
        <f>Tabela27[[#This Row],[VALOR TOTAL DA COMPRA]]/Tabela27[[#This Row],[QUANT.]]</f>
        <v>#DIV/0!</v>
      </c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2"/>
      <c r="T36" s="103"/>
      <c r="U36" s="103"/>
      <c r="AF36" s="3">
        <v>45320</v>
      </c>
      <c r="AG36" s="2" t="s">
        <v>69</v>
      </c>
      <c r="AS36"/>
      <c r="AT36"/>
    </row>
    <row r="37" spans="2:46" ht="18">
      <c r="B37" s="94"/>
      <c r="C37" s="95"/>
      <c r="D37" s="95"/>
      <c r="E37" s="96"/>
      <c r="F37" s="97" t="e">
        <f>Tabela27[[#This Row],[VALOR TOTAL DA COMPRA]]/Tabela27[[#This Row],[QUANT.]]</f>
        <v>#DIV/0!</v>
      </c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2"/>
      <c r="T37" s="103"/>
      <c r="U37" s="103"/>
      <c r="AF37" s="3">
        <v>45321</v>
      </c>
      <c r="AG37" s="2" t="s">
        <v>69</v>
      </c>
      <c r="AS37"/>
      <c r="AT37"/>
    </row>
    <row r="38" spans="2:46" ht="18">
      <c r="B38" s="94"/>
      <c r="C38" s="95"/>
      <c r="D38" s="95"/>
      <c r="E38" s="96"/>
      <c r="F38" s="97" t="e">
        <f>Tabela27[[#This Row],[VALOR TOTAL DA COMPRA]]/Tabela27[[#This Row],[QUANT.]]</f>
        <v>#DIV/0!</v>
      </c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2"/>
      <c r="T38" s="103"/>
      <c r="U38" s="103"/>
      <c r="AF38" s="3">
        <v>45322</v>
      </c>
      <c r="AG38" s="2" t="s">
        <v>69</v>
      </c>
      <c r="AS38"/>
      <c r="AT38"/>
    </row>
    <row r="39" spans="2:46" ht="18">
      <c r="B39" s="94"/>
      <c r="C39" s="95"/>
      <c r="D39" s="95"/>
      <c r="E39" s="96"/>
      <c r="F39" s="97" t="e">
        <f>Tabela27[[#This Row],[VALOR TOTAL DA COMPRA]]/Tabela27[[#This Row],[QUANT.]]</f>
        <v>#DIV/0!</v>
      </c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2"/>
      <c r="T39" s="103"/>
      <c r="U39" s="103"/>
      <c r="AF39" s="3">
        <v>45323</v>
      </c>
      <c r="AG39" s="2" t="s">
        <v>71</v>
      </c>
      <c r="AS39"/>
      <c r="AT39"/>
    </row>
    <row r="40" spans="2:46" ht="18">
      <c r="B40" s="94"/>
      <c r="C40" s="95"/>
      <c r="D40" s="95"/>
      <c r="E40" s="96"/>
      <c r="F40" s="97" t="e">
        <f>Tabela27[[#This Row],[VALOR TOTAL DA COMPRA]]/Tabela27[[#This Row],[QUANT.]]</f>
        <v>#DIV/0!</v>
      </c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2"/>
      <c r="T40" s="103"/>
      <c r="U40" s="103"/>
      <c r="AF40" s="3">
        <v>45324</v>
      </c>
      <c r="AG40" s="2" t="s">
        <v>71</v>
      </c>
      <c r="AS40"/>
      <c r="AT40"/>
    </row>
    <row r="41" spans="2:46" ht="18">
      <c r="B41" s="94"/>
      <c r="C41" s="95"/>
      <c r="D41" s="95"/>
      <c r="E41" s="96"/>
      <c r="F41" s="97" t="e">
        <f>Tabela27[[#This Row],[VALOR TOTAL DA COMPRA]]/Tabela27[[#This Row],[QUANT.]]</f>
        <v>#DIV/0!</v>
      </c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2"/>
      <c r="T41" s="103"/>
      <c r="U41" s="103"/>
      <c r="AF41" s="3">
        <v>45325</v>
      </c>
      <c r="AG41" s="2" t="s">
        <v>71</v>
      </c>
      <c r="AS41"/>
      <c r="AT41"/>
    </row>
    <row r="42" spans="2:46" ht="18">
      <c r="B42" s="94"/>
      <c r="C42" s="95"/>
      <c r="D42" s="95"/>
      <c r="E42" s="96"/>
      <c r="F42" s="97" t="e">
        <f>Tabela27[[#This Row],[VALOR TOTAL DA COMPRA]]/Tabela27[[#This Row],[QUANT.]]</f>
        <v>#DIV/0!</v>
      </c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2"/>
      <c r="T42" s="103"/>
      <c r="U42" s="103"/>
      <c r="AF42" s="3">
        <v>45326</v>
      </c>
      <c r="AG42" s="2" t="s">
        <v>71</v>
      </c>
      <c r="AS42"/>
      <c r="AT42"/>
    </row>
    <row r="43" spans="2:46" ht="18">
      <c r="B43" s="94"/>
      <c r="C43" s="95"/>
      <c r="D43" s="95"/>
      <c r="E43" s="96"/>
      <c r="F43" s="97" t="e">
        <f>Tabela27[[#This Row],[VALOR TOTAL DA COMPRA]]/Tabela27[[#This Row],[QUANT.]]</f>
        <v>#DIV/0!</v>
      </c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2"/>
      <c r="T43" s="103"/>
      <c r="U43" s="103"/>
      <c r="AF43" s="3">
        <v>45327</v>
      </c>
      <c r="AG43" s="2" t="s">
        <v>71</v>
      </c>
      <c r="AS43"/>
      <c r="AT43"/>
    </row>
    <row r="44" spans="2:46" ht="18">
      <c r="B44" s="94"/>
      <c r="C44" s="95"/>
      <c r="D44" s="95"/>
      <c r="E44" s="96"/>
      <c r="F44" s="97" t="e">
        <f>Tabela27[[#This Row],[VALOR TOTAL DA COMPRA]]/Tabela27[[#This Row],[QUANT.]]</f>
        <v>#DIV/0!</v>
      </c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2"/>
      <c r="T44" s="103"/>
      <c r="U44" s="103"/>
      <c r="AF44" s="3">
        <v>45328</v>
      </c>
      <c r="AG44" s="2" t="s">
        <v>71</v>
      </c>
      <c r="AS44"/>
      <c r="AT44"/>
    </row>
    <row r="45" spans="2:46" ht="18">
      <c r="B45" s="94"/>
      <c r="C45" s="95"/>
      <c r="D45" s="95"/>
      <c r="E45" s="96"/>
      <c r="F45" s="97" t="e">
        <f>Tabela27[[#This Row],[VALOR TOTAL DA COMPRA]]/Tabela27[[#This Row],[QUANT.]]</f>
        <v>#DIV/0!</v>
      </c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2"/>
      <c r="T45" s="103"/>
      <c r="U45" s="103"/>
      <c r="AF45" s="3">
        <v>45329</v>
      </c>
      <c r="AG45" s="2" t="s">
        <v>71</v>
      </c>
      <c r="AS45"/>
      <c r="AT45"/>
    </row>
    <row r="46" spans="2:46" ht="18">
      <c r="B46" s="94"/>
      <c r="C46" s="95"/>
      <c r="D46" s="95"/>
      <c r="E46" s="96"/>
      <c r="F46" s="97" t="e">
        <f>Tabela27[[#This Row],[VALOR TOTAL DA COMPRA]]/Tabela27[[#This Row],[QUANT.]]</f>
        <v>#DIV/0!</v>
      </c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2"/>
      <c r="T46" s="103"/>
      <c r="U46" s="103"/>
      <c r="AF46" s="3">
        <v>45330</v>
      </c>
      <c r="AG46" s="2" t="s">
        <v>71</v>
      </c>
      <c r="AS46"/>
      <c r="AT46"/>
    </row>
    <row r="47" spans="2:46" ht="18">
      <c r="B47" s="94"/>
      <c r="C47" s="95"/>
      <c r="D47" s="95"/>
      <c r="E47" s="96"/>
      <c r="F47" s="97" t="e">
        <f>Tabela27[[#This Row],[VALOR TOTAL DA COMPRA]]/Tabela27[[#This Row],[QUANT.]]</f>
        <v>#DIV/0!</v>
      </c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2"/>
      <c r="T47" s="103"/>
      <c r="U47" s="103"/>
      <c r="AF47" s="3">
        <v>45331</v>
      </c>
      <c r="AG47" s="2" t="s">
        <v>71</v>
      </c>
      <c r="AS47"/>
      <c r="AT47"/>
    </row>
    <row r="48" spans="2:46" ht="18">
      <c r="B48" s="94"/>
      <c r="C48" s="95"/>
      <c r="D48" s="95"/>
      <c r="E48" s="96"/>
      <c r="F48" s="97" t="e">
        <f>Tabela27[[#This Row],[VALOR TOTAL DA COMPRA]]/Tabela27[[#This Row],[QUANT.]]</f>
        <v>#DIV/0!</v>
      </c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2"/>
      <c r="T48" s="103"/>
      <c r="U48" s="103"/>
      <c r="AF48" s="3">
        <v>45332</v>
      </c>
      <c r="AG48" s="2" t="s">
        <v>71</v>
      </c>
      <c r="AS48"/>
      <c r="AT48"/>
    </row>
    <row r="49" spans="2:46" ht="18">
      <c r="B49" s="94"/>
      <c r="C49" s="95"/>
      <c r="D49" s="95"/>
      <c r="E49" s="96"/>
      <c r="F49" s="97" t="e">
        <f>Tabela27[[#This Row],[VALOR TOTAL DA COMPRA]]/Tabela27[[#This Row],[QUANT.]]</f>
        <v>#DIV/0!</v>
      </c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2"/>
      <c r="T49" s="103"/>
      <c r="U49" s="103"/>
      <c r="AF49" s="3">
        <v>45333</v>
      </c>
      <c r="AG49" s="2" t="s">
        <v>71</v>
      </c>
      <c r="AS49"/>
      <c r="AT49"/>
    </row>
    <row r="50" spans="2:46" ht="18">
      <c r="B50" s="94"/>
      <c r="C50" s="95"/>
      <c r="D50" s="95"/>
      <c r="E50" s="96"/>
      <c r="F50" s="97" t="e">
        <f>Tabela27[[#This Row],[VALOR TOTAL DA COMPRA]]/Tabela27[[#This Row],[QUANT.]]</f>
        <v>#DIV/0!</v>
      </c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2"/>
      <c r="T50" s="103"/>
      <c r="U50" s="103"/>
      <c r="AF50" s="3">
        <v>45334</v>
      </c>
      <c r="AG50" s="2" t="s">
        <v>71</v>
      </c>
      <c r="AS50"/>
      <c r="AT50"/>
    </row>
    <row r="51" spans="2:46" ht="18">
      <c r="B51" s="94"/>
      <c r="C51" s="95"/>
      <c r="D51" s="95"/>
      <c r="E51" s="96"/>
      <c r="F51" s="97" t="e">
        <f>Tabela27[[#This Row],[VALOR TOTAL DA COMPRA]]/Tabela27[[#This Row],[QUANT.]]</f>
        <v>#DIV/0!</v>
      </c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2"/>
      <c r="T51" s="103"/>
      <c r="U51" s="103"/>
      <c r="AF51" s="3">
        <v>45335</v>
      </c>
      <c r="AG51" s="2" t="s">
        <v>71</v>
      </c>
      <c r="AS51"/>
      <c r="AT51"/>
    </row>
    <row r="52" spans="2:46" ht="18">
      <c r="B52" s="94"/>
      <c r="C52" s="95"/>
      <c r="D52" s="95"/>
      <c r="E52" s="96"/>
      <c r="F52" s="97" t="e">
        <f>Tabela27[[#This Row],[VALOR TOTAL DA COMPRA]]/Tabela27[[#This Row],[QUANT.]]</f>
        <v>#DIV/0!</v>
      </c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2"/>
      <c r="T52" s="103"/>
      <c r="U52" s="103"/>
      <c r="AF52" s="3">
        <v>45336</v>
      </c>
      <c r="AG52" s="2" t="s">
        <v>71</v>
      </c>
      <c r="AS52"/>
      <c r="AT52"/>
    </row>
    <row r="53" spans="2:46" ht="18">
      <c r="B53" s="94"/>
      <c r="C53" s="95"/>
      <c r="D53" s="95"/>
      <c r="E53" s="96"/>
      <c r="F53" s="97" t="e">
        <f>Tabela27[[#This Row],[VALOR TOTAL DA COMPRA]]/Tabela27[[#This Row],[QUANT.]]</f>
        <v>#DIV/0!</v>
      </c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2"/>
      <c r="T53" s="103"/>
      <c r="U53" s="103"/>
      <c r="AF53" s="3">
        <v>45337</v>
      </c>
      <c r="AG53" s="2" t="s">
        <v>71</v>
      </c>
      <c r="AS53"/>
      <c r="AT53"/>
    </row>
    <row r="54" spans="2:46" ht="18">
      <c r="B54" s="94"/>
      <c r="C54" s="95"/>
      <c r="D54" s="95"/>
      <c r="E54" s="96"/>
      <c r="F54" s="97" t="e">
        <f>Tabela27[[#This Row],[VALOR TOTAL DA COMPRA]]/Tabela27[[#This Row],[QUANT.]]</f>
        <v>#DIV/0!</v>
      </c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2"/>
      <c r="T54" s="103"/>
      <c r="U54" s="103"/>
      <c r="AF54" s="3">
        <v>45338</v>
      </c>
      <c r="AG54" s="2" t="s">
        <v>71</v>
      </c>
      <c r="AS54"/>
      <c r="AT54"/>
    </row>
    <row r="55" spans="2:46" ht="18">
      <c r="B55" s="94"/>
      <c r="C55" s="95"/>
      <c r="D55" s="95"/>
      <c r="E55" s="96"/>
      <c r="F55" s="97" t="e">
        <f>Tabela27[[#This Row],[VALOR TOTAL DA COMPRA]]/Tabela27[[#This Row],[QUANT.]]</f>
        <v>#DIV/0!</v>
      </c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2"/>
      <c r="T55" s="103"/>
      <c r="U55" s="103"/>
      <c r="AF55" s="3">
        <v>45339</v>
      </c>
      <c r="AG55" s="2" t="s">
        <v>71</v>
      </c>
      <c r="AS55"/>
      <c r="AT55"/>
    </row>
    <row r="56" spans="2:46" ht="18">
      <c r="B56" s="94"/>
      <c r="C56" s="95"/>
      <c r="D56" s="95"/>
      <c r="E56" s="96"/>
      <c r="F56" s="97" t="e">
        <f>Tabela27[[#This Row],[VALOR TOTAL DA COMPRA]]/Tabela27[[#This Row],[QUANT.]]</f>
        <v>#DIV/0!</v>
      </c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2"/>
      <c r="T56" s="103"/>
      <c r="U56" s="103"/>
      <c r="AF56" s="3">
        <v>45340</v>
      </c>
      <c r="AG56" s="2" t="s">
        <v>71</v>
      </c>
      <c r="AS56"/>
      <c r="AT56"/>
    </row>
    <row r="57" spans="2:46" ht="18">
      <c r="B57" s="94"/>
      <c r="C57" s="95"/>
      <c r="D57" s="95"/>
      <c r="E57" s="96"/>
      <c r="F57" s="97" t="e">
        <f>Tabela27[[#This Row],[VALOR TOTAL DA COMPRA]]/Tabela27[[#This Row],[QUANT.]]</f>
        <v>#DIV/0!</v>
      </c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2"/>
      <c r="T57" s="103"/>
      <c r="U57" s="103"/>
      <c r="AF57" s="3">
        <v>45341</v>
      </c>
      <c r="AG57" s="2" t="s">
        <v>71</v>
      </c>
      <c r="AS57"/>
      <c r="AT57"/>
    </row>
    <row r="58" spans="2:46" ht="18">
      <c r="B58" s="94"/>
      <c r="C58" s="95"/>
      <c r="D58" s="95"/>
      <c r="E58" s="96"/>
      <c r="F58" s="97" t="e">
        <f>Tabela27[[#This Row],[VALOR TOTAL DA COMPRA]]/Tabela27[[#This Row],[QUANT.]]</f>
        <v>#DIV/0!</v>
      </c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2"/>
      <c r="T58" s="103"/>
      <c r="U58" s="103"/>
      <c r="AF58" s="3">
        <v>45342</v>
      </c>
      <c r="AG58" s="2" t="s">
        <v>71</v>
      </c>
      <c r="AS58"/>
      <c r="AT58"/>
    </row>
    <row r="59" spans="2:46" ht="18">
      <c r="B59" s="94"/>
      <c r="C59" s="95"/>
      <c r="D59" s="95"/>
      <c r="E59" s="96"/>
      <c r="F59" s="97" t="e">
        <f>Tabela27[[#This Row],[VALOR TOTAL DA COMPRA]]/Tabela27[[#This Row],[QUANT.]]</f>
        <v>#DIV/0!</v>
      </c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2"/>
      <c r="T59" s="103"/>
      <c r="U59" s="103"/>
      <c r="AF59" s="3">
        <v>45343</v>
      </c>
      <c r="AG59" s="2" t="s">
        <v>71</v>
      </c>
      <c r="AS59"/>
      <c r="AT59"/>
    </row>
    <row r="60" spans="2:46" ht="18">
      <c r="B60" s="94"/>
      <c r="C60" s="95"/>
      <c r="D60" s="95"/>
      <c r="E60" s="96"/>
      <c r="F60" s="97" t="e">
        <f>Tabela27[[#This Row],[VALOR TOTAL DA COMPRA]]/Tabela27[[#This Row],[QUANT.]]</f>
        <v>#DIV/0!</v>
      </c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2"/>
      <c r="T60" s="103"/>
      <c r="U60" s="103"/>
      <c r="AF60" s="3">
        <v>45344</v>
      </c>
      <c r="AG60" s="2" t="s">
        <v>71</v>
      </c>
      <c r="AS60"/>
      <c r="AT60"/>
    </row>
    <row r="61" spans="2:46" ht="18">
      <c r="B61" s="94"/>
      <c r="C61" s="95"/>
      <c r="D61" s="95"/>
      <c r="E61" s="96"/>
      <c r="F61" s="97" t="e">
        <f>Tabela27[[#This Row],[VALOR TOTAL DA COMPRA]]/Tabela27[[#This Row],[QUANT.]]</f>
        <v>#DIV/0!</v>
      </c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2"/>
      <c r="T61" s="103"/>
      <c r="U61" s="103"/>
      <c r="AF61" s="3">
        <v>45345</v>
      </c>
      <c r="AG61" s="2" t="s">
        <v>71</v>
      </c>
      <c r="AS61"/>
      <c r="AT61"/>
    </row>
    <row r="62" spans="2:46" ht="18">
      <c r="B62" s="94"/>
      <c r="C62" s="95"/>
      <c r="D62" s="95"/>
      <c r="E62" s="96"/>
      <c r="F62" s="97" t="e">
        <f>Tabela27[[#This Row],[VALOR TOTAL DA COMPRA]]/Tabela27[[#This Row],[QUANT.]]</f>
        <v>#DIV/0!</v>
      </c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2"/>
      <c r="T62" s="103"/>
      <c r="U62" s="103"/>
      <c r="AF62" s="3">
        <v>45346</v>
      </c>
      <c r="AG62" s="2" t="s">
        <v>71</v>
      </c>
      <c r="AS62"/>
      <c r="AT62"/>
    </row>
    <row r="63" spans="2:46" ht="18">
      <c r="B63" s="94"/>
      <c r="C63" s="95"/>
      <c r="D63" s="95"/>
      <c r="E63" s="96"/>
      <c r="F63" s="97" t="e">
        <f>Tabela27[[#This Row],[VALOR TOTAL DA COMPRA]]/Tabela27[[#This Row],[QUANT.]]</f>
        <v>#DIV/0!</v>
      </c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2"/>
      <c r="T63" s="103"/>
      <c r="U63" s="103"/>
      <c r="AF63" s="3">
        <v>45347</v>
      </c>
      <c r="AG63" s="2" t="s">
        <v>71</v>
      </c>
      <c r="AS63"/>
      <c r="AT63"/>
    </row>
    <row r="64" spans="2:46" ht="18">
      <c r="B64" s="94"/>
      <c r="C64" s="95"/>
      <c r="D64" s="95"/>
      <c r="E64" s="96"/>
      <c r="F64" s="97" t="e">
        <f>Tabela27[[#This Row],[VALOR TOTAL DA COMPRA]]/Tabela27[[#This Row],[QUANT.]]</f>
        <v>#DIV/0!</v>
      </c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2"/>
      <c r="T64" s="103"/>
      <c r="U64" s="103"/>
      <c r="AF64" s="3">
        <v>45348</v>
      </c>
      <c r="AG64" s="2" t="s">
        <v>71</v>
      </c>
      <c r="AS64"/>
      <c r="AT64"/>
    </row>
    <row r="65" spans="2:46" ht="18">
      <c r="B65" s="94"/>
      <c r="C65" s="95"/>
      <c r="D65" s="95"/>
      <c r="E65" s="96"/>
      <c r="F65" s="97" t="e">
        <f>Tabela27[[#This Row],[VALOR TOTAL DA COMPRA]]/Tabela27[[#This Row],[QUANT.]]</f>
        <v>#DIV/0!</v>
      </c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2"/>
      <c r="T65" s="103"/>
      <c r="U65" s="103"/>
      <c r="AF65" s="3">
        <v>45349</v>
      </c>
      <c r="AG65" s="2" t="s">
        <v>71</v>
      </c>
      <c r="AS65"/>
      <c r="AT65"/>
    </row>
    <row r="66" spans="2:46" ht="18">
      <c r="B66" s="94"/>
      <c r="C66" s="95"/>
      <c r="D66" s="95"/>
      <c r="E66" s="96"/>
      <c r="F66" s="97" t="e">
        <f>Tabela27[[#This Row],[VALOR TOTAL DA COMPRA]]/Tabela27[[#This Row],[QUANT.]]</f>
        <v>#DIV/0!</v>
      </c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2"/>
      <c r="T66" s="103"/>
      <c r="U66" s="103"/>
      <c r="AF66" s="3">
        <v>45350</v>
      </c>
      <c r="AG66" s="2" t="s">
        <v>71</v>
      </c>
      <c r="AS66"/>
      <c r="AT66"/>
    </row>
    <row r="67" spans="2:46" ht="18">
      <c r="B67" s="94"/>
      <c r="C67" s="95"/>
      <c r="D67" s="95"/>
      <c r="E67" s="96"/>
      <c r="F67" s="97" t="e">
        <f>Tabela27[[#This Row],[VALOR TOTAL DA COMPRA]]/Tabela27[[#This Row],[QUANT.]]</f>
        <v>#DIV/0!</v>
      </c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2"/>
      <c r="T67" s="103"/>
      <c r="U67" s="103"/>
      <c r="AF67" s="3">
        <v>45351</v>
      </c>
      <c r="AG67" s="2" t="s">
        <v>71</v>
      </c>
      <c r="AS67"/>
      <c r="AT67"/>
    </row>
    <row r="68" spans="2:46" ht="18">
      <c r="B68" s="94"/>
      <c r="C68" s="95"/>
      <c r="D68" s="95"/>
      <c r="E68" s="96"/>
      <c r="F68" s="97" t="e">
        <f>Tabela27[[#This Row],[VALOR TOTAL DA COMPRA]]/Tabela27[[#This Row],[QUANT.]]</f>
        <v>#DIV/0!</v>
      </c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2"/>
      <c r="T68" s="103"/>
      <c r="U68" s="103"/>
      <c r="AF68" s="3">
        <v>45352</v>
      </c>
      <c r="AG68" s="2" t="s">
        <v>72</v>
      </c>
      <c r="AS68"/>
      <c r="AT68"/>
    </row>
    <row r="69" spans="2:46" ht="18">
      <c r="B69" s="94"/>
      <c r="C69" s="95"/>
      <c r="D69" s="95"/>
      <c r="E69" s="96"/>
      <c r="F69" s="97" t="e">
        <f>Tabela27[[#This Row],[VALOR TOTAL DA COMPRA]]/Tabela27[[#This Row],[QUANT.]]</f>
        <v>#DIV/0!</v>
      </c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2"/>
      <c r="T69" s="103"/>
      <c r="U69" s="103"/>
      <c r="AF69" s="3">
        <v>45353</v>
      </c>
      <c r="AG69" s="2" t="s">
        <v>72</v>
      </c>
      <c r="AS69"/>
      <c r="AT69"/>
    </row>
    <row r="70" spans="2:46" ht="18">
      <c r="B70" s="94"/>
      <c r="C70" s="95"/>
      <c r="D70" s="95"/>
      <c r="E70" s="96"/>
      <c r="F70" s="97" t="e">
        <f>Tabela27[[#This Row],[VALOR TOTAL DA COMPRA]]/Tabela27[[#This Row],[QUANT.]]</f>
        <v>#DIV/0!</v>
      </c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2"/>
      <c r="T70" s="103"/>
      <c r="U70" s="103"/>
      <c r="AF70" s="3">
        <v>45354</v>
      </c>
      <c r="AG70" s="2" t="s">
        <v>72</v>
      </c>
      <c r="AS70"/>
      <c r="AT70"/>
    </row>
    <row r="71" spans="2:46" ht="18">
      <c r="B71" s="94"/>
      <c r="C71" s="95"/>
      <c r="D71" s="95"/>
      <c r="E71" s="96"/>
      <c r="F71" s="97" t="e">
        <f>Tabela27[[#This Row],[VALOR TOTAL DA COMPRA]]/Tabela27[[#This Row],[QUANT.]]</f>
        <v>#DIV/0!</v>
      </c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2"/>
      <c r="T71" s="103"/>
      <c r="U71" s="103"/>
      <c r="AF71" s="3">
        <v>45355</v>
      </c>
      <c r="AG71" s="2" t="s">
        <v>72</v>
      </c>
      <c r="AS71"/>
      <c r="AT71"/>
    </row>
    <row r="72" spans="2:46" ht="18">
      <c r="B72" s="94"/>
      <c r="C72" s="95"/>
      <c r="D72" s="95"/>
      <c r="E72" s="96"/>
      <c r="F72" s="97" t="e">
        <f>Tabela27[[#This Row],[VALOR TOTAL DA COMPRA]]/Tabela27[[#This Row],[QUANT.]]</f>
        <v>#DIV/0!</v>
      </c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2"/>
      <c r="T72" s="103"/>
      <c r="U72" s="103"/>
      <c r="AF72" s="3">
        <v>45356</v>
      </c>
      <c r="AG72" s="2" t="s">
        <v>72</v>
      </c>
      <c r="AS72"/>
      <c r="AT72"/>
    </row>
    <row r="73" spans="2:46" ht="18">
      <c r="B73" s="94"/>
      <c r="C73" s="95"/>
      <c r="D73" s="95"/>
      <c r="E73" s="96"/>
      <c r="F73" s="97" t="e">
        <f>Tabela27[[#This Row],[VALOR TOTAL DA COMPRA]]/Tabela27[[#This Row],[QUANT.]]</f>
        <v>#DIV/0!</v>
      </c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2"/>
      <c r="T73" s="103"/>
      <c r="U73" s="103"/>
      <c r="AF73" s="3">
        <v>45357</v>
      </c>
      <c r="AG73" s="2" t="s">
        <v>72</v>
      </c>
      <c r="AS73"/>
      <c r="AT73"/>
    </row>
    <row r="74" spans="2:46" ht="18">
      <c r="B74" s="94"/>
      <c r="C74" s="95"/>
      <c r="D74" s="95"/>
      <c r="E74" s="96"/>
      <c r="F74" s="97" t="e">
        <f>Tabela27[[#This Row],[VALOR TOTAL DA COMPRA]]/Tabela27[[#This Row],[QUANT.]]</f>
        <v>#DIV/0!</v>
      </c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2"/>
      <c r="T74" s="103"/>
      <c r="U74" s="103"/>
      <c r="AF74" s="3">
        <v>45358</v>
      </c>
      <c r="AG74" s="2" t="s">
        <v>72</v>
      </c>
      <c r="AS74"/>
      <c r="AT74"/>
    </row>
    <row r="75" spans="2:46" ht="18">
      <c r="B75" s="94"/>
      <c r="C75" s="95"/>
      <c r="D75" s="95"/>
      <c r="E75" s="96"/>
      <c r="F75" s="97" t="e">
        <f>Tabela27[[#This Row],[VALOR TOTAL DA COMPRA]]/Tabela27[[#This Row],[QUANT.]]</f>
        <v>#DIV/0!</v>
      </c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2"/>
      <c r="T75" s="103"/>
      <c r="U75" s="103"/>
      <c r="V75" s="2"/>
      <c r="W75" s="2"/>
      <c r="AF75" s="3">
        <v>45359</v>
      </c>
      <c r="AG75" s="2" t="s">
        <v>72</v>
      </c>
      <c r="AS75"/>
      <c r="AT75"/>
    </row>
    <row r="76" spans="2:46" ht="18">
      <c r="B76" s="94"/>
      <c r="C76" s="95"/>
      <c r="D76" s="95"/>
      <c r="E76" s="96"/>
      <c r="F76" s="97" t="e">
        <f>Tabela27[[#This Row],[VALOR TOTAL DA COMPRA]]/Tabela27[[#This Row],[QUANT.]]</f>
        <v>#DIV/0!</v>
      </c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2"/>
      <c r="T76" s="103"/>
      <c r="U76" s="103"/>
      <c r="V76" s="2"/>
      <c r="W76" s="2"/>
      <c r="AF76" s="3">
        <v>45360</v>
      </c>
      <c r="AG76" s="2" t="s">
        <v>72</v>
      </c>
      <c r="AS76"/>
      <c r="AT76"/>
    </row>
    <row r="77" spans="2:46" ht="18">
      <c r="B77" s="94"/>
      <c r="C77" s="95"/>
      <c r="D77" s="95"/>
      <c r="E77" s="96"/>
      <c r="F77" s="97" t="e">
        <f>Tabela27[[#This Row],[VALOR TOTAL DA COMPRA]]/Tabela27[[#This Row],[QUANT.]]</f>
        <v>#DIV/0!</v>
      </c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2"/>
      <c r="T77" s="103"/>
      <c r="U77" s="103"/>
      <c r="V77" s="2"/>
      <c r="W77" s="2"/>
      <c r="AF77" s="3">
        <v>45361</v>
      </c>
      <c r="AG77" s="2" t="s">
        <v>72</v>
      </c>
      <c r="AS77"/>
      <c r="AT77"/>
    </row>
    <row r="78" spans="2:46" ht="18">
      <c r="B78" s="94"/>
      <c r="C78" s="95"/>
      <c r="D78" s="95"/>
      <c r="E78" s="96"/>
      <c r="F78" s="97" t="e">
        <f>Tabela27[[#This Row],[VALOR TOTAL DA COMPRA]]/Tabela27[[#This Row],[QUANT.]]</f>
        <v>#DIV/0!</v>
      </c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2"/>
      <c r="T78" s="103"/>
      <c r="U78" s="103"/>
      <c r="V78" s="2"/>
      <c r="W78" s="2"/>
      <c r="AF78" s="3">
        <v>45362</v>
      </c>
      <c r="AG78" s="2" t="s">
        <v>72</v>
      </c>
      <c r="AS78"/>
      <c r="AT78"/>
    </row>
    <row r="79" spans="2:46" ht="18">
      <c r="B79" s="94"/>
      <c r="C79" s="95"/>
      <c r="D79" s="95"/>
      <c r="E79" s="96"/>
      <c r="F79" s="97" t="e">
        <f>Tabela27[[#This Row],[VALOR TOTAL DA COMPRA]]/Tabela27[[#This Row],[QUANT.]]</f>
        <v>#DIV/0!</v>
      </c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2"/>
      <c r="T79" s="103"/>
      <c r="U79" s="103"/>
      <c r="V79" s="2"/>
      <c r="W79" s="2"/>
      <c r="AF79" s="3">
        <v>45363</v>
      </c>
      <c r="AG79" s="2" t="s">
        <v>72</v>
      </c>
      <c r="AS79"/>
      <c r="AT79"/>
    </row>
    <row r="80" spans="2:46" ht="18">
      <c r="B80" s="94"/>
      <c r="C80" s="95"/>
      <c r="D80" s="95"/>
      <c r="E80" s="96"/>
      <c r="F80" s="97" t="e">
        <f>Tabela27[[#This Row],[VALOR TOTAL DA COMPRA]]/Tabela27[[#This Row],[QUANT.]]</f>
        <v>#DIV/0!</v>
      </c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2"/>
      <c r="T80" s="103"/>
      <c r="U80" s="103"/>
      <c r="V80" s="2"/>
      <c r="W80" s="2"/>
      <c r="AF80" s="3">
        <v>45364</v>
      </c>
      <c r="AG80" s="2" t="s">
        <v>72</v>
      </c>
      <c r="AS80"/>
      <c r="AT80"/>
    </row>
    <row r="81" spans="2:46" ht="18">
      <c r="B81" s="94"/>
      <c r="C81" s="95"/>
      <c r="D81" s="95"/>
      <c r="E81" s="96"/>
      <c r="F81" s="97" t="e">
        <f>Tabela27[[#This Row],[VALOR TOTAL DA COMPRA]]/Tabela27[[#This Row],[QUANT.]]</f>
        <v>#DIV/0!</v>
      </c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2"/>
      <c r="T81" s="103"/>
      <c r="U81" s="103"/>
      <c r="V81" s="2"/>
      <c r="W81" s="2"/>
      <c r="AF81" s="3">
        <v>45365</v>
      </c>
      <c r="AG81" s="2" t="s">
        <v>72</v>
      </c>
      <c r="AS81"/>
      <c r="AT81"/>
    </row>
    <row r="82" spans="2:46" ht="18">
      <c r="B82" s="94"/>
      <c r="C82" s="95"/>
      <c r="D82" s="95"/>
      <c r="E82" s="96"/>
      <c r="F82" s="97" t="e">
        <f>Tabela27[[#This Row],[VALOR TOTAL DA COMPRA]]/Tabela27[[#This Row],[QUANT.]]</f>
        <v>#DIV/0!</v>
      </c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2"/>
      <c r="T82" s="103"/>
      <c r="U82" s="103"/>
      <c r="V82" s="2"/>
      <c r="W82" s="2"/>
      <c r="AF82" s="3">
        <v>45366</v>
      </c>
      <c r="AG82" s="2" t="s">
        <v>72</v>
      </c>
      <c r="AS82"/>
      <c r="AT82"/>
    </row>
    <row r="83" spans="2:46" ht="18">
      <c r="B83" s="94"/>
      <c r="C83" s="95"/>
      <c r="D83" s="95"/>
      <c r="E83" s="96"/>
      <c r="F83" s="97" t="e">
        <f>Tabela27[[#This Row],[VALOR TOTAL DA COMPRA]]/Tabela27[[#This Row],[QUANT.]]</f>
        <v>#DIV/0!</v>
      </c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2"/>
      <c r="T83" s="103"/>
      <c r="U83" s="103"/>
      <c r="V83" s="2"/>
      <c r="W83" s="2"/>
      <c r="AF83" s="3">
        <v>45367</v>
      </c>
      <c r="AG83" s="2" t="s">
        <v>72</v>
      </c>
      <c r="AS83"/>
      <c r="AT83"/>
    </row>
    <row r="84" spans="2:46" ht="18">
      <c r="B84" s="94"/>
      <c r="C84" s="95"/>
      <c r="D84" s="95"/>
      <c r="E84" s="96"/>
      <c r="F84" s="97" t="e">
        <f>Tabela27[[#This Row],[VALOR TOTAL DA COMPRA]]/Tabela27[[#This Row],[QUANT.]]</f>
        <v>#DIV/0!</v>
      </c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2"/>
      <c r="T84" s="103"/>
      <c r="U84" s="103"/>
      <c r="V84" s="2"/>
      <c r="W84" s="2"/>
      <c r="AF84" s="3">
        <v>45368</v>
      </c>
      <c r="AG84" s="2" t="s">
        <v>72</v>
      </c>
      <c r="AS84"/>
      <c r="AT84"/>
    </row>
    <row r="85" spans="2:46" ht="18">
      <c r="B85" s="94"/>
      <c r="C85" s="95"/>
      <c r="D85" s="95"/>
      <c r="E85" s="96"/>
      <c r="F85" s="97" t="e">
        <f>Tabela27[[#This Row],[VALOR TOTAL DA COMPRA]]/Tabela27[[#This Row],[QUANT.]]</f>
        <v>#DIV/0!</v>
      </c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2"/>
      <c r="T85" s="103"/>
      <c r="U85" s="103"/>
      <c r="V85" s="2"/>
      <c r="W85" s="2"/>
      <c r="AF85" s="3">
        <v>45369</v>
      </c>
      <c r="AG85" s="2" t="s">
        <v>72</v>
      </c>
      <c r="AS85"/>
      <c r="AT85"/>
    </row>
    <row r="86" spans="2:46" ht="18">
      <c r="B86" s="94"/>
      <c r="C86" s="95"/>
      <c r="D86" s="95"/>
      <c r="E86" s="96"/>
      <c r="F86" s="97" t="e">
        <f>Tabela27[[#This Row],[VALOR TOTAL DA COMPRA]]/Tabela27[[#This Row],[QUANT.]]</f>
        <v>#DIV/0!</v>
      </c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2"/>
      <c r="T86" s="103"/>
      <c r="U86" s="103"/>
      <c r="V86" s="2"/>
      <c r="W86" s="2"/>
      <c r="AF86" s="3">
        <v>45370</v>
      </c>
      <c r="AG86" s="2" t="s">
        <v>72</v>
      </c>
      <c r="AS86"/>
      <c r="AT86"/>
    </row>
    <row r="87" spans="2:46" ht="18">
      <c r="B87" s="94"/>
      <c r="C87" s="95"/>
      <c r="D87" s="95"/>
      <c r="E87" s="96"/>
      <c r="F87" s="97" t="e">
        <f>Tabela27[[#This Row],[VALOR TOTAL DA COMPRA]]/Tabela27[[#This Row],[QUANT.]]</f>
        <v>#DIV/0!</v>
      </c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2"/>
      <c r="T87" s="103"/>
      <c r="U87" s="103"/>
      <c r="AF87" s="3">
        <v>45371</v>
      </c>
      <c r="AG87" s="2" t="s">
        <v>72</v>
      </c>
      <c r="AS87"/>
      <c r="AT87"/>
    </row>
    <row r="88" spans="2:46" ht="18">
      <c r="B88" s="94"/>
      <c r="C88" s="95"/>
      <c r="D88" s="95"/>
      <c r="E88" s="96"/>
      <c r="F88" s="97" t="e">
        <f>Tabela27[[#This Row],[VALOR TOTAL DA COMPRA]]/Tabela27[[#This Row],[QUANT.]]</f>
        <v>#DIV/0!</v>
      </c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2"/>
      <c r="T88" s="103"/>
      <c r="U88" s="103"/>
      <c r="AF88" s="3">
        <v>45372</v>
      </c>
      <c r="AG88" s="2" t="s">
        <v>72</v>
      </c>
      <c r="AS88"/>
      <c r="AT88"/>
    </row>
    <row r="89" spans="2:46" ht="18">
      <c r="B89" s="94"/>
      <c r="C89" s="95"/>
      <c r="D89" s="95"/>
      <c r="E89" s="96"/>
      <c r="F89" s="97" t="e">
        <f>Tabela27[[#This Row],[VALOR TOTAL DA COMPRA]]/Tabela27[[#This Row],[QUANT.]]</f>
        <v>#DIV/0!</v>
      </c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2"/>
      <c r="T89" s="103"/>
      <c r="U89" s="103"/>
      <c r="AF89" s="3">
        <v>45373</v>
      </c>
      <c r="AG89" s="2" t="s">
        <v>72</v>
      </c>
      <c r="AS89"/>
      <c r="AT89"/>
    </row>
    <row r="90" spans="2:46" ht="18">
      <c r="B90" s="94"/>
      <c r="C90" s="95"/>
      <c r="D90" s="95"/>
      <c r="E90" s="96"/>
      <c r="F90" s="97" t="e">
        <f>Tabela27[[#This Row],[VALOR TOTAL DA COMPRA]]/Tabela27[[#This Row],[QUANT.]]</f>
        <v>#DIV/0!</v>
      </c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2"/>
      <c r="T90" s="103"/>
      <c r="U90" s="103"/>
      <c r="AF90" s="3">
        <v>45374</v>
      </c>
      <c r="AG90" s="2" t="s">
        <v>72</v>
      </c>
      <c r="AS90"/>
      <c r="AT90"/>
    </row>
    <row r="91" spans="2:46" ht="18">
      <c r="B91" s="94"/>
      <c r="C91" s="95"/>
      <c r="D91" s="95"/>
      <c r="E91" s="96"/>
      <c r="F91" s="97" t="e">
        <f>Tabela27[[#This Row],[VALOR TOTAL DA COMPRA]]/Tabela27[[#This Row],[QUANT.]]</f>
        <v>#DIV/0!</v>
      </c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2"/>
      <c r="T91" s="103"/>
      <c r="U91" s="103"/>
      <c r="AF91" s="3">
        <v>45375</v>
      </c>
      <c r="AG91" s="2" t="s">
        <v>72</v>
      </c>
      <c r="AS91"/>
      <c r="AT91"/>
    </row>
    <row r="92" spans="2:46" ht="18">
      <c r="B92" s="94"/>
      <c r="C92" s="95"/>
      <c r="D92" s="95"/>
      <c r="E92" s="96"/>
      <c r="F92" s="97" t="e">
        <f>Tabela27[[#This Row],[VALOR TOTAL DA COMPRA]]/Tabela27[[#This Row],[QUANT.]]</f>
        <v>#DIV/0!</v>
      </c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2"/>
      <c r="T92" s="103"/>
      <c r="U92" s="103"/>
      <c r="AF92" s="3">
        <v>45376</v>
      </c>
      <c r="AG92" s="2" t="s">
        <v>72</v>
      </c>
      <c r="AS92"/>
      <c r="AT92"/>
    </row>
    <row r="93" spans="2:46" ht="18">
      <c r="B93" s="94"/>
      <c r="C93" s="95"/>
      <c r="D93" s="95"/>
      <c r="E93" s="96"/>
      <c r="F93" s="97" t="e">
        <f>Tabela27[[#This Row],[VALOR TOTAL DA COMPRA]]/Tabela27[[#This Row],[QUANT.]]</f>
        <v>#DIV/0!</v>
      </c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2"/>
      <c r="T93" s="103"/>
      <c r="U93" s="103"/>
      <c r="AF93" s="3">
        <v>45377</v>
      </c>
      <c r="AG93" s="2" t="s">
        <v>72</v>
      </c>
      <c r="AS93"/>
      <c r="AT93"/>
    </row>
    <row r="94" spans="2:46" ht="18">
      <c r="B94" s="94"/>
      <c r="C94" s="95"/>
      <c r="D94" s="95"/>
      <c r="E94" s="96"/>
      <c r="F94" s="97" t="e">
        <f>Tabela27[[#This Row],[VALOR TOTAL DA COMPRA]]/Tabela27[[#This Row],[QUANT.]]</f>
        <v>#DIV/0!</v>
      </c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2"/>
      <c r="T94" s="103"/>
      <c r="U94" s="103"/>
      <c r="AF94" s="3">
        <v>45378</v>
      </c>
      <c r="AG94" s="2" t="s">
        <v>72</v>
      </c>
      <c r="AS94"/>
      <c r="AT94"/>
    </row>
    <row r="95" spans="2:46" ht="18">
      <c r="B95" s="94"/>
      <c r="C95" s="95"/>
      <c r="D95" s="95"/>
      <c r="E95" s="96"/>
      <c r="F95" s="97" t="e">
        <f>Tabela27[[#This Row],[VALOR TOTAL DA COMPRA]]/Tabela27[[#This Row],[QUANT.]]</f>
        <v>#DIV/0!</v>
      </c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2"/>
      <c r="T95" s="103"/>
      <c r="U95" s="103"/>
      <c r="AF95" s="3">
        <v>45379</v>
      </c>
      <c r="AG95" s="2" t="s">
        <v>72</v>
      </c>
      <c r="AS95"/>
      <c r="AT95"/>
    </row>
    <row r="96" spans="2:46" ht="18">
      <c r="B96" s="94"/>
      <c r="C96" s="95"/>
      <c r="D96" s="95"/>
      <c r="E96" s="96"/>
      <c r="F96" s="97" t="e">
        <f>Tabela27[[#This Row],[VALOR TOTAL DA COMPRA]]/Tabela27[[#This Row],[QUANT.]]</f>
        <v>#DIV/0!</v>
      </c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2"/>
      <c r="T96" s="103"/>
      <c r="U96" s="103"/>
      <c r="AF96" s="3">
        <v>45380</v>
      </c>
      <c r="AG96" s="2" t="s">
        <v>72</v>
      </c>
      <c r="AS96"/>
      <c r="AT96"/>
    </row>
    <row r="97" spans="2:46" ht="18">
      <c r="B97" s="94"/>
      <c r="C97" s="95"/>
      <c r="D97" s="95"/>
      <c r="E97" s="96"/>
      <c r="F97" s="97" t="e">
        <f>Tabela27[[#This Row],[VALOR TOTAL DA COMPRA]]/Tabela27[[#This Row],[QUANT.]]</f>
        <v>#DIV/0!</v>
      </c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2"/>
      <c r="T97" s="103"/>
      <c r="U97" s="103"/>
      <c r="AF97" s="3">
        <v>45381</v>
      </c>
      <c r="AG97" s="2" t="s">
        <v>72</v>
      </c>
      <c r="AS97"/>
      <c r="AT97"/>
    </row>
    <row r="98" spans="2:46" ht="18">
      <c r="B98" s="94"/>
      <c r="C98" s="95"/>
      <c r="D98" s="95"/>
      <c r="E98" s="96"/>
      <c r="F98" s="97" t="e">
        <f>Tabela27[[#This Row],[VALOR TOTAL DA COMPRA]]/Tabela27[[#This Row],[QUANT.]]</f>
        <v>#DIV/0!</v>
      </c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2"/>
      <c r="T98" s="103"/>
      <c r="U98" s="103"/>
      <c r="AF98" s="3">
        <v>45382</v>
      </c>
      <c r="AG98" s="2" t="s">
        <v>72</v>
      </c>
      <c r="AS98"/>
      <c r="AT98"/>
    </row>
    <row r="99" spans="2:46" ht="18">
      <c r="B99" s="94"/>
      <c r="C99" s="95"/>
      <c r="D99" s="95"/>
      <c r="E99" s="96"/>
      <c r="F99" s="97" t="e">
        <f>Tabela27[[#This Row],[VALOR TOTAL DA COMPRA]]/Tabela27[[#This Row],[QUANT.]]</f>
        <v>#DIV/0!</v>
      </c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2"/>
      <c r="T99" s="103"/>
      <c r="U99" s="103"/>
      <c r="AF99" s="3">
        <v>45383</v>
      </c>
      <c r="AG99" s="2" t="s">
        <v>73</v>
      </c>
      <c r="AS99"/>
      <c r="AT99"/>
    </row>
    <row r="100" spans="2:46" ht="18">
      <c r="B100" s="94"/>
      <c r="C100" s="95"/>
      <c r="D100" s="95"/>
      <c r="E100" s="96"/>
      <c r="F100" s="97" t="e">
        <f>Tabela27[[#This Row],[VALOR TOTAL DA COMPRA]]/Tabela27[[#This Row],[QUANT.]]</f>
        <v>#DIV/0!</v>
      </c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2"/>
      <c r="T100" s="103"/>
      <c r="U100" s="103"/>
      <c r="AF100" s="3">
        <v>45384</v>
      </c>
      <c r="AG100" s="2" t="s">
        <v>73</v>
      </c>
      <c r="AS100"/>
      <c r="AT100"/>
    </row>
    <row r="101" spans="2:46" ht="18">
      <c r="B101" s="94"/>
      <c r="C101" s="95"/>
      <c r="D101" s="95"/>
      <c r="E101" s="96"/>
      <c r="F101" s="97" t="e">
        <f>Tabela27[[#This Row],[VALOR TOTAL DA COMPRA]]/Tabela27[[#This Row],[QUANT.]]</f>
        <v>#DIV/0!</v>
      </c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2"/>
      <c r="T101" s="103"/>
      <c r="U101" s="103"/>
      <c r="AF101" s="3">
        <v>45385</v>
      </c>
      <c r="AG101" s="2" t="s">
        <v>73</v>
      </c>
      <c r="AS101"/>
      <c r="AT101"/>
    </row>
    <row r="102" spans="2:46" ht="18">
      <c r="B102" s="94"/>
      <c r="C102" s="95"/>
      <c r="D102" s="95"/>
      <c r="E102" s="96"/>
      <c r="F102" s="97" t="e">
        <f>Tabela27[[#This Row],[VALOR TOTAL DA COMPRA]]/Tabela27[[#This Row],[QUANT.]]</f>
        <v>#DIV/0!</v>
      </c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2"/>
      <c r="T102" s="103"/>
      <c r="U102" s="103"/>
      <c r="AF102" s="3">
        <v>45386</v>
      </c>
      <c r="AG102" s="2" t="s">
        <v>73</v>
      </c>
      <c r="AS102"/>
      <c r="AT102"/>
    </row>
    <row r="103" spans="2:46" ht="18">
      <c r="B103" s="94"/>
      <c r="C103" s="95"/>
      <c r="D103" s="95"/>
      <c r="E103" s="96"/>
      <c r="F103" s="97" t="e">
        <f>Tabela27[[#This Row],[VALOR TOTAL DA COMPRA]]/Tabela27[[#This Row],[QUANT.]]</f>
        <v>#DIV/0!</v>
      </c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2"/>
      <c r="T103" s="103"/>
      <c r="U103" s="103"/>
      <c r="AF103" s="3">
        <v>45387</v>
      </c>
      <c r="AG103" s="2" t="s">
        <v>73</v>
      </c>
      <c r="AS103"/>
      <c r="AT103"/>
    </row>
    <row r="104" spans="2:46" ht="18">
      <c r="B104" s="94"/>
      <c r="C104" s="95"/>
      <c r="D104" s="95"/>
      <c r="E104" s="96"/>
      <c r="F104" s="97" t="e">
        <f>Tabela27[[#This Row],[VALOR TOTAL DA COMPRA]]/Tabela27[[#This Row],[QUANT.]]</f>
        <v>#DIV/0!</v>
      </c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2"/>
      <c r="T104" s="103"/>
      <c r="U104" s="103"/>
      <c r="AF104" s="3">
        <v>45388</v>
      </c>
      <c r="AG104" s="2" t="s">
        <v>73</v>
      </c>
      <c r="AS104"/>
      <c r="AT104"/>
    </row>
    <row r="105" spans="2:46" ht="18">
      <c r="B105" s="94"/>
      <c r="C105" s="95"/>
      <c r="D105" s="95"/>
      <c r="E105" s="96"/>
      <c r="F105" s="97" t="e">
        <f>Tabela27[[#This Row],[VALOR TOTAL DA COMPRA]]/Tabela27[[#This Row],[QUANT.]]</f>
        <v>#DIV/0!</v>
      </c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2"/>
      <c r="T105" s="103"/>
      <c r="U105" s="103"/>
      <c r="AF105" s="3">
        <v>45389</v>
      </c>
      <c r="AG105" s="2" t="s">
        <v>73</v>
      </c>
      <c r="AS105"/>
      <c r="AT105"/>
    </row>
    <row r="106" spans="2:46" ht="18">
      <c r="B106" s="94"/>
      <c r="C106" s="95"/>
      <c r="D106" s="95"/>
      <c r="E106" s="96"/>
      <c r="F106" s="97" t="e">
        <f>Tabela27[[#This Row],[VALOR TOTAL DA COMPRA]]/Tabela27[[#This Row],[QUANT.]]</f>
        <v>#DIV/0!</v>
      </c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2"/>
      <c r="T106" s="103"/>
      <c r="U106" s="103"/>
      <c r="AF106" s="3">
        <v>45390</v>
      </c>
      <c r="AG106" s="2" t="s">
        <v>73</v>
      </c>
      <c r="AS106"/>
      <c r="AT106"/>
    </row>
    <row r="107" spans="2:46" ht="18">
      <c r="B107" s="94"/>
      <c r="C107" s="95"/>
      <c r="D107" s="95"/>
      <c r="E107" s="96"/>
      <c r="F107" s="97" t="e">
        <f>Tabela27[[#This Row],[VALOR TOTAL DA COMPRA]]/Tabela27[[#This Row],[QUANT.]]</f>
        <v>#DIV/0!</v>
      </c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2"/>
      <c r="T107" s="103"/>
      <c r="U107" s="103"/>
      <c r="AF107" s="3">
        <v>45391</v>
      </c>
      <c r="AG107" s="2" t="s">
        <v>73</v>
      </c>
      <c r="AS107"/>
      <c r="AT107"/>
    </row>
    <row r="108" spans="2:46" ht="18">
      <c r="B108" s="94"/>
      <c r="C108" s="95"/>
      <c r="D108" s="95"/>
      <c r="E108" s="96"/>
      <c r="F108" s="97" t="e">
        <f>Tabela27[[#This Row],[VALOR TOTAL DA COMPRA]]/Tabela27[[#This Row],[QUANT.]]</f>
        <v>#DIV/0!</v>
      </c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2"/>
      <c r="T108" s="103"/>
      <c r="U108" s="103"/>
      <c r="AF108" s="3">
        <v>45392</v>
      </c>
      <c r="AG108" s="2" t="s">
        <v>73</v>
      </c>
      <c r="AS108"/>
      <c r="AT108"/>
    </row>
    <row r="109" spans="2:46" ht="18">
      <c r="B109" s="94"/>
      <c r="C109" s="95"/>
      <c r="D109" s="95"/>
      <c r="E109" s="96"/>
      <c r="F109" s="97" t="e">
        <f>Tabela27[[#This Row],[VALOR TOTAL DA COMPRA]]/Tabela27[[#This Row],[QUANT.]]</f>
        <v>#DIV/0!</v>
      </c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2"/>
      <c r="T109" s="103"/>
      <c r="U109" s="103"/>
      <c r="AF109" s="3">
        <v>45393</v>
      </c>
      <c r="AG109" s="2" t="s">
        <v>73</v>
      </c>
      <c r="AS109"/>
      <c r="AT109"/>
    </row>
    <row r="110" spans="2:46" ht="18">
      <c r="B110" s="94"/>
      <c r="C110" s="95"/>
      <c r="D110" s="95"/>
      <c r="E110" s="96"/>
      <c r="F110" s="97" t="e">
        <f>Tabela27[[#This Row],[VALOR TOTAL DA COMPRA]]/Tabela27[[#This Row],[QUANT.]]</f>
        <v>#DIV/0!</v>
      </c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2"/>
      <c r="T110" s="103"/>
      <c r="U110" s="103"/>
      <c r="AF110" s="3">
        <v>45394</v>
      </c>
      <c r="AG110" s="2" t="s">
        <v>73</v>
      </c>
      <c r="AS110"/>
      <c r="AT110"/>
    </row>
    <row r="111" spans="2:46" ht="18">
      <c r="B111" s="94"/>
      <c r="C111" s="95"/>
      <c r="D111" s="95"/>
      <c r="E111" s="96"/>
      <c r="F111" s="97" t="e">
        <f>Tabela27[[#This Row],[VALOR TOTAL DA COMPRA]]/Tabela27[[#This Row],[QUANT.]]</f>
        <v>#DIV/0!</v>
      </c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2"/>
      <c r="T111" s="103"/>
      <c r="U111" s="103"/>
      <c r="AF111" s="3">
        <v>45395</v>
      </c>
      <c r="AG111" s="2" t="s">
        <v>73</v>
      </c>
      <c r="AS111"/>
      <c r="AT111"/>
    </row>
    <row r="112" spans="2:46" ht="18">
      <c r="B112" s="94"/>
      <c r="C112" s="95"/>
      <c r="D112" s="95"/>
      <c r="E112" s="96"/>
      <c r="F112" s="97" t="e">
        <f>Tabela27[[#This Row],[VALOR TOTAL DA COMPRA]]/Tabela27[[#This Row],[QUANT.]]</f>
        <v>#DIV/0!</v>
      </c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2"/>
      <c r="T112" s="103"/>
      <c r="U112" s="103"/>
      <c r="AF112" s="3">
        <v>45396</v>
      </c>
      <c r="AG112" s="2" t="s">
        <v>73</v>
      </c>
      <c r="AS112"/>
      <c r="AT112"/>
    </row>
    <row r="113" spans="2:46" ht="18">
      <c r="B113" s="94"/>
      <c r="C113" s="95"/>
      <c r="D113" s="95"/>
      <c r="E113" s="96"/>
      <c r="F113" s="97" t="e">
        <f>Tabela27[[#This Row],[VALOR TOTAL DA COMPRA]]/Tabela27[[#This Row],[QUANT.]]</f>
        <v>#DIV/0!</v>
      </c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2"/>
      <c r="T113" s="103"/>
      <c r="U113" s="103"/>
      <c r="AF113" s="3">
        <v>45397</v>
      </c>
      <c r="AG113" s="2" t="s">
        <v>73</v>
      </c>
      <c r="AS113"/>
      <c r="AT113"/>
    </row>
    <row r="114" spans="2:46" ht="18">
      <c r="B114" s="94"/>
      <c r="C114" s="95"/>
      <c r="D114" s="95"/>
      <c r="E114" s="96"/>
      <c r="F114" s="97" t="e">
        <f>Tabela27[[#This Row],[VALOR TOTAL DA COMPRA]]/Tabela27[[#This Row],[QUANT.]]</f>
        <v>#DIV/0!</v>
      </c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2"/>
      <c r="T114" s="103"/>
      <c r="U114" s="103"/>
      <c r="AF114" s="3">
        <v>45398</v>
      </c>
      <c r="AG114" s="2" t="s">
        <v>73</v>
      </c>
      <c r="AS114"/>
      <c r="AT114"/>
    </row>
    <row r="115" spans="2:46" ht="18">
      <c r="B115" s="94"/>
      <c r="C115" s="95"/>
      <c r="D115" s="95"/>
      <c r="E115" s="96"/>
      <c r="F115" s="97" t="e">
        <f>Tabela27[[#This Row],[VALOR TOTAL DA COMPRA]]/Tabela27[[#This Row],[QUANT.]]</f>
        <v>#DIV/0!</v>
      </c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2"/>
      <c r="T115" s="103"/>
      <c r="U115" s="103"/>
      <c r="AF115" s="3">
        <v>45399</v>
      </c>
      <c r="AG115" s="2" t="s">
        <v>73</v>
      </c>
      <c r="AS115"/>
      <c r="AT115"/>
    </row>
    <row r="116" spans="2:46" ht="18">
      <c r="B116" s="94"/>
      <c r="C116" s="95"/>
      <c r="D116" s="95"/>
      <c r="E116" s="96"/>
      <c r="F116" s="97" t="e">
        <f>Tabela27[[#This Row],[VALOR TOTAL DA COMPRA]]/Tabela27[[#This Row],[QUANT.]]</f>
        <v>#DIV/0!</v>
      </c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2"/>
      <c r="T116" s="103"/>
      <c r="U116" s="103"/>
      <c r="AF116" s="3">
        <v>45400</v>
      </c>
      <c r="AG116" s="2" t="s">
        <v>73</v>
      </c>
      <c r="AS116"/>
      <c r="AT116"/>
    </row>
    <row r="117" spans="2:46" ht="18">
      <c r="B117" s="94"/>
      <c r="C117" s="95"/>
      <c r="D117" s="95"/>
      <c r="E117" s="96"/>
      <c r="F117" s="97" t="e">
        <f>Tabela27[[#This Row],[VALOR TOTAL DA COMPRA]]/Tabela27[[#This Row],[QUANT.]]</f>
        <v>#DIV/0!</v>
      </c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2"/>
      <c r="R117" s="2"/>
      <c r="T117" s="103"/>
      <c r="U117" s="103"/>
      <c r="AF117" s="3">
        <v>45401</v>
      </c>
      <c r="AG117" s="2" t="s">
        <v>73</v>
      </c>
      <c r="AS117"/>
      <c r="AT117"/>
    </row>
    <row r="118" spans="2:46" ht="18">
      <c r="B118" s="94"/>
      <c r="C118" s="95"/>
      <c r="D118" s="95"/>
      <c r="E118" s="96"/>
      <c r="F118" s="97" t="e">
        <f>Tabela27[[#This Row],[VALOR TOTAL DA COMPRA]]/Tabela27[[#This Row],[QUANT.]]</f>
        <v>#DIV/0!</v>
      </c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2"/>
      <c r="T118" s="103"/>
      <c r="U118" s="103"/>
      <c r="AF118" s="3">
        <v>45402</v>
      </c>
      <c r="AG118" s="2" t="s">
        <v>73</v>
      </c>
      <c r="AS118"/>
      <c r="AT118"/>
    </row>
    <row r="119" spans="2:46" ht="18">
      <c r="B119" s="94"/>
      <c r="C119" s="95"/>
      <c r="D119" s="95"/>
      <c r="E119" s="96"/>
      <c r="F119" s="97" t="e">
        <f>Tabela27[[#This Row],[VALOR TOTAL DA COMPRA]]/Tabela27[[#This Row],[QUANT.]]</f>
        <v>#DIV/0!</v>
      </c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2"/>
      <c r="T119" s="103"/>
      <c r="U119" s="103"/>
      <c r="AF119" s="3">
        <v>45403</v>
      </c>
      <c r="AG119" s="2" t="s">
        <v>73</v>
      </c>
      <c r="AS119"/>
      <c r="AT119"/>
    </row>
    <row r="120" spans="2:46" ht="18">
      <c r="B120" s="94"/>
      <c r="C120" s="95"/>
      <c r="D120" s="95"/>
      <c r="E120" s="96"/>
      <c r="F120" s="97" t="e">
        <f>Tabela27[[#This Row],[VALOR TOTAL DA COMPRA]]/Tabela27[[#This Row],[QUANT.]]</f>
        <v>#DIV/0!</v>
      </c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2"/>
      <c r="T120" s="103"/>
      <c r="U120" s="103"/>
      <c r="AF120" s="3">
        <v>45404</v>
      </c>
      <c r="AG120" s="2" t="s">
        <v>73</v>
      </c>
      <c r="AS120"/>
      <c r="AT120"/>
    </row>
    <row r="121" spans="2:46" ht="18">
      <c r="B121" s="94"/>
      <c r="C121" s="95"/>
      <c r="D121" s="95"/>
      <c r="E121" s="96"/>
      <c r="F121" s="97" t="e">
        <f>Tabela27[[#This Row],[VALOR TOTAL DA COMPRA]]/Tabela27[[#This Row],[QUANT.]]</f>
        <v>#DIV/0!</v>
      </c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2"/>
      <c r="T121" s="103"/>
      <c r="U121" s="103"/>
      <c r="AF121" s="3">
        <v>45405</v>
      </c>
      <c r="AG121" s="2" t="s">
        <v>73</v>
      </c>
      <c r="AS121"/>
      <c r="AT121"/>
    </row>
    <row r="122" spans="2:46" ht="18">
      <c r="B122" s="94"/>
      <c r="C122" s="95"/>
      <c r="D122" s="95"/>
      <c r="E122" s="96"/>
      <c r="F122" s="97" t="e">
        <f>Tabela27[[#This Row],[VALOR TOTAL DA COMPRA]]/Tabela27[[#This Row],[QUANT.]]</f>
        <v>#DIV/0!</v>
      </c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2"/>
      <c r="T122" s="103"/>
      <c r="U122" s="103"/>
      <c r="AF122" s="3">
        <v>45406</v>
      </c>
      <c r="AG122" s="2" t="s">
        <v>73</v>
      </c>
      <c r="AS122"/>
      <c r="AT122"/>
    </row>
    <row r="123" spans="2:46" ht="18">
      <c r="B123" s="94"/>
      <c r="C123" s="95"/>
      <c r="D123" s="95"/>
      <c r="E123" s="96"/>
      <c r="F123" s="97" t="e">
        <f>Tabela27[[#This Row],[VALOR TOTAL DA COMPRA]]/Tabela27[[#This Row],[QUANT.]]</f>
        <v>#DIV/0!</v>
      </c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2"/>
      <c r="T123" s="103"/>
      <c r="U123" s="103"/>
      <c r="AF123" s="3">
        <v>45407</v>
      </c>
      <c r="AG123" s="2" t="s">
        <v>73</v>
      </c>
      <c r="AS123"/>
      <c r="AT123"/>
    </row>
    <row r="124" spans="2:46" ht="18">
      <c r="B124" s="94"/>
      <c r="C124" s="95"/>
      <c r="D124" s="95"/>
      <c r="E124" s="96"/>
      <c r="F124" s="97" t="e">
        <f>Tabela27[[#This Row],[VALOR TOTAL DA COMPRA]]/Tabela27[[#This Row],[QUANT.]]</f>
        <v>#DIV/0!</v>
      </c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2"/>
      <c r="T124" s="103"/>
      <c r="U124" s="103"/>
      <c r="AF124" s="3">
        <v>45408</v>
      </c>
      <c r="AG124" s="2" t="s">
        <v>73</v>
      </c>
      <c r="AS124"/>
      <c r="AT124"/>
    </row>
    <row r="125" spans="2:46" ht="18">
      <c r="B125" s="94"/>
      <c r="C125" s="95"/>
      <c r="D125" s="95"/>
      <c r="E125" s="96"/>
      <c r="F125" s="97" t="e">
        <f>Tabela27[[#This Row],[VALOR TOTAL DA COMPRA]]/Tabela27[[#This Row],[QUANT.]]</f>
        <v>#DIV/0!</v>
      </c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2"/>
      <c r="T125" s="103"/>
      <c r="U125" s="103"/>
      <c r="AF125" s="3">
        <v>45409</v>
      </c>
      <c r="AG125" s="2" t="s">
        <v>73</v>
      </c>
      <c r="AS125"/>
      <c r="AT125"/>
    </row>
    <row r="126" spans="2:46" ht="18">
      <c r="B126" s="94"/>
      <c r="C126" s="95"/>
      <c r="D126" s="95"/>
      <c r="E126" s="96"/>
      <c r="F126" s="97" t="e">
        <f>Tabela27[[#This Row],[VALOR TOTAL DA COMPRA]]/Tabela27[[#This Row],[QUANT.]]</f>
        <v>#DIV/0!</v>
      </c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2"/>
      <c r="T126" s="103"/>
      <c r="U126" s="103"/>
      <c r="AF126" s="3">
        <v>45410</v>
      </c>
      <c r="AG126" s="2" t="s">
        <v>73</v>
      </c>
      <c r="AS126"/>
      <c r="AT126"/>
    </row>
    <row r="127" spans="2:46" ht="18">
      <c r="B127" s="94"/>
      <c r="C127" s="95"/>
      <c r="D127" s="95"/>
      <c r="E127" s="96"/>
      <c r="F127" s="97" t="e">
        <f>Tabela27[[#This Row],[VALOR TOTAL DA COMPRA]]/Tabela27[[#This Row],[QUANT.]]</f>
        <v>#DIV/0!</v>
      </c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2"/>
      <c r="T127" s="103"/>
      <c r="U127" s="103"/>
      <c r="AF127" s="3">
        <v>45411</v>
      </c>
      <c r="AG127" s="2" t="s">
        <v>73</v>
      </c>
      <c r="AS127"/>
      <c r="AT127"/>
    </row>
    <row r="128" spans="2:46" ht="18">
      <c r="B128" s="94"/>
      <c r="C128" s="95"/>
      <c r="D128" s="95"/>
      <c r="E128" s="96"/>
      <c r="F128" s="97" t="e">
        <f>Tabela27[[#This Row],[VALOR TOTAL DA COMPRA]]/Tabela27[[#This Row],[QUANT.]]</f>
        <v>#DIV/0!</v>
      </c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2"/>
      <c r="T128" s="103"/>
      <c r="U128" s="103"/>
      <c r="AF128" s="3">
        <v>45412</v>
      </c>
      <c r="AG128" s="2" t="s">
        <v>73</v>
      </c>
      <c r="AS128"/>
      <c r="AT128"/>
    </row>
    <row r="129" spans="2:46" ht="18">
      <c r="B129" s="94"/>
      <c r="C129" s="95"/>
      <c r="D129" s="95"/>
      <c r="E129" s="96"/>
      <c r="F129" s="97" t="e">
        <f>Tabela27[[#This Row],[VALOR TOTAL DA COMPRA]]/Tabela27[[#This Row],[QUANT.]]</f>
        <v>#DIV/0!</v>
      </c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2"/>
      <c r="T129" s="103"/>
      <c r="U129" s="103"/>
      <c r="AF129" s="3">
        <v>45413</v>
      </c>
      <c r="AG129" s="2" t="s">
        <v>74</v>
      </c>
      <c r="AS129"/>
      <c r="AT129"/>
    </row>
    <row r="130" spans="2:46" ht="18">
      <c r="B130" s="94"/>
      <c r="C130" s="95"/>
      <c r="D130" s="95"/>
      <c r="E130" s="96"/>
      <c r="F130" s="97" t="e">
        <f>Tabela27[[#This Row],[VALOR TOTAL DA COMPRA]]/Tabela27[[#This Row],[QUANT.]]</f>
        <v>#DIV/0!</v>
      </c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2"/>
      <c r="T130" s="103"/>
      <c r="U130" s="103"/>
      <c r="AF130" s="3">
        <v>45414</v>
      </c>
      <c r="AG130" s="2" t="s">
        <v>74</v>
      </c>
      <c r="AS130"/>
      <c r="AT130"/>
    </row>
    <row r="131" spans="2:46" ht="18">
      <c r="B131" s="94"/>
      <c r="C131" s="95"/>
      <c r="D131" s="95"/>
      <c r="E131" s="96"/>
      <c r="F131" s="97" t="e">
        <f>Tabela27[[#This Row],[VALOR TOTAL DA COMPRA]]/Tabela27[[#This Row],[QUANT.]]</f>
        <v>#DIV/0!</v>
      </c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2"/>
      <c r="T131" s="103"/>
      <c r="U131" s="103"/>
      <c r="AF131" s="3">
        <v>45415</v>
      </c>
      <c r="AG131" s="2" t="s">
        <v>74</v>
      </c>
      <c r="AS131"/>
      <c r="AT131"/>
    </row>
    <row r="132" spans="2:46" ht="18">
      <c r="B132" s="94"/>
      <c r="C132" s="95"/>
      <c r="D132" s="95"/>
      <c r="E132" s="96"/>
      <c r="F132" s="97" t="e">
        <f>Tabela27[[#This Row],[VALOR TOTAL DA COMPRA]]/Tabela27[[#This Row],[QUANT.]]</f>
        <v>#DIV/0!</v>
      </c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2"/>
      <c r="T132" s="103"/>
      <c r="U132" s="103"/>
      <c r="AF132" s="3">
        <v>45416</v>
      </c>
      <c r="AG132" s="2" t="s">
        <v>74</v>
      </c>
      <c r="AS132"/>
      <c r="AT132"/>
    </row>
    <row r="133" spans="2:46" ht="18">
      <c r="B133" s="94"/>
      <c r="C133" s="95"/>
      <c r="D133" s="95"/>
      <c r="E133" s="96"/>
      <c r="F133" s="97" t="e">
        <f>Tabela27[[#This Row],[VALOR TOTAL DA COMPRA]]/Tabela27[[#This Row],[QUANT.]]</f>
        <v>#DIV/0!</v>
      </c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2"/>
      <c r="T133" s="103"/>
      <c r="U133" s="103"/>
      <c r="AF133" s="3">
        <v>45417</v>
      </c>
      <c r="AG133" s="2" t="s">
        <v>74</v>
      </c>
      <c r="AS133"/>
      <c r="AT133"/>
    </row>
    <row r="134" spans="2:46" ht="18">
      <c r="B134" s="94"/>
      <c r="C134" s="95"/>
      <c r="D134" s="95"/>
      <c r="E134" s="96"/>
      <c r="F134" s="97" t="e">
        <f>Tabela27[[#This Row],[VALOR TOTAL DA COMPRA]]/Tabela27[[#This Row],[QUANT.]]</f>
        <v>#DIV/0!</v>
      </c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2"/>
      <c r="T134" s="103"/>
      <c r="U134" s="103"/>
      <c r="AF134" s="3">
        <v>45418</v>
      </c>
      <c r="AG134" s="2" t="s">
        <v>74</v>
      </c>
      <c r="AS134"/>
      <c r="AT134"/>
    </row>
    <row r="135" spans="2:46" ht="18">
      <c r="B135" s="94"/>
      <c r="C135" s="95"/>
      <c r="D135" s="95"/>
      <c r="E135" s="96"/>
      <c r="F135" s="97" t="e">
        <f>Tabela27[[#This Row],[VALOR TOTAL DA COMPRA]]/Tabela27[[#This Row],[QUANT.]]</f>
        <v>#DIV/0!</v>
      </c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2"/>
      <c r="T135" s="103"/>
      <c r="U135" s="103"/>
      <c r="AF135" s="3">
        <v>45419</v>
      </c>
      <c r="AG135" s="2" t="s">
        <v>74</v>
      </c>
      <c r="AS135"/>
      <c r="AT135"/>
    </row>
    <row r="136" spans="2:46" ht="18">
      <c r="B136" s="94"/>
      <c r="C136" s="95"/>
      <c r="D136" s="95"/>
      <c r="E136" s="96"/>
      <c r="F136" s="97" t="e">
        <f>Tabela27[[#This Row],[VALOR TOTAL DA COMPRA]]/Tabela27[[#This Row],[QUANT.]]</f>
        <v>#DIV/0!</v>
      </c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2"/>
      <c r="T136" s="103"/>
      <c r="U136" s="103"/>
      <c r="AF136" s="3">
        <v>45420</v>
      </c>
      <c r="AG136" s="2" t="s">
        <v>74</v>
      </c>
      <c r="AS136"/>
      <c r="AT136"/>
    </row>
    <row r="137" spans="2:46" ht="18">
      <c r="B137" s="94"/>
      <c r="C137" s="95"/>
      <c r="D137" s="95"/>
      <c r="E137" s="96"/>
      <c r="F137" s="97" t="e">
        <f>Tabela27[[#This Row],[VALOR TOTAL DA COMPRA]]/Tabela27[[#This Row],[QUANT.]]</f>
        <v>#DIV/0!</v>
      </c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2"/>
      <c r="T137" s="103"/>
      <c r="U137" s="103"/>
      <c r="AF137" s="3">
        <v>45421</v>
      </c>
      <c r="AG137" s="2" t="s">
        <v>74</v>
      </c>
      <c r="AS137"/>
      <c r="AT137"/>
    </row>
    <row r="138" spans="2:46" ht="18">
      <c r="B138" s="94"/>
      <c r="C138" s="95"/>
      <c r="D138" s="95"/>
      <c r="E138" s="96"/>
      <c r="F138" s="97" t="e">
        <f>Tabela27[[#This Row],[VALOR TOTAL DA COMPRA]]/Tabela27[[#This Row],[QUANT.]]</f>
        <v>#DIV/0!</v>
      </c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2"/>
      <c r="T138" s="103"/>
      <c r="U138" s="103"/>
      <c r="AF138" s="3">
        <v>45422</v>
      </c>
      <c r="AG138" s="2" t="s">
        <v>74</v>
      </c>
      <c r="AS138"/>
      <c r="AT138"/>
    </row>
    <row r="139" spans="2:46" ht="18">
      <c r="B139" s="94"/>
      <c r="C139" s="95"/>
      <c r="D139" s="95"/>
      <c r="E139" s="96"/>
      <c r="F139" s="97" t="e">
        <f>Tabela27[[#This Row],[VALOR TOTAL DA COMPRA]]/Tabela27[[#This Row],[QUANT.]]</f>
        <v>#DIV/0!</v>
      </c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2"/>
      <c r="T139" s="103"/>
      <c r="U139" s="103"/>
      <c r="AF139" s="3">
        <v>45423</v>
      </c>
      <c r="AG139" s="2" t="s">
        <v>74</v>
      </c>
      <c r="AS139"/>
      <c r="AT139"/>
    </row>
    <row r="140" spans="2:46" ht="18">
      <c r="B140" s="94"/>
      <c r="C140" s="95"/>
      <c r="D140" s="95"/>
      <c r="E140" s="96"/>
      <c r="F140" s="97" t="e">
        <f>Tabela27[[#This Row],[VALOR TOTAL DA COMPRA]]/Tabela27[[#This Row],[QUANT.]]</f>
        <v>#DIV/0!</v>
      </c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2"/>
      <c r="T140" s="103"/>
      <c r="U140" s="103"/>
      <c r="AF140" s="3">
        <v>45424</v>
      </c>
      <c r="AG140" s="2" t="s">
        <v>74</v>
      </c>
      <c r="AS140"/>
      <c r="AT140"/>
    </row>
    <row r="141" spans="2:46" ht="18">
      <c r="B141" s="94"/>
      <c r="C141" s="95"/>
      <c r="D141" s="95"/>
      <c r="E141" s="96"/>
      <c r="F141" s="97" t="e">
        <f>Tabela27[[#This Row],[VALOR TOTAL DA COMPRA]]/Tabela27[[#This Row],[QUANT.]]</f>
        <v>#DIV/0!</v>
      </c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2"/>
      <c r="T141" s="103"/>
      <c r="U141" s="103"/>
      <c r="AF141" s="3">
        <v>45425</v>
      </c>
      <c r="AG141" s="2" t="s">
        <v>74</v>
      </c>
      <c r="AS141"/>
      <c r="AT141"/>
    </row>
    <row r="142" spans="2:46" ht="18">
      <c r="B142" s="94"/>
      <c r="C142" s="95"/>
      <c r="D142" s="95"/>
      <c r="E142" s="96"/>
      <c r="F142" s="97" t="e">
        <f>Tabela27[[#This Row],[VALOR TOTAL DA COMPRA]]/Tabela27[[#This Row],[QUANT.]]</f>
        <v>#DIV/0!</v>
      </c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2"/>
      <c r="T142" s="103"/>
      <c r="U142" s="103"/>
      <c r="AF142" s="3">
        <v>45426</v>
      </c>
      <c r="AG142" s="2" t="s">
        <v>74</v>
      </c>
      <c r="AS142"/>
      <c r="AT142"/>
    </row>
    <row r="143" spans="2:46" ht="18">
      <c r="B143" s="94"/>
      <c r="C143" s="95"/>
      <c r="D143" s="95"/>
      <c r="E143" s="96"/>
      <c r="F143" s="97" t="e">
        <f>Tabela27[[#This Row],[VALOR TOTAL DA COMPRA]]/Tabela27[[#This Row],[QUANT.]]</f>
        <v>#DIV/0!</v>
      </c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2"/>
      <c r="T143" s="103"/>
      <c r="U143" s="103"/>
      <c r="AF143" s="3">
        <v>45427</v>
      </c>
      <c r="AG143" s="2" t="s">
        <v>74</v>
      </c>
      <c r="AS143"/>
      <c r="AT143"/>
    </row>
    <row r="144" spans="2:46" ht="18">
      <c r="B144" s="94"/>
      <c r="C144" s="95"/>
      <c r="D144" s="95"/>
      <c r="E144" s="96"/>
      <c r="F144" s="97" t="e">
        <f>Tabela27[[#This Row],[VALOR TOTAL DA COMPRA]]/Tabela27[[#This Row],[QUANT.]]</f>
        <v>#DIV/0!</v>
      </c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2"/>
      <c r="T144" s="103"/>
      <c r="U144" s="103"/>
      <c r="AF144" s="3">
        <v>45428</v>
      </c>
      <c r="AG144" s="2" t="s">
        <v>74</v>
      </c>
      <c r="AS144"/>
      <c r="AT144"/>
    </row>
    <row r="145" spans="2:46" ht="18">
      <c r="B145" s="94"/>
      <c r="C145" s="95"/>
      <c r="D145" s="95"/>
      <c r="E145" s="96"/>
      <c r="F145" s="97" t="e">
        <f>Tabela27[[#This Row],[VALOR TOTAL DA COMPRA]]/Tabela27[[#This Row],[QUANT.]]</f>
        <v>#DIV/0!</v>
      </c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2"/>
      <c r="T145" s="103"/>
      <c r="U145" s="103"/>
      <c r="AF145" s="3">
        <v>45429</v>
      </c>
      <c r="AG145" s="2" t="s">
        <v>74</v>
      </c>
      <c r="AS145"/>
      <c r="AT145"/>
    </row>
    <row r="146" spans="2:46" ht="18">
      <c r="B146" s="94"/>
      <c r="C146" s="95"/>
      <c r="D146" s="95"/>
      <c r="E146" s="96"/>
      <c r="F146" s="97" t="e">
        <f>Tabela27[[#This Row],[VALOR TOTAL DA COMPRA]]/Tabela27[[#This Row],[QUANT.]]</f>
        <v>#DIV/0!</v>
      </c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2"/>
      <c r="T146" s="103"/>
      <c r="U146" s="103"/>
      <c r="AF146" s="3">
        <v>45430</v>
      </c>
      <c r="AG146" s="2" t="s">
        <v>74</v>
      </c>
      <c r="AS146"/>
      <c r="AT146"/>
    </row>
    <row r="147" spans="2:46" ht="18">
      <c r="B147" s="94"/>
      <c r="C147" s="95"/>
      <c r="D147" s="95"/>
      <c r="E147" s="96"/>
      <c r="F147" s="97" t="e">
        <f>Tabela27[[#This Row],[VALOR TOTAL DA COMPRA]]/Tabela27[[#This Row],[QUANT.]]</f>
        <v>#DIV/0!</v>
      </c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2"/>
      <c r="T147" s="103"/>
      <c r="U147" s="103"/>
      <c r="AF147" s="3">
        <v>45431</v>
      </c>
      <c r="AG147" s="2" t="s">
        <v>74</v>
      </c>
      <c r="AS147"/>
      <c r="AT147"/>
    </row>
    <row r="148" spans="2:46" ht="18">
      <c r="B148" s="94"/>
      <c r="C148" s="95"/>
      <c r="D148" s="95"/>
      <c r="E148" s="96"/>
      <c r="F148" s="97" t="e">
        <f>Tabela27[[#This Row],[VALOR TOTAL DA COMPRA]]/Tabela27[[#This Row],[QUANT.]]</f>
        <v>#DIV/0!</v>
      </c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2"/>
      <c r="T148" s="103"/>
      <c r="U148" s="103"/>
      <c r="AF148" s="3">
        <v>45432</v>
      </c>
      <c r="AG148" s="2" t="s">
        <v>74</v>
      </c>
      <c r="AS148"/>
      <c r="AT148"/>
    </row>
    <row r="149" spans="2:46" ht="18">
      <c r="B149" s="94"/>
      <c r="C149" s="95"/>
      <c r="D149" s="95"/>
      <c r="E149" s="96"/>
      <c r="F149" s="97" t="e">
        <f>Tabela27[[#This Row],[VALOR TOTAL DA COMPRA]]/Tabela27[[#This Row],[QUANT.]]</f>
        <v>#DIV/0!</v>
      </c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2"/>
      <c r="T149" s="103"/>
      <c r="U149" s="103"/>
      <c r="AF149" s="3">
        <v>45433</v>
      </c>
      <c r="AG149" s="2" t="s">
        <v>74</v>
      </c>
      <c r="AS149"/>
      <c r="AT149"/>
    </row>
    <row r="150" spans="2:46" ht="18">
      <c r="B150" s="94"/>
      <c r="C150" s="95"/>
      <c r="D150" s="95"/>
      <c r="E150" s="96"/>
      <c r="F150" s="97" t="e">
        <f>Tabela27[[#This Row],[VALOR TOTAL DA COMPRA]]/Tabela27[[#This Row],[QUANT.]]</f>
        <v>#DIV/0!</v>
      </c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2"/>
      <c r="T150" s="103"/>
      <c r="U150" s="103"/>
      <c r="AF150" s="3">
        <v>45434</v>
      </c>
      <c r="AG150" s="2" t="s">
        <v>74</v>
      </c>
      <c r="AS150"/>
      <c r="AT150"/>
    </row>
    <row r="151" spans="2:46" ht="18">
      <c r="B151" s="94"/>
      <c r="C151" s="95"/>
      <c r="D151" s="95"/>
      <c r="E151" s="96"/>
      <c r="F151" s="97" t="e">
        <f>Tabela27[[#This Row],[VALOR TOTAL DA COMPRA]]/Tabela27[[#This Row],[QUANT.]]</f>
        <v>#DIV/0!</v>
      </c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2"/>
      <c r="T151" s="103"/>
      <c r="U151" s="103"/>
      <c r="AF151" s="3">
        <v>45435</v>
      </c>
      <c r="AG151" s="2" t="s">
        <v>74</v>
      </c>
      <c r="AS151"/>
      <c r="AT151"/>
    </row>
    <row r="152" spans="2:46" ht="18">
      <c r="B152" s="94"/>
      <c r="C152" s="95"/>
      <c r="D152" s="95"/>
      <c r="E152" s="96"/>
      <c r="F152" s="97" t="e">
        <f>Tabela27[[#This Row],[VALOR TOTAL DA COMPRA]]/Tabela27[[#This Row],[QUANT.]]</f>
        <v>#DIV/0!</v>
      </c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2"/>
      <c r="T152" s="103"/>
      <c r="U152" s="103"/>
      <c r="AF152" s="3">
        <v>45436</v>
      </c>
      <c r="AG152" s="2" t="s">
        <v>74</v>
      </c>
      <c r="AS152"/>
      <c r="AT152"/>
    </row>
    <row r="153" spans="2:46" ht="18">
      <c r="B153" s="94"/>
      <c r="C153" s="95"/>
      <c r="D153" s="95"/>
      <c r="E153" s="96"/>
      <c r="F153" s="97" t="e">
        <f>Tabela27[[#This Row],[VALOR TOTAL DA COMPRA]]/Tabela27[[#This Row],[QUANT.]]</f>
        <v>#DIV/0!</v>
      </c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2"/>
      <c r="T153" s="103"/>
      <c r="U153" s="103"/>
      <c r="AF153" s="3">
        <v>45437</v>
      </c>
      <c r="AG153" s="2" t="s">
        <v>74</v>
      </c>
      <c r="AS153"/>
      <c r="AT153"/>
    </row>
    <row r="154" spans="2:46" ht="18">
      <c r="B154" s="94"/>
      <c r="C154" s="95"/>
      <c r="D154" s="95"/>
      <c r="E154" s="96"/>
      <c r="F154" s="97" t="e">
        <f>Tabela27[[#This Row],[VALOR TOTAL DA COMPRA]]/Tabela27[[#This Row],[QUANT.]]</f>
        <v>#DIV/0!</v>
      </c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2"/>
      <c r="T154" s="103"/>
      <c r="U154" s="103"/>
      <c r="AF154" s="3">
        <v>45438</v>
      </c>
      <c r="AG154" s="2" t="s">
        <v>74</v>
      </c>
      <c r="AS154"/>
      <c r="AT154"/>
    </row>
    <row r="155" spans="2:46" ht="18">
      <c r="B155" s="94"/>
      <c r="C155" s="95"/>
      <c r="D155" s="95"/>
      <c r="E155" s="96"/>
      <c r="F155" s="97" t="e">
        <f>Tabela27[[#This Row],[VALOR TOTAL DA COMPRA]]/Tabela27[[#This Row],[QUANT.]]</f>
        <v>#DIV/0!</v>
      </c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2"/>
      <c r="T155" s="103"/>
      <c r="U155" s="103"/>
      <c r="AF155" s="3">
        <v>45439</v>
      </c>
      <c r="AG155" s="2" t="s">
        <v>74</v>
      </c>
      <c r="AS155"/>
      <c r="AT155"/>
    </row>
    <row r="156" spans="2:46" ht="18">
      <c r="B156" s="94"/>
      <c r="C156" s="95"/>
      <c r="D156" s="95"/>
      <c r="E156" s="96"/>
      <c r="F156" s="97" t="e">
        <f>Tabela27[[#This Row],[VALOR TOTAL DA COMPRA]]/Tabela27[[#This Row],[QUANT.]]</f>
        <v>#DIV/0!</v>
      </c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2"/>
      <c r="T156" s="103"/>
      <c r="U156" s="103"/>
      <c r="AF156" s="3">
        <v>45440</v>
      </c>
      <c r="AG156" s="2" t="s">
        <v>74</v>
      </c>
      <c r="AS156"/>
      <c r="AT156"/>
    </row>
    <row r="157" spans="2:46" ht="18">
      <c r="B157" s="94"/>
      <c r="C157" s="95"/>
      <c r="D157" s="95"/>
      <c r="E157" s="96"/>
      <c r="F157" s="97" t="e">
        <f>Tabela27[[#This Row],[VALOR TOTAL DA COMPRA]]/Tabela27[[#This Row],[QUANT.]]</f>
        <v>#DIV/0!</v>
      </c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2"/>
      <c r="T157" s="103"/>
      <c r="U157" s="103"/>
      <c r="AF157" s="3">
        <v>45441</v>
      </c>
      <c r="AG157" s="2" t="s">
        <v>74</v>
      </c>
      <c r="AS157"/>
      <c r="AT157"/>
    </row>
    <row r="158" spans="2:46" ht="18">
      <c r="B158" s="94"/>
      <c r="C158" s="95"/>
      <c r="D158" s="95"/>
      <c r="E158" s="96"/>
      <c r="F158" s="97" t="e">
        <f>Tabela27[[#This Row],[VALOR TOTAL DA COMPRA]]/Tabela27[[#This Row],[QUANT.]]</f>
        <v>#DIV/0!</v>
      </c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2"/>
      <c r="T158" s="103"/>
      <c r="U158" s="103"/>
      <c r="AF158" s="3">
        <v>45442</v>
      </c>
      <c r="AG158" s="2" t="s">
        <v>74</v>
      </c>
      <c r="AS158"/>
      <c r="AT158"/>
    </row>
    <row r="159" spans="2:46" ht="18">
      <c r="B159" s="94"/>
      <c r="C159" s="95"/>
      <c r="D159" s="95"/>
      <c r="E159" s="96"/>
      <c r="F159" s="97" t="e">
        <f>Tabela27[[#This Row],[VALOR TOTAL DA COMPRA]]/Tabela27[[#This Row],[QUANT.]]</f>
        <v>#DIV/0!</v>
      </c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2"/>
      <c r="T159" s="103"/>
      <c r="U159" s="103"/>
      <c r="AF159" s="3">
        <v>45443</v>
      </c>
      <c r="AG159" s="2" t="s">
        <v>74</v>
      </c>
      <c r="AS159"/>
      <c r="AT159"/>
    </row>
    <row r="160" spans="2:46" ht="18">
      <c r="B160" s="94"/>
      <c r="C160" s="95"/>
      <c r="D160" s="95"/>
      <c r="E160" s="96"/>
      <c r="F160" s="97" t="e">
        <f>Tabela27[[#This Row],[VALOR TOTAL DA COMPRA]]/Tabela27[[#This Row],[QUANT.]]</f>
        <v>#DIV/0!</v>
      </c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2"/>
      <c r="T160" s="103"/>
      <c r="U160" s="103"/>
      <c r="AF160" s="3">
        <v>45444</v>
      </c>
      <c r="AG160" s="2" t="s">
        <v>75</v>
      </c>
      <c r="AS160"/>
      <c r="AT160"/>
    </row>
    <row r="161" spans="2:46" ht="18">
      <c r="B161" s="94"/>
      <c r="C161" s="95"/>
      <c r="D161" s="95"/>
      <c r="E161" s="96"/>
      <c r="F161" s="97" t="e">
        <f>Tabela27[[#This Row],[VALOR TOTAL DA COMPRA]]/Tabela27[[#This Row],[QUANT.]]</f>
        <v>#DIV/0!</v>
      </c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2"/>
      <c r="T161" s="103"/>
      <c r="U161" s="103"/>
      <c r="AF161" s="3">
        <v>45445</v>
      </c>
      <c r="AG161" s="2" t="s">
        <v>75</v>
      </c>
      <c r="AS161"/>
      <c r="AT161"/>
    </row>
    <row r="162" spans="2:46" ht="18">
      <c r="B162" s="94"/>
      <c r="C162" s="95"/>
      <c r="D162" s="95"/>
      <c r="E162" s="96"/>
      <c r="F162" s="97" t="e">
        <f>Tabela27[[#This Row],[VALOR TOTAL DA COMPRA]]/Tabela27[[#This Row],[QUANT.]]</f>
        <v>#DIV/0!</v>
      </c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2"/>
      <c r="T162" s="103"/>
      <c r="U162" s="103"/>
      <c r="AF162" s="3">
        <v>45446</v>
      </c>
      <c r="AG162" s="2" t="s">
        <v>75</v>
      </c>
      <c r="AS162"/>
      <c r="AT162"/>
    </row>
    <row r="163" spans="2:46" ht="18">
      <c r="B163" s="94"/>
      <c r="C163" s="95"/>
      <c r="D163" s="95"/>
      <c r="E163" s="96"/>
      <c r="F163" s="97" t="e">
        <f>Tabela27[[#This Row],[VALOR TOTAL DA COMPRA]]/Tabela27[[#This Row],[QUANT.]]</f>
        <v>#DIV/0!</v>
      </c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2"/>
      <c r="T163" s="103"/>
      <c r="U163" s="103"/>
      <c r="AF163" s="3">
        <v>45447</v>
      </c>
      <c r="AG163" s="2" t="s">
        <v>75</v>
      </c>
      <c r="AS163"/>
      <c r="AT163"/>
    </row>
    <row r="164" spans="2:46" ht="18">
      <c r="B164" s="94"/>
      <c r="C164" s="95"/>
      <c r="D164" s="95"/>
      <c r="E164" s="96"/>
      <c r="F164" s="97" t="e">
        <f>Tabela27[[#This Row],[VALOR TOTAL DA COMPRA]]/Tabela27[[#This Row],[QUANT.]]</f>
        <v>#DIV/0!</v>
      </c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2"/>
      <c r="T164" s="103"/>
      <c r="U164" s="103"/>
      <c r="AF164" s="3">
        <v>45448</v>
      </c>
      <c r="AG164" s="2" t="s">
        <v>75</v>
      </c>
      <c r="AS164"/>
      <c r="AT164"/>
    </row>
    <row r="165" spans="2:46" ht="18">
      <c r="B165" s="94"/>
      <c r="C165" s="95"/>
      <c r="D165" s="95"/>
      <c r="E165" s="96"/>
      <c r="F165" s="97" t="e">
        <f>Tabela27[[#This Row],[VALOR TOTAL DA COMPRA]]/Tabela27[[#This Row],[QUANT.]]</f>
        <v>#DIV/0!</v>
      </c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2"/>
      <c r="T165" s="103"/>
      <c r="U165" s="103"/>
      <c r="AF165" s="3">
        <v>45449</v>
      </c>
      <c r="AG165" s="2" t="s">
        <v>75</v>
      </c>
      <c r="AS165"/>
      <c r="AT165"/>
    </row>
    <row r="166" spans="2:46" ht="18">
      <c r="B166" s="94"/>
      <c r="C166" s="95"/>
      <c r="D166" s="95"/>
      <c r="E166" s="96"/>
      <c r="F166" s="97" t="e">
        <f>Tabela27[[#This Row],[VALOR TOTAL DA COMPRA]]/Tabela27[[#This Row],[QUANT.]]</f>
        <v>#DIV/0!</v>
      </c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2"/>
      <c r="T166" s="103"/>
      <c r="U166" s="103"/>
      <c r="AF166" s="3">
        <v>45450</v>
      </c>
      <c r="AG166" s="2" t="s">
        <v>75</v>
      </c>
      <c r="AS166"/>
      <c r="AT166"/>
    </row>
    <row r="167" spans="2:46" ht="18">
      <c r="B167" s="94"/>
      <c r="C167" s="95"/>
      <c r="D167" s="95"/>
      <c r="E167" s="96"/>
      <c r="F167" s="97" t="e">
        <f>Tabela27[[#This Row],[VALOR TOTAL DA COMPRA]]/Tabela27[[#This Row],[QUANT.]]</f>
        <v>#DIV/0!</v>
      </c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2"/>
      <c r="T167" s="103"/>
      <c r="U167" s="103"/>
      <c r="AF167" s="3">
        <v>45451</v>
      </c>
      <c r="AG167" s="2" t="s">
        <v>75</v>
      </c>
      <c r="AS167"/>
      <c r="AT167"/>
    </row>
    <row r="168" spans="2:46" ht="18">
      <c r="B168" s="94"/>
      <c r="C168" s="95"/>
      <c r="D168" s="95"/>
      <c r="E168" s="96"/>
      <c r="F168" s="97" t="e">
        <f>Tabela27[[#This Row],[VALOR TOTAL DA COMPRA]]/Tabela27[[#This Row],[QUANT.]]</f>
        <v>#DIV/0!</v>
      </c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2"/>
      <c r="T168" s="103"/>
      <c r="U168" s="103"/>
      <c r="AF168" s="3">
        <v>45452</v>
      </c>
      <c r="AG168" s="2" t="s">
        <v>75</v>
      </c>
      <c r="AS168"/>
      <c r="AT168"/>
    </row>
    <row r="169" spans="2:46" ht="18">
      <c r="B169" s="94"/>
      <c r="C169" s="95"/>
      <c r="D169" s="95"/>
      <c r="E169" s="96"/>
      <c r="F169" s="97" t="e">
        <f>Tabela27[[#This Row],[VALOR TOTAL DA COMPRA]]/Tabela27[[#This Row],[QUANT.]]</f>
        <v>#DIV/0!</v>
      </c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2"/>
      <c r="T169" s="103"/>
      <c r="U169" s="103"/>
      <c r="AF169" s="3">
        <v>45453</v>
      </c>
      <c r="AG169" s="2" t="s">
        <v>75</v>
      </c>
      <c r="AS169"/>
      <c r="AT169"/>
    </row>
    <row r="170" spans="2:46" ht="18">
      <c r="B170" s="94"/>
      <c r="C170" s="95"/>
      <c r="D170" s="95"/>
      <c r="E170" s="96"/>
      <c r="F170" s="97" t="e">
        <f>Tabela27[[#This Row],[VALOR TOTAL DA COMPRA]]/Tabela27[[#This Row],[QUANT.]]</f>
        <v>#DIV/0!</v>
      </c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2"/>
      <c r="T170" s="103"/>
      <c r="U170" s="103"/>
      <c r="AF170" s="3">
        <v>45454</v>
      </c>
      <c r="AG170" s="2" t="s">
        <v>75</v>
      </c>
      <c r="AS170"/>
      <c r="AT170"/>
    </row>
    <row r="171" spans="2:46" ht="18">
      <c r="B171" s="94"/>
      <c r="C171" s="95"/>
      <c r="D171" s="95"/>
      <c r="E171" s="96"/>
      <c r="F171" s="97" t="e">
        <f>Tabela27[[#This Row],[VALOR TOTAL DA COMPRA]]/Tabela27[[#This Row],[QUANT.]]</f>
        <v>#DIV/0!</v>
      </c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2"/>
      <c r="T171" s="103"/>
      <c r="U171" s="103"/>
      <c r="AF171" s="3">
        <v>45455</v>
      </c>
      <c r="AG171" s="2" t="s">
        <v>75</v>
      </c>
      <c r="AS171"/>
      <c r="AT171"/>
    </row>
    <row r="172" spans="2:46" ht="18">
      <c r="B172" s="94"/>
      <c r="C172" s="95"/>
      <c r="D172" s="95"/>
      <c r="E172" s="96"/>
      <c r="F172" s="97" t="e">
        <f>Tabela27[[#This Row],[VALOR TOTAL DA COMPRA]]/Tabela27[[#This Row],[QUANT.]]</f>
        <v>#DIV/0!</v>
      </c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2"/>
      <c r="T172" s="103"/>
      <c r="U172" s="103"/>
      <c r="AF172" s="3">
        <v>45456</v>
      </c>
      <c r="AG172" s="2" t="s">
        <v>75</v>
      </c>
      <c r="AS172"/>
      <c r="AT172"/>
    </row>
    <row r="173" spans="2:46" ht="18">
      <c r="B173" s="94"/>
      <c r="C173" s="95"/>
      <c r="D173" s="95"/>
      <c r="E173" s="96"/>
      <c r="F173" s="97" t="e">
        <f>Tabela27[[#This Row],[VALOR TOTAL DA COMPRA]]/Tabela27[[#This Row],[QUANT.]]</f>
        <v>#DIV/0!</v>
      </c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2"/>
      <c r="T173" s="103"/>
      <c r="U173" s="103"/>
      <c r="AF173" s="3">
        <v>45457</v>
      </c>
      <c r="AG173" s="2" t="s">
        <v>75</v>
      </c>
      <c r="AS173"/>
      <c r="AT173"/>
    </row>
    <row r="174" spans="2:46" ht="18">
      <c r="B174" s="94"/>
      <c r="C174" s="95"/>
      <c r="D174" s="95"/>
      <c r="E174" s="96"/>
      <c r="F174" s="97" t="e">
        <f>Tabela27[[#This Row],[VALOR TOTAL DA COMPRA]]/Tabela27[[#This Row],[QUANT.]]</f>
        <v>#DIV/0!</v>
      </c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2"/>
      <c r="T174" s="103"/>
      <c r="U174" s="103"/>
      <c r="AF174" s="3">
        <v>45458</v>
      </c>
      <c r="AG174" s="2" t="s">
        <v>75</v>
      </c>
      <c r="AS174"/>
      <c r="AT174"/>
    </row>
    <row r="175" spans="2:46" ht="18">
      <c r="B175" s="94"/>
      <c r="C175" s="95"/>
      <c r="D175" s="95"/>
      <c r="E175" s="96"/>
      <c r="F175" s="97" t="e">
        <f>Tabela27[[#This Row],[VALOR TOTAL DA COMPRA]]/Tabela27[[#This Row],[QUANT.]]</f>
        <v>#DIV/0!</v>
      </c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2"/>
      <c r="T175" s="103"/>
      <c r="U175" s="103"/>
      <c r="AF175" s="3">
        <v>45459</v>
      </c>
      <c r="AG175" s="2" t="s">
        <v>75</v>
      </c>
      <c r="AS175"/>
      <c r="AT175"/>
    </row>
    <row r="176" spans="2:46" ht="18">
      <c r="B176" s="94"/>
      <c r="C176" s="95"/>
      <c r="D176" s="95"/>
      <c r="E176" s="96"/>
      <c r="F176" s="97" t="e">
        <f>Tabela27[[#This Row],[VALOR TOTAL DA COMPRA]]/Tabela27[[#This Row],[QUANT.]]</f>
        <v>#DIV/0!</v>
      </c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2"/>
      <c r="T176" s="103"/>
      <c r="U176" s="103"/>
      <c r="AF176" s="3">
        <v>45460</v>
      </c>
      <c r="AG176" s="2" t="s">
        <v>75</v>
      </c>
      <c r="AS176"/>
      <c r="AT176"/>
    </row>
    <row r="177" spans="2:46" ht="18">
      <c r="B177" s="94"/>
      <c r="C177" s="95"/>
      <c r="D177" s="95"/>
      <c r="E177" s="96"/>
      <c r="F177" s="97" t="e">
        <f>Tabela27[[#This Row],[VALOR TOTAL DA COMPRA]]/Tabela27[[#This Row],[QUANT.]]</f>
        <v>#DIV/0!</v>
      </c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2"/>
      <c r="T177" s="103"/>
      <c r="U177" s="103"/>
      <c r="AF177" s="3">
        <v>45461</v>
      </c>
      <c r="AG177" s="2" t="s">
        <v>75</v>
      </c>
      <c r="AS177"/>
      <c r="AT177"/>
    </row>
    <row r="178" spans="2:46" ht="18">
      <c r="B178" s="94"/>
      <c r="C178" s="95"/>
      <c r="D178" s="95"/>
      <c r="E178" s="96"/>
      <c r="F178" s="97" t="e">
        <f>Tabela27[[#This Row],[VALOR TOTAL DA COMPRA]]/Tabela27[[#This Row],[QUANT.]]</f>
        <v>#DIV/0!</v>
      </c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2"/>
      <c r="T178" s="103"/>
      <c r="U178" s="103"/>
      <c r="AF178" s="3">
        <v>45462</v>
      </c>
      <c r="AG178" s="2" t="s">
        <v>75</v>
      </c>
      <c r="AS178"/>
      <c r="AT178"/>
    </row>
    <row r="179" spans="2:46" ht="18">
      <c r="B179" s="94"/>
      <c r="C179" s="95"/>
      <c r="D179" s="95"/>
      <c r="E179" s="96"/>
      <c r="F179" s="97" t="e">
        <f>Tabela27[[#This Row],[VALOR TOTAL DA COMPRA]]/Tabela27[[#This Row],[QUANT.]]</f>
        <v>#DIV/0!</v>
      </c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2"/>
      <c r="T179" s="103"/>
      <c r="U179" s="103"/>
      <c r="AF179" s="3">
        <v>45463</v>
      </c>
      <c r="AG179" s="2" t="s">
        <v>75</v>
      </c>
      <c r="AS179"/>
      <c r="AT179"/>
    </row>
    <row r="180" spans="2:46" ht="18">
      <c r="B180" s="94"/>
      <c r="C180" s="95"/>
      <c r="D180" s="95"/>
      <c r="E180" s="96"/>
      <c r="F180" s="97" t="e">
        <f>Tabela27[[#This Row],[VALOR TOTAL DA COMPRA]]/Tabela27[[#This Row],[QUANT.]]</f>
        <v>#DIV/0!</v>
      </c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2"/>
      <c r="T180" s="103"/>
      <c r="U180" s="103"/>
      <c r="AF180" s="3">
        <v>45464</v>
      </c>
      <c r="AG180" s="2" t="s">
        <v>75</v>
      </c>
      <c r="AS180"/>
      <c r="AT180"/>
    </row>
    <row r="181" spans="2:46" ht="18">
      <c r="B181" s="94"/>
      <c r="C181" s="95"/>
      <c r="D181" s="95"/>
      <c r="E181" s="96"/>
      <c r="F181" s="97" t="e">
        <f>Tabela27[[#This Row],[VALOR TOTAL DA COMPRA]]/Tabela27[[#This Row],[QUANT.]]</f>
        <v>#DIV/0!</v>
      </c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2"/>
      <c r="T181" s="103"/>
      <c r="U181" s="103"/>
      <c r="AF181" s="3">
        <v>45465</v>
      </c>
      <c r="AG181" s="2" t="s">
        <v>75</v>
      </c>
      <c r="AS181"/>
      <c r="AT181"/>
    </row>
    <row r="182" spans="2:46" ht="18">
      <c r="B182" s="94"/>
      <c r="C182" s="95"/>
      <c r="D182" s="95"/>
      <c r="E182" s="96"/>
      <c r="F182" s="97" t="e">
        <f>Tabela27[[#This Row],[VALOR TOTAL DA COMPRA]]/Tabela27[[#This Row],[QUANT.]]</f>
        <v>#DIV/0!</v>
      </c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2"/>
      <c r="T182" s="103"/>
      <c r="U182" s="103"/>
      <c r="AF182" s="3">
        <v>45466</v>
      </c>
      <c r="AG182" s="2" t="s">
        <v>75</v>
      </c>
      <c r="AS182"/>
      <c r="AT182"/>
    </row>
    <row r="183" spans="2:46" ht="18">
      <c r="B183" s="94"/>
      <c r="C183" s="95"/>
      <c r="D183" s="95"/>
      <c r="E183" s="96"/>
      <c r="F183" s="97" t="e">
        <f>Tabela27[[#This Row],[VALOR TOTAL DA COMPRA]]/Tabela27[[#This Row],[QUANT.]]</f>
        <v>#DIV/0!</v>
      </c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2"/>
      <c r="T183" s="103"/>
      <c r="U183" s="103"/>
      <c r="AF183" s="3">
        <v>45467</v>
      </c>
      <c r="AG183" s="2" t="s">
        <v>75</v>
      </c>
      <c r="AS183"/>
      <c r="AT183"/>
    </row>
    <row r="184" spans="2:46" ht="18">
      <c r="B184" s="94"/>
      <c r="C184" s="95"/>
      <c r="D184" s="95"/>
      <c r="E184" s="96"/>
      <c r="F184" s="97" t="e">
        <f>Tabela27[[#This Row],[VALOR TOTAL DA COMPRA]]/Tabela27[[#This Row],[QUANT.]]</f>
        <v>#DIV/0!</v>
      </c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2"/>
      <c r="T184" s="103"/>
      <c r="U184" s="103"/>
      <c r="AF184" s="3">
        <v>45468</v>
      </c>
      <c r="AG184" s="2" t="s">
        <v>75</v>
      </c>
      <c r="AS184"/>
      <c r="AT184"/>
    </row>
    <row r="185" spans="2:46" ht="18">
      <c r="B185" s="94"/>
      <c r="C185" s="95"/>
      <c r="D185" s="95"/>
      <c r="E185" s="96"/>
      <c r="F185" s="97" t="e">
        <f>Tabela27[[#This Row],[VALOR TOTAL DA COMPRA]]/Tabela27[[#This Row],[QUANT.]]</f>
        <v>#DIV/0!</v>
      </c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2"/>
      <c r="T185" s="103"/>
      <c r="U185" s="103"/>
      <c r="AF185" s="3">
        <v>45469</v>
      </c>
      <c r="AG185" s="2" t="s">
        <v>75</v>
      </c>
      <c r="AS185"/>
      <c r="AT185"/>
    </row>
    <row r="186" spans="2:46" ht="18">
      <c r="B186" s="94"/>
      <c r="C186" s="95"/>
      <c r="D186" s="95"/>
      <c r="E186" s="96"/>
      <c r="F186" s="97" t="e">
        <f>Tabela27[[#This Row],[VALOR TOTAL DA COMPRA]]/Tabela27[[#This Row],[QUANT.]]</f>
        <v>#DIV/0!</v>
      </c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2"/>
      <c r="T186" s="103"/>
      <c r="U186" s="103"/>
      <c r="AF186" s="3">
        <v>45470</v>
      </c>
      <c r="AG186" s="2" t="s">
        <v>75</v>
      </c>
      <c r="AS186"/>
      <c r="AT186"/>
    </row>
    <row r="187" spans="2:46" ht="18">
      <c r="B187" s="94"/>
      <c r="C187" s="95"/>
      <c r="D187" s="95"/>
      <c r="E187" s="96"/>
      <c r="F187" s="97" t="e">
        <f>Tabela27[[#This Row],[VALOR TOTAL DA COMPRA]]/Tabela27[[#This Row],[QUANT.]]</f>
        <v>#DIV/0!</v>
      </c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2"/>
      <c r="T187" s="103"/>
      <c r="U187" s="103"/>
      <c r="AF187" s="3">
        <v>45471</v>
      </c>
      <c r="AG187" s="2" t="s">
        <v>75</v>
      </c>
      <c r="AS187"/>
      <c r="AT187"/>
    </row>
    <row r="188" spans="2:46" ht="18">
      <c r="B188" s="94"/>
      <c r="C188" s="95"/>
      <c r="D188" s="95"/>
      <c r="E188" s="96"/>
      <c r="F188" s="97" t="e">
        <f>Tabela27[[#This Row],[VALOR TOTAL DA COMPRA]]/Tabela27[[#This Row],[QUANT.]]</f>
        <v>#DIV/0!</v>
      </c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2"/>
      <c r="T188" s="103"/>
      <c r="U188" s="103"/>
      <c r="AF188" s="3">
        <v>45472</v>
      </c>
      <c r="AG188" s="2" t="s">
        <v>75</v>
      </c>
      <c r="AS188"/>
      <c r="AT188"/>
    </row>
    <row r="189" spans="2:46" ht="18">
      <c r="B189" s="94"/>
      <c r="C189" s="95"/>
      <c r="D189" s="95"/>
      <c r="E189" s="96"/>
      <c r="F189" s="97" t="e">
        <f>Tabela27[[#This Row],[VALOR TOTAL DA COMPRA]]/Tabela27[[#This Row],[QUANT.]]</f>
        <v>#DIV/0!</v>
      </c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2"/>
      <c r="T189" s="103"/>
      <c r="U189" s="103"/>
      <c r="AF189" s="3">
        <v>45473</v>
      </c>
      <c r="AG189" s="2" t="s">
        <v>75</v>
      </c>
      <c r="AS189"/>
      <c r="AT189"/>
    </row>
    <row r="190" spans="2:46" ht="18">
      <c r="B190" s="94"/>
      <c r="C190" s="95"/>
      <c r="D190" s="95"/>
      <c r="E190" s="96"/>
      <c r="F190" s="97" t="e">
        <f>Tabela27[[#This Row],[VALOR TOTAL DA COMPRA]]/Tabela27[[#This Row],[QUANT.]]</f>
        <v>#DIV/0!</v>
      </c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2"/>
      <c r="T190" s="103"/>
      <c r="U190" s="103"/>
      <c r="AF190" s="3">
        <v>45474</v>
      </c>
      <c r="AG190" s="2" t="s">
        <v>67</v>
      </c>
      <c r="AS190"/>
      <c r="AT190"/>
    </row>
    <row r="191" spans="2:46" ht="18">
      <c r="B191" s="94"/>
      <c r="C191" s="95"/>
      <c r="D191" s="95"/>
      <c r="E191" s="96"/>
      <c r="F191" s="97" t="e">
        <f>Tabela27[[#This Row],[VALOR TOTAL DA COMPRA]]/Tabela27[[#This Row],[QUANT.]]</f>
        <v>#DIV/0!</v>
      </c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2"/>
      <c r="T191" s="103"/>
      <c r="U191" s="103"/>
      <c r="AF191" s="3">
        <v>45475</v>
      </c>
      <c r="AG191" s="2" t="s">
        <v>67</v>
      </c>
      <c r="AS191"/>
      <c r="AT191"/>
    </row>
    <row r="192" spans="2:46" ht="18">
      <c r="B192" s="94"/>
      <c r="C192" s="95"/>
      <c r="D192" s="95"/>
      <c r="E192" s="96"/>
      <c r="F192" s="97" t="e">
        <f>Tabela27[[#This Row],[VALOR TOTAL DA COMPRA]]/Tabela27[[#This Row],[QUANT.]]</f>
        <v>#DIV/0!</v>
      </c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2"/>
      <c r="T192" s="103"/>
      <c r="U192" s="103"/>
      <c r="AF192" s="3">
        <v>45476</v>
      </c>
      <c r="AG192" s="2" t="s">
        <v>67</v>
      </c>
      <c r="AS192"/>
      <c r="AT192"/>
    </row>
    <row r="193" spans="2:46" ht="18">
      <c r="B193" s="94"/>
      <c r="C193" s="95"/>
      <c r="D193" s="95"/>
      <c r="E193" s="96"/>
      <c r="F193" s="97" t="e">
        <f>Tabela27[[#This Row],[VALOR TOTAL DA COMPRA]]/Tabela27[[#This Row],[QUANT.]]</f>
        <v>#DIV/0!</v>
      </c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2"/>
      <c r="T193" s="103"/>
      <c r="U193" s="103"/>
      <c r="AF193" s="3">
        <v>45477</v>
      </c>
      <c r="AG193" s="2" t="s">
        <v>67</v>
      </c>
      <c r="AS193"/>
      <c r="AT193"/>
    </row>
    <row r="194" spans="2:46" ht="18">
      <c r="B194" s="94"/>
      <c r="C194" s="95"/>
      <c r="D194" s="95"/>
      <c r="E194" s="96"/>
      <c r="F194" s="97" t="e">
        <f>Tabela27[[#This Row],[VALOR TOTAL DA COMPRA]]/Tabela27[[#This Row],[QUANT.]]</f>
        <v>#DIV/0!</v>
      </c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2"/>
      <c r="T194" s="103"/>
      <c r="U194" s="103"/>
      <c r="AF194" s="3">
        <v>45478</v>
      </c>
      <c r="AG194" s="2" t="s">
        <v>67</v>
      </c>
      <c r="AS194"/>
      <c r="AT194"/>
    </row>
    <row r="195" spans="2:46" ht="18">
      <c r="B195" s="94"/>
      <c r="C195" s="95"/>
      <c r="D195" s="95"/>
      <c r="E195" s="96"/>
      <c r="F195" s="97" t="e">
        <f>Tabela27[[#This Row],[VALOR TOTAL DA COMPRA]]/Tabela27[[#This Row],[QUANT.]]</f>
        <v>#DIV/0!</v>
      </c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2"/>
      <c r="T195" s="103"/>
      <c r="U195" s="103"/>
      <c r="AF195" s="3">
        <v>45479</v>
      </c>
      <c r="AG195" s="2" t="s">
        <v>67</v>
      </c>
      <c r="AS195"/>
      <c r="AT195"/>
    </row>
    <row r="196" spans="2:46" ht="18">
      <c r="B196" s="94"/>
      <c r="C196" s="95"/>
      <c r="D196" s="95"/>
      <c r="E196" s="96"/>
      <c r="F196" s="97" t="e">
        <f>Tabela27[[#This Row],[VALOR TOTAL DA COMPRA]]/Tabela27[[#This Row],[QUANT.]]</f>
        <v>#DIV/0!</v>
      </c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2"/>
      <c r="T196" s="103"/>
      <c r="U196" s="103"/>
      <c r="AF196" s="3">
        <v>45480</v>
      </c>
      <c r="AG196" s="2" t="s">
        <v>67</v>
      </c>
      <c r="AS196"/>
      <c r="AT196"/>
    </row>
    <row r="197" spans="2:46" ht="18">
      <c r="B197" s="94"/>
      <c r="C197" s="95"/>
      <c r="D197" s="95"/>
      <c r="E197" s="96"/>
      <c r="F197" s="97" t="e">
        <f>Tabela27[[#This Row],[VALOR TOTAL DA COMPRA]]/Tabela27[[#This Row],[QUANT.]]</f>
        <v>#DIV/0!</v>
      </c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2"/>
      <c r="T197" s="103"/>
      <c r="U197" s="103"/>
      <c r="AF197" s="3">
        <v>45481</v>
      </c>
      <c r="AG197" s="2" t="s">
        <v>67</v>
      </c>
      <c r="AS197"/>
      <c r="AT197"/>
    </row>
    <row r="198" spans="2:46" ht="18">
      <c r="B198" s="94"/>
      <c r="C198" s="95"/>
      <c r="D198" s="95"/>
      <c r="E198" s="96"/>
      <c r="F198" s="97" t="e">
        <f>Tabela27[[#This Row],[VALOR TOTAL DA COMPRA]]/Tabela27[[#This Row],[QUANT.]]</f>
        <v>#DIV/0!</v>
      </c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2"/>
      <c r="T198" s="103"/>
      <c r="U198" s="103"/>
      <c r="AF198" s="3">
        <v>45482</v>
      </c>
      <c r="AG198" s="2" t="s">
        <v>67</v>
      </c>
      <c r="AS198"/>
      <c r="AT198"/>
    </row>
    <row r="199" spans="2:46" ht="18">
      <c r="B199" s="94"/>
      <c r="C199" s="95"/>
      <c r="D199" s="95"/>
      <c r="E199" s="96"/>
      <c r="F199" s="97" t="e">
        <f>Tabela27[[#This Row],[VALOR TOTAL DA COMPRA]]/Tabela27[[#This Row],[QUANT.]]</f>
        <v>#DIV/0!</v>
      </c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2"/>
      <c r="T199" s="103"/>
      <c r="U199" s="103"/>
      <c r="AF199" s="3">
        <v>45483</v>
      </c>
      <c r="AG199" s="2" t="s">
        <v>67</v>
      </c>
      <c r="AS199"/>
      <c r="AT199"/>
    </row>
    <row r="200" spans="2:46" ht="18">
      <c r="B200" s="94"/>
      <c r="C200" s="95"/>
      <c r="D200" s="95"/>
      <c r="E200" s="96"/>
      <c r="F200" s="97" t="e">
        <f>Tabela27[[#This Row],[VALOR TOTAL DA COMPRA]]/Tabela27[[#This Row],[QUANT.]]</f>
        <v>#DIV/0!</v>
      </c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2"/>
      <c r="T200" s="103"/>
      <c r="U200" s="103"/>
      <c r="AF200" s="3">
        <v>45484</v>
      </c>
      <c r="AG200" s="2" t="s">
        <v>67</v>
      </c>
      <c r="AS200"/>
      <c r="AT200"/>
    </row>
    <row r="201" spans="2:46" ht="18">
      <c r="B201" s="94"/>
      <c r="C201" s="95"/>
      <c r="D201" s="95"/>
      <c r="E201" s="96"/>
      <c r="F201" s="97" t="e">
        <f>Tabela27[[#This Row],[VALOR TOTAL DA COMPRA]]/Tabela27[[#This Row],[QUANT.]]</f>
        <v>#DIV/0!</v>
      </c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2"/>
      <c r="T201" s="103"/>
      <c r="U201" s="103"/>
      <c r="AF201" s="3">
        <v>45485</v>
      </c>
      <c r="AG201" s="2" t="s">
        <v>67</v>
      </c>
      <c r="AS201"/>
      <c r="AT201"/>
    </row>
    <row r="202" spans="2:46" ht="18">
      <c r="B202" s="94"/>
      <c r="C202" s="95"/>
      <c r="D202" s="95"/>
      <c r="E202" s="96"/>
      <c r="F202" s="97" t="e">
        <f>Tabela27[[#This Row],[VALOR TOTAL DA COMPRA]]/Tabela27[[#This Row],[QUANT.]]</f>
        <v>#DIV/0!</v>
      </c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2"/>
      <c r="T202" s="103"/>
      <c r="U202" s="103"/>
      <c r="AF202" s="3">
        <v>45486</v>
      </c>
      <c r="AG202" s="2" t="s">
        <v>67</v>
      </c>
      <c r="AS202"/>
      <c r="AT202"/>
    </row>
    <row r="203" spans="2:46" ht="18">
      <c r="B203" s="94"/>
      <c r="C203" s="95"/>
      <c r="D203" s="95"/>
      <c r="E203" s="96"/>
      <c r="F203" s="97" t="e">
        <f>Tabela27[[#This Row],[VALOR TOTAL DA COMPRA]]/Tabela27[[#This Row],[QUANT.]]</f>
        <v>#DIV/0!</v>
      </c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2"/>
      <c r="T203" s="103"/>
      <c r="U203" s="103"/>
      <c r="AF203" s="3">
        <v>45487</v>
      </c>
      <c r="AG203" s="2" t="s">
        <v>67</v>
      </c>
      <c r="AS203"/>
      <c r="AT203"/>
    </row>
    <row r="204" spans="2:46" ht="18">
      <c r="B204" s="94"/>
      <c r="C204" s="95"/>
      <c r="D204" s="95"/>
      <c r="E204" s="96"/>
      <c r="F204" s="97" t="e">
        <f>Tabela27[[#This Row],[VALOR TOTAL DA COMPRA]]/Tabela27[[#This Row],[QUANT.]]</f>
        <v>#DIV/0!</v>
      </c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2"/>
      <c r="T204" s="103"/>
      <c r="U204" s="103"/>
      <c r="AF204" s="3">
        <v>45488</v>
      </c>
      <c r="AG204" s="2" t="s">
        <v>67</v>
      </c>
      <c r="AS204"/>
      <c r="AT204"/>
    </row>
    <row r="205" spans="2:46" ht="18">
      <c r="B205" s="94"/>
      <c r="C205" s="95"/>
      <c r="D205" s="95"/>
      <c r="E205" s="96"/>
      <c r="F205" s="97" t="e">
        <f>Tabela27[[#This Row],[VALOR TOTAL DA COMPRA]]/Tabela27[[#This Row],[QUANT.]]</f>
        <v>#DIV/0!</v>
      </c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2"/>
      <c r="T205" s="103"/>
      <c r="U205" s="103"/>
      <c r="AF205" s="3">
        <v>45489</v>
      </c>
      <c r="AG205" s="2" t="s">
        <v>67</v>
      </c>
      <c r="AS205"/>
      <c r="AT205"/>
    </row>
    <row r="206" spans="2:46" ht="18">
      <c r="B206" s="94"/>
      <c r="C206" s="95"/>
      <c r="D206" s="95"/>
      <c r="E206" s="96"/>
      <c r="F206" s="97" t="e">
        <f>Tabela27[[#This Row],[VALOR TOTAL DA COMPRA]]/Tabela27[[#This Row],[QUANT.]]</f>
        <v>#DIV/0!</v>
      </c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2"/>
      <c r="T206" s="103"/>
      <c r="U206" s="103"/>
      <c r="AF206" s="3">
        <v>45490</v>
      </c>
      <c r="AG206" s="2" t="s">
        <v>67</v>
      </c>
      <c r="AS206"/>
      <c r="AT206"/>
    </row>
    <row r="207" spans="2:46" ht="18">
      <c r="B207" s="94"/>
      <c r="C207" s="95"/>
      <c r="D207" s="95"/>
      <c r="E207" s="96"/>
      <c r="F207" s="97" t="e">
        <f>Tabela27[[#This Row],[VALOR TOTAL DA COMPRA]]/Tabela27[[#This Row],[QUANT.]]</f>
        <v>#DIV/0!</v>
      </c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2"/>
      <c r="T207" s="103"/>
      <c r="U207" s="103"/>
      <c r="AF207" s="3">
        <v>45491</v>
      </c>
      <c r="AG207" s="2" t="s">
        <v>67</v>
      </c>
      <c r="AS207"/>
      <c r="AT207"/>
    </row>
    <row r="208" spans="2:46" ht="18">
      <c r="B208" s="94"/>
      <c r="C208" s="95"/>
      <c r="D208" s="95"/>
      <c r="E208" s="96"/>
      <c r="F208" s="97" t="e">
        <f>Tabela27[[#This Row],[VALOR TOTAL DA COMPRA]]/Tabela27[[#This Row],[QUANT.]]</f>
        <v>#DIV/0!</v>
      </c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2"/>
      <c r="T208" s="103"/>
      <c r="U208" s="103"/>
      <c r="AF208" s="3">
        <v>45492</v>
      </c>
      <c r="AG208" s="2" t="s">
        <v>67</v>
      </c>
      <c r="AS208"/>
      <c r="AT208"/>
    </row>
    <row r="209" spans="2:46" ht="18">
      <c r="B209" s="94"/>
      <c r="C209" s="95"/>
      <c r="D209" s="95"/>
      <c r="E209" s="96"/>
      <c r="F209" s="97" t="e">
        <f>Tabela27[[#This Row],[VALOR TOTAL DA COMPRA]]/Tabela27[[#This Row],[QUANT.]]</f>
        <v>#DIV/0!</v>
      </c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2"/>
      <c r="T209" s="103"/>
      <c r="U209" s="103"/>
      <c r="AF209" s="3">
        <v>45493</v>
      </c>
      <c r="AG209" s="2" t="s">
        <v>67</v>
      </c>
      <c r="AS209"/>
      <c r="AT209"/>
    </row>
    <row r="210" spans="2:46" ht="18">
      <c r="B210" s="94"/>
      <c r="C210" s="95"/>
      <c r="D210" s="95"/>
      <c r="E210" s="96"/>
      <c r="F210" s="97" t="e">
        <f>Tabela27[[#This Row],[VALOR TOTAL DA COMPRA]]/Tabela27[[#This Row],[QUANT.]]</f>
        <v>#DIV/0!</v>
      </c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2"/>
      <c r="T210" s="103"/>
      <c r="U210" s="103"/>
      <c r="AF210" s="3">
        <v>45494</v>
      </c>
      <c r="AG210" s="2" t="s">
        <v>67</v>
      </c>
      <c r="AS210"/>
      <c r="AT210"/>
    </row>
    <row r="211" spans="2:46" ht="18">
      <c r="B211" s="94"/>
      <c r="C211" s="95"/>
      <c r="D211" s="95"/>
      <c r="E211" s="96"/>
      <c r="F211" s="97" t="e">
        <f>Tabela27[[#This Row],[VALOR TOTAL DA COMPRA]]/Tabela27[[#This Row],[QUANT.]]</f>
        <v>#DIV/0!</v>
      </c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2"/>
      <c r="T211" s="103"/>
      <c r="U211" s="103"/>
      <c r="AF211" s="3">
        <v>45495</v>
      </c>
      <c r="AG211" s="2" t="s">
        <v>67</v>
      </c>
      <c r="AS211"/>
      <c r="AT211"/>
    </row>
    <row r="212" spans="2:46" ht="18">
      <c r="B212" s="94"/>
      <c r="C212" s="95"/>
      <c r="D212" s="95"/>
      <c r="E212" s="96"/>
      <c r="F212" s="97" t="e">
        <f>Tabela27[[#This Row],[VALOR TOTAL DA COMPRA]]/Tabela27[[#This Row],[QUANT.]]</f>
        <v>#DIV/0!</v>
      </c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2"/>
      <c r="T212" s="103"/>
      <c r="U212" s="103"/>
      <c r="AF212" s="3">
        <v>45496</v>
      </c>
      <c r="AG212" s="2" t="s">
        <v>67</v>
      </c>
      <c r="AS212"/>
      <c r="AT212"/>
    </row>
    <row r="213" spans="2:46" ht="18">
      <c r="B213" s="94"/>
      <c r="C213" s="95"/>
      <c r="D213" s="95"/>
      <c r="E213" s="96"/>
      <c r="F213" s="97" t="e">
        <f>Tabela27[[#This Row],[VALOR TOTAL DA COMPRA]]/Tabela27[[#This Row],[QUANT.]]</f>
        <v>#DIV/0!</v>
      </c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2"/>
      <c r="T213" s="103"/>
      <c r="U213" s="103"/>
      <c r="AF213" s="3">
        <v>45497</v>
      </c>
      <c r="AG213" s="2" t="s">
        <v>67</v>
      </c>
      <c r="AS213"/>
      <c r="AT213"/>
    </row>
    <row r="214" spans="2:46" ht="18">
      <c r="B214" s="94"/>
      <c r="C214" s="95"/>
      <c r="D214" s="95"/>
      <c r="E214" s="96"/>
      <c r="F214" s="97" t="e">
        <f>Tabela27[[#This Row],[VALOR TOTAL DA COMPRA]]/Tabela27[[#This Row],[QUANT.]]</f>
        <v>#DIV/0!</v>
      </c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2"/>
      <c r="T214" s="103"/>
      <c r="U214" s="103"/>
      <c r="AF214" s="3">
        <v>45498</v>
      </c>
      <c r="AG214" s="2" t="s">
        <v>67</v>
      </c>
      <c r="AS214"/>
      <c r="AT214"/>
    </row>
    <row r="215" spans="2:46" ht="18">
      <c r="B215" s="94"/>
      <c r="C215" s="95"/>
      <c r="D215" s="95"/>
      <c r="E215" s="96"/>
      <c r="F215" s="97" t="e">
        <f>Tabela27[[#This Row],[VALOR TOTAL DA COMPRA]]/Tabela27[[#This Row],[QUANT.]]</f>
        <v>#DIV/0!</v>
      </c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2"/>
      <c r="T215" s="103"/>
      <c r="U215" s="103"/>
      <c r="AF215" s="3">
        <v>45499</v>
      </c>
      <c r="AG215" s="2" t="s">
        <v>67</v>
      </c>
      <c r="AS215"/>
      <c r="AT215"/>
    </row>
    <row r="216" spans="2:46" ht="18">
      <c r="B216" s="94"/>
      <c r="C216" s="95"/>
      <c r="D216" s="95"/>
      <c r="E216" s="96"/>
      <c r="F216" s="97" t="e">
        <f>Tabela27[[#This Row],[VALOR TOTAL DA COMPRA]]/Tabela27[[#This Row],[QUANT.]]</f>
        <v>#DIV/0!</v>
      </c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2"/>
      <c r="T216" s="103"/>
      <c r="U216" s="103"/>
      <c r="AF216" s="3">
        <v>45500</v>
      </c>
      <c r="AG216" s="2" t="s">
        <v>67</v>
      </c>
      <c r="AS216"/>
      <c r="AT216"/>
    </row>
    <row r="217" spans="2:46" ht="18">
      <c r="B217" s="94"/>
      <c r="C217" s="95"/>
      <c r="D217" s="95"/>
      <c r="E217" s="96"/>
      <c r="F217" s="97" t="e">
        <f>Tabela27[[#This Row],[VALOR TOTAL DA COMPRA]]/Tabela27[[#This Row],[QUANT.]]</f>
        <v>#DIV/0!</v>
      </c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2"/>
      <c r="T217" s="103"/>
      <c r="U217" s="103"/>
      <c r="AF217" s="3">
        <v>45501</v>
      </c>
      <c r="AG217" s="2" t="s">
        <v>67</v>
      </c>
      <c r="AS217"/>
      <c r="AT217"/>
    </row>
    <row r="218" spans="2:46" ht="18">
      <c r="B218" s="94"/>
      <c r="C218" s="95"/>
      <c r="D218" s="95"/>
      <c r="E218" s="96"/>
      <c r="F218" s="97" t="e">
        <f>Tabela27[[#This Row],[VALOR TOTAL DA COMPRA]]/Tabela27[[#This Row],[QUANT.]]</f>
        <v>#DIV/0!</v>
      </c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2"/>
      <c r="T218" s="103"/>
      <c r="U218" s="103"/>
      <c r="AF218" s="3">
        <v>45502</v>
      </c>
      <c r="AG218" s="2" t="s">
        <v>67</v>
      </c>
      <c r="AS218"/>
      <c r="AT218"/>
    </row>
    <row r="219" spans="2:46" ht="18">
      <c r="B219" s="94"/>
      <c r="C219" s="95"/>
      <c r="D219" s="95"/>
      <c r="E219" s="96"/>
      <c r="F219" s="97" t="e">
        <f>Tabela27[[#This Row],[VALOR TOTAL DA COMPRA]]/Tabela27[[#This Row],[QUANT.]]</f>
        <v>#DIV/0!</v>
      </c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2"/>
      <c r="T219" s="103"/>
      <c r="U219" s="103"/>
      <c r="AF219" s="3">
        <v>45503</v>
      </c>
      <c r="AG219" s="2" t="s">
        <v>67</v>
      </c>
      <c r="AS219"/>
      <c r="AT219"/>
    </row>
    <row r="220" spans="2:46" ht="18">
      <c r="B220" s="94"/>
      <c r="C220" s="95"/>
      <c r="D220" s="95"/>
      <c r="E220" s="96"/>
      <c r="F220" s="97" t="e">
        <f>Tabela27[[#This Row],[VALOR TOTAL DA COMPRA]]/Tabela27[[#This Row],[QUANT.]]</f>
        <v>#DIV/0!</v>
      </c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2"/>
      <c r="T220" s="103"/>
      <c r="U220" s="103"/>
      <c r="AF220" s="3">
        <v>45504</v>
      </c>
      <c r="AG220" s="2" t="s">
        <v>67</v>
      </c>
      <c r="AS220"/>
      <c r="AT220"/>
    </row>
    <row r="221" spans="2:46" ht="18">
      <c r="B221" s="94"/>
      <c r="C221" s="95"/>
      <c r="D221" s="95"/>
      <c r="E221" s="96"/>
      <c r="F221" s="97" t="e">
        <f>Tabela27[[#This Row],[VALOR TOTAL DA COMPRA]]/Tabela27[[#This Row],[QUANT.]]</f>
        <v>#DIV/0!</v>
      </c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2"/>
      <c r="T221" s="103"/>
      <c r="U221" s="103"/>
      <c r="AF221" s="3">
        <v>45505</v>
      </c>
      <c r="AG221" s="2" t="s">
        <v>70</v>
      </c>
      <c r="AS221"/>
      <c r="AT221"/>
    </row>
    <row r="222" spans="2:46" ht="18">
      <c r="B222" s="94"/>
      <c r="C222" s="95"/>
      <c r="D222" s="95"/>
      <c r="E222" s="96"/>
      <c r="F222" s="97" t="e">
        <f>Tabela27[[#This Row],[VALOR TOTAL DA COMPRA]]/Tabela27[[#This Row],[QUANT.]]</f>
        <v>#DIV/0!</v>
      </c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2"/>
      <c r="T222" s="103"/>
      <c r="U222" s="103"/>
      <c r="AF222" s="3">
        <v>45506</v>
      </c>
      <c r="AG222" s="2" t="s">
        <v>70</v>
      </c>
      <c r="AS222"/>
      <c r="AT222"/>
    </row>
    <row r="223" spans="2:46" ht="18">
      <c r="B223" s="94"/>
      <c r="C223" s="95"/>
      <c r="D223" s="95"/>
      <c r="E223" s="96"/>
      <c r="F223" s="97" t="e">
        <f>Tabela27[[#This Row],[VALOR TOTAL DA COMPRA]]/Tabela27[[#This Row],[QUANT.]]</f>
        <v>#DIV/0!</v>
      </c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2"/>
      <c r="T223" s="103"/>
      <c r="U223" s="103"/>
      <c r="AF223" s="3">
        <v>45507</v>
      </c>
      <c r="AG223" s="2" t="s">
        <v>70</v>
      </c>
      <c r="AS223"/>
      <c r="AT223"/>
    </row>
    <row r="224" spans="2:46" ht="18">
      <c r="B224" s="94"/>
      <c r="C224" s="95"/>
      <c r="D224" s="95"/>
      <c r="E224" s="96"/>
      <c r="F224" s="97" t="e">
        <f>Tabela27[[#This Row],[VALOR TOTAL DA COMPRA]]/Tabela27[[#This Row],[QUANT.]]</f>
        <v>#DIV/0!</v>
      </c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2"/>
      <c r="T224" s="103"/>
      <c r="U224" s="103"/>
      <c r="AF224" s="3">
        <v>45508</v>
      </c>
      <c r="AG224" s="2" t="s">
        <v>70</v>
      </c>
      <c r="AS224"/>
      <c r="AT224"/>
    </row>
    <row r="225" spans="2:46" ht="18">
      <c r="B225" s="94"/>
      <c r="C225" s="95"/>
      <c r="D225" s="95"/>
      <c r="E225" s="96"/>
      <c r="F225" s="97" t="e">
        <f>Tabela27[[#This Row],[VALOR TOTAL DA COMPRA]]/Tabela27[[#This Row],[QUANT.]]</f>
        <v>#DIV/0!</v>
      </c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2"/>
      <c r="T225" s="103"/>
      <c r="U225" s="103"/>
      <c r="AF225" s="3">
        <v>45509</v>
      </c>
      <c r="AG225" s="2" t="s">
        <v>70</v>
      </c>
      <c r="AS225"/>
      <c r="AT225"/>
    </row>
    <row r="226" spans="2:46" ht="18">
      <c r="B226" s="94"/>
      <c r="C226" s="95"/>
      <c r="D226" s="95"/>
      <c r="E226" s="96"/>
      <c r="F226" s="97" t="e">
        <f>Tabela27[[#This Row],[VALOR TOTAL DA COMPRA]]/Tabela27[[#This Row],[QUANT.]]</f>
        <v>#DIV/0!</v>
      </c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2"/>
      <c r="T226" s="103"/>
      <c r="U226" s="103"/>
      <c r="AF226" s="3">
        <v>45510</v>
      </c>
      <c r="AG226" s="2" t="s">
        <v>70</v>
      </c>
      <c r="AS226"/>
      <c r="AT226"/>
    </row>
    <row r="227" spans="2:46" ht="18">
      <c r="B227" s="94"/>
      <c r="C227" s="95"/>
      <c r="D227" s="95"/>
      <c r="E227" s="96"/>
      <c r="F227" s="97" t="e">
        <f>Tabela27[[#This Row],[VALOR TOTAL DA COMPRA]]/Tabela27[[#This Row],[QUANT.]]</f>
        <v>#DIV/0!</v>
      </c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2"/>
      <c r="T227" s="103"/>
      <c r="U227" s="103"/>
      <c r="AF227" s="3">
        <v>45511</v>
      </c>
      <c r="AG227" s="2" t="s">
        <v>70</v>
      </c>
      <c r="AS227"/>
      <c r="AT227"/>
    </row>
    <row r="228" spans="2:46" ht="18">
      <c r="B228" s="94"/>
      <c r="C228" s="95"/>
      <c r="D228" s="95"/>
      <c r="E228" s="96"/>
      <c r="F228" s="97" t="e">
        <f>Tabela27[[#This Row],[VALOR TOTAL DA COMPRA]]/Tabela27[[#This Row],[QUANT.]]</f>
        <v>#DIV/0!</v>
      </c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2"/>
      <c r="T228" s="103"/>
      <c r="U228" s="103"/>
      <c r="AF228" s="3">
        <v>45512</v>
      </c>
      <c r="AG228" s="2" t="s">
        <v>70</v>
      </c>
      <c r="AS228"/>
      <c r="AT228"/>
    </row>
    <row r="229" spans="2:46" ht="18">
      <c r="B229" s="94"/>
      <c r="C229" s="95"/>
      <c r="D229" s="95"/>
      <c r="E229" s="96"/>
      <c r="F229" s="97" t="e">
        <f>Tabela27[[#This Row],[VALOR TOTAL DA COMPRA]]/Tabela27[[#This Row],[QUANT.]]</f>
        <v>#DIV/0!</v>
      </c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2"/>
      <c r="T229" s="103"/>
      <c r="U229" s="103"/>
      <c r="AF229" s="3">
        <v>45513</v>
      </c>
      <c r="AG229" s="2" t="s">
        <v>70</v>
      </c>
      <c r="AS229"/>
      <c r="AT229"/>
    </row>
    <row r="230" spans="2:46" ht="18">
      <c r="B230" s="94"/>
      <c r="C230" s="95"/>
      <c r="D230" s="95"/>
      <c r="E230" s="96"/>
      <c r="F230" s="97" t="e">
        <f>Tabela27[[#This Row],[VALOR TOTAL DA COMPRA]]/Tabela27[[#This Row],[QUANT.]]</f>
        <v>#DIV/0!</v>
      </c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2"/>
      <c r="T230" s="103"/>
      <c r="U230" s="103"/>
      <c r="AF230" s="3">
        <v>45514</v>
      </c>
      <c r="AG230" s="2" t="s">
        <v>70</v>
      </c>
      <c r="AS230"/>
      <c r="AT230"/>
    </row>
    <row r="231" spans="2:46" ht="18">
      <c r="B231" s="94"/>
      <c r="C231" s="95"/>
      <c r="D231" s="95"/>
      <c r="E231" s="96"/>
      <c r="F231" s="97" t="e">
        <f>Tabela27[[#This Row],[VALOR TOTAL DA COMPRA]]/Tabela27[[#This Row],[QUANT.]]</f>
        <v>#DIV/0!</v>
      </c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2"/>
      <c r="T231" s="103"/>
      <c r="U231" s="103"/>
      <c r="AF231" s="3">
        <v>45515</v>
      </c>
      <c r="AG231" s="2" t="s">
        <v>70</v>
      </c>
      <c r="AS231"/>
      <c r="AT231"/>
    </row>
    <row r="232" spans="2:46" ht="18">
      <c r="B232" s="94"/>
      <c r="C232" s="95"/>
      <c r="D232" s="95"/>
      <c r="E232" s="96"/>
      <c r="F232" s="97" t="e">
        <f>Tabela27[[#This Row],[VALOR TOTAL DA COMPRA]]/Tabela27[[#This Row],[QUANT.]]</f>
        <v>#DIV/0!</v>
      </c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2"/>
      <c r="T232" s="103"/>
      <c r="U232" s="103"/>
      <c r="AF232" s="3">
        <v>45516</v>
      </c>
      <c r="AG232" s="2" t="s">
        <v>70</v>
      </c>
      <c r="AS232"/>
      <c r="AT232"/>
    </row>
    <row r="233" spans="2:46" ht="18">
      <c r="B233" s="94"/>
      <c r="C233" s="95"/>
      <c r="D233" s="95"/>
      <c r="E233" s="96"/>
      <c r="F233" s="97" t="e">
        <f>Tabela27[[#This Row],[VALOR TOTAL DA COMPRA]]/Tabela27[[#This Row],[QUANT.]]</f>
        <v>#DIV/0!</v>
      </c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2"/>
      <c r="T233" s="103"/>
      <c r="U233" s="103"/>
      <c r="AF233" s="3">
        <v>45517</v>
      </c>
      <c r="AG233" s="2" t="s">
        <v>70</v>
      </c>
      <c r="AS233"/>
      <c r="AT233"/>
    </row>
    <row r="234" spans="2:46" ht="18">
      <c r="B234" s="94"/>
      <c r="C234" s="95"/>
      <c r="D234" s="95"/>
      <c r="E234" s="96"/>
      <c r="F234" s="97" t="e">
        <f>Tabela27[[#This Row],[VALOR TOTAL DA COMPRA]]/Tabela27[[#This Row],[QUANT.]]</f>
        <v>#DIV/0!</v>
      </c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2"/>
      <c r="T234" s="103"/>
      <c r="U234" s="103"/>
      <c r="AF234" s="3">
        <v>45518</v>
      </c>
      <c r="AG234" s="2" t="s">
        <v>70</v>
      </c>
      <c r="AS234"/>
      <c r="AT234"/>
    </row>
    <row r="235" spans="2:46" ht="18">
      <c r="B235" s="94"/>
      <c r="C235" s="95"/>
      <c r="D235" s="95"/>
      <c r="E235" s="96"/>
      <c r="F235" s="97" t="e">
        <f>Tabela27[[#This Row],[VALOR TOTAL DA COMPRA]]/Tabela27[[#This Row],[QUANT.]]</f>
        <v>#DIV/0!</v>
      </c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2"/>
      <c r="T235" s="103"/>
      <c r="U235" s="103"/>
      <c r="AF235" s="3">
        <v>45519</v>
      </c>
      <c r="AG235" s="2" t="s">
        <v>70</v>
      </c>
      <c r="AS235"/>
      <c r="AT235"/>
    </row>
    <row r="236" spans="2:46" ht="18">
      <c r="B236" s="94"/>
      <c r="C236" s="95"/>
      <c r="D236" s="95"/>
      <c r="E236" s="96"/>
      <c r="F236" s="97" t="e">
        <f>Tabela27[[#This Row],[VALOR TOTAL DA COMPRA]]/Tabela27[[#This Row],[QUANT.]]</f>
        <v>#DIV/0!</v>
      </c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2"/>
      <c r="T236" s="103"/>
      <c r="U236" s="103"/>
      <c r="AF236" s="3">
        <v>45520</v>
      </c>
      <c r="AG236" s="2" t="s">
        <v>70</v>
      </c>
      <c r="AS236"/>
      <c r="AT236"/>
    </row>
    <row r="237" spans="2:46" ht="18">
      <c r="B237" s="94"/>
      <c r="C237" s="95"/>
      <c r="D237" s="95"/>
      <c r="E237" s="96"/>
      <c r="F237" s="97" t="e">
        <f>Tabela27[[#This Row],[VALOR TOTAL DA COMPRA]]/Tabela27[[#This Row],[QUANT.]]</f>
        <v>#DIV/0!</v>
      </c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2"/>
      <c r="T237" s="103"/>
      <c r="U237" s="103"/>
      <c r="AF237" s="3">
        <v>45521</v>
      </c>
      <c r="AG237" s="2" t="s">
        <v>70</v>
      </c>
      <c r="AS237"/>
      <c r="AT237"/>
    </row>
    <row r="238" spans="2:46" ht="18">
      <c r="B238" s="94"/>
      <c r="C238" s="95"/>
      <c r="D238" s="95"/>
      <c r="E238" s="96"/>
      <c r="F238" s="97" t="e">
        <f>Tabela27[[#This Row],[VALOR TOTAL DA COMPRA]]/Tabela27[[#This Row],[QUANT.]]</f>
        <v>#DIV/0!</v>
      </c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2"/>
      <c r="T238" s="103"/>
      <c r="U238" s="103"/>
      <c r="AF238" s="3">
        <v>45522</v>
      </c>
      <c r="AG238" s="2" t="s">
        <v>70</v>
      </c>
      <c r="AS238"/>
      <c r="AT238"/>
    </row>
    <row r="239" spans="2:46" ht="18">
      <c r="B239" s="94"/>
      <c r="C239" s="95"/>
      <c r="D239" s="95"/>
      <c r="E239" s="96"/>
      <c r="F239" s="97" t="e">
        <f>Tabela27[[#This Row],[VALOR TOTAL DA COMPRA]]/Tabela27[[#This Row],[QUANT.]]</f>
        <v>#DIV/0!</v>
      </c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2"/>
      <c r="T239" s="103"/>
      <c r="U239" s="103"/>
      <c r="AF239" s="3">
        <v>45523</v>
      </c>
      <c r="AG239" s="2" t="s">
        <v>70</v>
      </c>
      <c r="AS239"/>
      <c r="AT239"/>
    </row>
    <row r="240" spans="2:46" ht="18">
      <c r="B240" s="94"/>
      <c r="C240" s="95"/>
      <c r="D240" s="95"/>
      <c r="E240" s="96"/>
      <c r="F240" s="97" t="e">
        <f>Tabela27[[#This Row],[VALOR TOTAL DA COMPRA]]/Tabela27[[#This Row],[QUANT.]]</f>
        <v>#DIV/0!</v>
      </c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2"/>
      <c r="T240" s="103"/>
      <c r="U240" s="103"/>
      <c r="AF240" s="3">
        <v>45524</v>
      </c>
      <c r="AG240" s="2" t="s">
        <v>70</v>
      </c>
      <c r="AS240"/>
      <c r="AT240"/>
    </row>
    <row r="241" spans="2:46" ht="18">
      <c r="B241" s="94"/>
      <c r="C241" s="95"/>
      <c r="D241" s="95"/>
      <c r="E241" s="96"/>
      <c r="F241" s="97" t="e">
        <f>Tabela27[[#This Row],[VALOR TOTAL DA COMPRA]]/Tabela27[[#This Row],[QUANT.]]</f>
        <v>#DIV/0!</v>
      </c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2"/>
      <c r="T241" s="103"/>
      <c r="U241" s="103"/>
      <c r="AF241" s="3">
        <v>45525</v>
      </c>
      <c r="AG241" s="2" t="s">
        <v>70</v>
      </c>
      <c r="AS241"/>
      <c r="AT241"/>
    </row>
    <row r="242" spans="2:46" ht="18">
      <c r="B242" s="94"/>
      <c r="C242" s="95"/>
      <c r="D242" s="95"/>
      <c r="E242" s="96"/>
      <c r="F242" s="97" t="e">
        <f>Tabela27[[#This Row],[VALOR TOTAL DA COMPRA]]/Tabela27[[#This Row],[QUANT.]]</f>
        <v>#DIV/0!</v>
      </c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2"/>
      <c r="T242" s="103"/>
      <c r="U242" s="103"/>
      <c r="AF242" s="3">
        <v>45526</v>
      </c>
      <c r="AG242" s="2" t="s">
        <v>70</v>
      </c>
      <c r="AS242"/>
      <c r="AT242"/>
    </row>
    <row r="243" spans="2:46" ht="18">
      <c r="B243" s="94"/>
      <c r="C243" s="95"/>
      <c r="D243" s="95"/>
      <c r="E243" s="96"/>
      <c r="F243" s="97" t="e">
        <f>Tabela27[[#This Row],[VALOR TOTAL DA COMPRA]]/Tabela27[[#This Row],[QUANT.]]</f>
        <v>#DIV/0!</v>
      </c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2"/>
      <c r="T243" s="103"/>
      <c r="U243" s="103"/>
      <c r="AF243" s="3">
        <v>45527</v>
      </c>
      <c r="AG243" s="2" t="s">
        <v>70</v>
      </c>
      <c r="AS243"/>
      <c r="AT243"/>
    </row>
    <row r="244" spans="2:46" ht="18">
      <c r="B244" s="94"/>
      <c r="C244" s="95"/>
      <c r="D244" s="95"/>
      <c r="E244" s="96"/>
      <c r="F244" s="97" t="e">
        <f>Tabela27[[#This Row],[VALOR TOTAL DA COMPRA]]/Tabela27[[#This Row],[QUANT.]]</f>
        <v>#DIV/0!</v>
      </c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2"/>
      <c r="T244" s="103"/>
      <c r="U244" s="103"/>
      <c r="AF244" s="3">
        <v>45528</v>
      </c>
      <c r="AG244" s="2" t="s">
        <v>70</v>
      </c>
      <c r="AS244"/>
      <c r="AT244"/>
    </row>
    <row r="245" spans="2:46" ht="18">
      <c r="B245" s="94"/>
      <c r="C245" s="95"/>
      <c r="D245" s="95"/>
      <c r="E245" s="96"/>
      <c r="F245" s="97" t="e">
        <f>Tabela27[[#This Row],[VALOR TOTAL DA COMPRA]]/Tabela27[[#This Row],[QUANT.]]</f>
        <v>#DIV/0!</v>
      </c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2"/>
      <c r="T245" s="103"/>
      <c r="U245" s="103"/>
      <c r="AF245" s="3">
        <v>45529</v>
      </c>
      <c r="AG245" s="2" t="s">
        <v>70</v>
      </c>
      <c r="AS245"/>
      <c r="AT245"/>
    </row>
    <row r="246" spans="2:46" ht="18">
      <c r="B246" s="94"/>
      <c r="C246" s="95"/>
      <c r="D246" s="95"/>
      <c r="E246" s="96"/>
      <c r="F246" s="97" t="e">
        <f>Tabela27[[#This Row],[VALOR TOTAL DA COMPRA]]/Tabela27[[#This Row],[QUANT.]]</f>
        <v>#DIV/0!</v>
      </c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2"/>
      <c r="T246" s="103"/>
      <c r="U246" s="103"/>
      <c r="AF246" s="3">
        <v>45530</v>
      </c>
      <c r="AG246" s="2" t="s">
        <v>70</v>
      </c>
      <c r="AS246"/>
      <c r="AT246"/>
    </row>
    <row r="247" spans="2:46" ht="18">
      <c r="B247" s="94"/>
      <c r="C247" s="95"/>
      <c r="D247" s="95"/>
      <c r="E247" s="96"/>
      <c r="F247" s="97" t="e">
        <f>Tabela27[[#This Row],[VALOR TOTAL DA COMPRA]]/Tabela27[[#This Row],[QUANT.]]</f>
        <v>#DIV/0!</v>
      </c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2"/>
      <c r="T247" s="103"/>
      <c r="U247" s="103"/>
      <c r="AF247" s="3">
        <v>45531</v>
      </c>
      <c r="AG247" s="2" t="s">
        <v>70</v>
      </c>
      <c r="AS247"/>
      <c r="AT247"/>
    </row>
    <row r="248" spans="2:46" ht="18">
      <c r="B248" s="94"/>
      <c r="C248" s="95"/>
      <c r="D248" s="95"/>
      <c r="E248" s="96"/>
      <c r="F248" s="97" t="e">
        <f>Tabela27[[#This Row],[VALOR TOTAL DA COMPRA]]/Tabela27[[#This Row],[QUANT.]]</f>
        <v>#DIV/0!</v>
      </c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2"/>
      <c r="T248" s="103"/>
      <c r="U248" s="103"/>
      <c r="AF248" s="3">
        <v>45532</v>
      </c>
      <c r="AG248" s="2" t="s">
        <v>70</v>
      </c>
      <c r="AS248"/>
      <c r="AT248"/>
    </row>
    <row r="249" spans="2:46" ht="18">
      <c r="B249" s="94"/>
      <c r="C249" s="95"/>
      <c r="D249" s="95"/>
      <c r="E249" s="96"/>
      <c r="F249" s="97" t="e">
        <f>Tabela27[[#This Row],[VALOR TOTAL DA COMPRA]]/Tabela27[[#This Row],[QUANT.]]</f>
        <v>#DIV/0!</v>
      </c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2"/>
      <c r="T249" s="103"/>
      <c r="U249" s="103"/>
      <c r="AF249" s="3">
        <v>45533</v>
      </c>
      <c r="AG249" s="2" t="s">
        <v>70</v>
      </c>
      <c r="AS249"/>
      <c r="AT249"/>
    </row>
    <row r="250" spans="2:46" ht="18">
      <c r="B250" s="94"/>
      <c r="C250" s="95"/>
      <c r="D250" s="95"/>
      <c r="E250" s="96"/>
      <c r="F250" s="97" t="e">
        <f>Tabela27[[#This Row],[VALOR TOTAL DA COMPRA]]/Tabela27[[#This Row],[QUANT.]]</f>
        <v>#DIV/0!</v>
      </c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2"/>
      <c r="T250" s="103"/>
      <c r="U250" s="103"/>
      <c r="AF250" s="3">
        <v>45534</v>
      </c>
      <c r="AG250" s="2" t="s">
        <v>70</v>
      </c>
      <c r="AS250"/>
      <c r="AT250"/>
    </row>
    <row r="251" spans="2:46" ht="18">
      <c r="B251" s="94"/>
      <c r="C251" s="95"/>
      <c r="D251" s="95"/>
      <c r="E251" s="96"/>
      <c r="F251" s="97" t="e">
        <f>Tabela27[[#This Row],[VALOR TOTAL DA COMPRA]]/Tabela27[[#This Row],[QUANT.]]</f>
        <v>#DIV/0!</v>
      </c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2"/>
      <c r="T251" s="103"/>
      <c r="U251" s="103"/>
      <c r="AF251" s="3">
        <v>45535</v>
      </c>
      <c r="AG251" s="2" t="s">
        <v>70</v>
      </c>
      <c r="AS251"/>
      <c r="AT251"/>
    </row>
    <row r="252" spans="2:46" ht="18">
      <c r="B252" s="94"/>
      <c r="C252" s="95"/>
      <c r="D252" s="95"/>
      <c r="E252" s="96"/>
      <c r="F252" s="97" t="e">
        <f>Tabela27[[#This Row],[VALOR TOTAL DA COMPRA]]/Tabela27[[#This Row],[QUANT.]]</f>
        <v>#DIV/0!</v>
      </c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2"/>
      <c r="T252" s="103"/>
      <c r="U252" s="103"/>
      <c r="AF252" s="3">
        <v>45536</v>
      </c>
      <c r="AG252" s="2" t="s">
        <v>76</v>
      </c>
      <c r="AS252"/>
      <c r="AT252"/>
    </row>
    <row r="253" spans="2:46" ht="18">
      <c r="B253" s="94"/>
      <c r="C253" s="95"/>
      <c r="D253" s="95"/>
      <c r="E253" s="96"/>
      <c r="F253" s="97" t="e">
        <f>Tabela27[[#This Row],[VALOR TOTAL DA COMPRA]]/Tabela27[[#This Row],[QUANT.]]</f>
        <v>#DIV/0!</v>
      </c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2"/>
      <c r="T253" s="103"/>
      <c r="U253" s="103"/>
      <c r="AF253" s="3">
        <v>45537</v>
      </c>
      <c r="AG253" s="2" t="s">
        <v>76</v>
      </c>
      <c r="AS253"/>
      <c r="AT253"/>
    </row>
    <row r="254" spans="2:46" ht="18">
      <c r="B254" s="94"/>
      <c r="C254" s="95"/>
      <c r="D254" s="95"/>
      <c r="E254" s="96"/>
      <c r="F254" s="97" t="e">
        <f>Tabela27[[#This Row],[VALOR TOTAL DA COMPRA]]/Tabela27[[#This Row],[QUANT.]]</f>
        <v>#DIV/0!</v>
      </c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2"/>
      <c r="T254" s="103"/>
      <c r="U254" s="103"/>
      <c r="AF254" s="3">
        <v>45538</v>
      </c>
      <c r="AG254" s="2" t="s">
        <v>76</v>
      </c>
      <c r="AS254"/>
      <c r="AT254"/>
    </row>
    <row r="255" spans="2:46" ht="18">
      <c r="B255" s="94"/>
      <c r="C255" s="95"/>
      <c r="D255" s="95"/>
      <c r="E255" s="96"/>
      <c r="F255" s="97" t="e">
        <f>Tabela27[[#This Row],[VALOR TOTAL DA COMPRA]]/Tabela27[[#This Row],[QUANT.]]</f>
        <v>#DIV/0!</v>
      </c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2"/>
      <c r="T255" s="103"/>
      <c r="U255" s="103"/>
      <c r="AF255" s="3">
        <v>45539</v>
      </c>
      <c r="AG255" s="2" t="s">
        <v>76</v>
      </c>
      <c r="AS255"/>
      <c r="AT255"/>
    </row>
    <row r="256" spans="2:46" ht="18">
      <c r="B256" s="94"/>
      <c r="C256" s="95"/>
      <c r="D256" s="95"/>
      <c r="E256" s="96"/>
      <c r="F256" s="97" t="e">
        <f>Tabela27[[#This Row],[VALOR TOTAL DA COMPRA]]/Tabela27[[#This Row],[QUANT.]]</f>
        <v>#DIV/0!</v>
      </c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2"/>
      <c r="T256" s="103"/>
      <c r="U256" s="103"/>
      <c r="AF256" s="3">
        <v>45540</v>
      </c>
      <c r="AG256" s="2" t="s">
        <v>76</v>
      </c>
      <c r="AS256"/>
      <c r="AT256"/>
    </row>
    <row r="257" spans="2:46" ht="18">
      <c r="B257" s="94"/>
      <c r="C257" s="95"/>
      <c r="D257" s="95"/>
      <c r="E257" s="96"/>
      <c r="F257" s="97" t="e">
        <f>Tabela27[[#This Row],[VALOR TOTAL DA COMPRA]]/Tabela27[[#This Row],[QUANT.]]</f>
        <v>#DIV/0!</v>
      </c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2"/>
      <c r="T257" s="103"/>
      <c r="U257" s="103"/>
      <c r="AF257" s="3">
        <v>45541</v>
      </c>
      <c r="AG257" s="2" t="s">
        <v>76</v>
      </c>
      <c r="AS257"/>
      <c r="AT257"/>
    </row>
    <row r="258" spans="2:46" ht="18">
      <c r="B258" s="94"/>
      <c r="C258" s="95"/>
      <c r="D258" s="95"/>
      <c r="E258" s="96"/>
      <c r="F258" s="97" t="e">
        <f>Tabela27[[#This Row],[VALOR TOTAL DA COMPRA]]/Tabela27[[#This Row],[QUANT.]]</f>
        <v>#DIV/0!</v>
      </c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2"/>
      <c r="T258" s="103"/>
      <c r="U258" s="103"/>
      <c r="AF258" s="3">
        <v>45542</v>
      </c>
      <c r="AG258" s="2" t="s">
        <v>76</v>
      </c>
      <c r="AS258"/>
      <c r="AT258"/>
    </row>
    <row r="259" spans="2:46" ht="18">
      <c r="B259" s="94"/>
      <c r="C259" s="95"/>
      <c r="D259" s="95"/>
      <c r="E259" s="96"/>
      <c r="F259" s="97" t="e">
        <f>Tabela27[[#This Row],[VALOR TOTAL DA COMPRA]]/Tabela27[[#This Row],[QUANT.]]</f>
        <v>#DIV/0!</v>
      </c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2"/>
      <c r="T259" s="103"/>
      <c r="U259" s="103"/>
      <c r="AF259" s="3">
        <v>45543</v>
      </c>
      <c r="AG259" s="2" t="s">
        <v>76</v>
      </c>
      <c r="AS259"/>
      <c r="AT259"/>
    </row>
    <row r="260" spans="2:46" ht="18">
      <c r="B260" s="94"/>
      <c r="C260" s="95"/>
      <c r="D260" s="95"/>
      <c r="E260" s="96"/>
      <c r="F260" s="97" t="e">
        <f>Tabela27[[#This Row],[VALOR TOTAL DA COMPRA]]/Tabela27[[#This Row],[QUANT.]]</f>
        <v>#DIV/0!</v>
      </c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2"/>
      <c r="T260" s="103"/>
      <c r="U260" s="103"/>
      <c r="AF260" s="3">
        <v>45544</v>
      </c>
      <c r="AG260" s="2" t="s">
        <v>76</v>
      </c>
      <c r="AS260"/>
      <c r="AT260"/>
    </row>
    <row r="261" spans="2:46" ht="18">
      <c r="B261" s="94"/>
      <c r="C261" s="95"/>
      <c r="D261" s="95"/>
      <c r="E261" s="96"/>
      <c r="F261" s="97" t="e">
        <f>Tabela27[[#This Row],[VALOR TOTAL DA COMPRA]]/Tabela27[[#This Row],[QUANT.]]</f>
        <v>#DIV/0!</v>
      </c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2"/>
      <c r="T261" s="103"/>
      <c r="U261" s="103"/>
      <c r="AF261" s="3">
        <v>45545</v>
      </c>
      <c r="AG261" s="2" t="s">
        <v>76</v>
      </c>
      <c r="AS261"/>
      <c r="AT261"/>
    </row>
    <row r="262" spans="2:46" ht="18">
      <c r="B262" s="94"/>
      <c r="C262" s="95"/>
      <c r="D262" s="95"/>
      <c r="E262" s="96"/>
      <c r="F262" s="97" t="e">
        <f>Tabela27[[#This Row],[VALOR TOTAL DA COMPRA]]/Tabela27[[#This Row],[QUANT.]]</f>
        <v>#DIV/0!</v>
      </c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2"/>
      <c r="T262" s="103"/>
      <c r="U262" s="103"/>
      <c r="AF262" s="3">
        <v>45546</v>
      </c>
      <c r="AG262" s="2" t="s">
        <v>76</v>
      </c>
      <c r="AS262"/>
      <c r="AT262"/>
    </row>
    <row r="263" spans="2:46" ht="18">
      <c r="B263" s="94"/>
      <c r="C263" s="95"/>
      <c r="D263" s="95"/>
      <c r="E263" s="96"/>
      <c r="F263" s="97" t="e">
        <f>Tabela27[[#This Row],[VALOR TOTAL DA COMPRA]]/Tabela27[[#This Row],[QUANT.]]</f>
        <v>#DIV/0!</v>
      </c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2"/>
      <c r="T263" s="103"/>
      <c r="U263" s="103"/>
      <c r="AF263" s="3">
        <v>45547</v>
      </c>
      <c r="AG263" s="2" t="s">
        <v>76</v>
      </c>
      <c r="AS263"/>
      <c r="AT263"/>
    </row>
    <row r="264" spans="2:46" ht="18">
      <c r="B264" s="94"/>
      <c r="C264" s="95"/>
      <c r="D264" s="95"/>
      <c r="E264" s="96"/>
      <c r="F264" s="97" t="e">
        <f>Tabela27[[#This Row],[VALOR TOTAL DA COMPRA]]/Tabela27[[#This Row],[QUANT.]]</f>
        <v>#DIV/0!</v>
      </c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2"/>
      <c r="T264" s="103"/>
      <c r="U264" s="103"/>
      <c r="AF264" s="3">
        <v>45548</v>
      </c>
      <c r="AG264" s="2" t="s">
        <v>76</v>
      </c>
      <c r="AS264"/>
      <c r="AT264"/>
    </row>
    <row r="265" spans="2:46" ht="18">
      <c r="B265" s="94"/>
      <c r="C265" s="95"/>
      <c r="D265" s="95"/>
      <c r="E265" s="96"/>
      <c r="F265" s="97" t="e">
        <f>Tabela27[[#This Row],[VALOR TOTAL DA COMPRA]]/Tabela27[[#This Row],[QUANT.]]</f>
        <v>#DIV/0!</v>
      </c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2"/>
      <c r="T265" s="103"/>
      <c r="U265" s="103"/>
      <c r="AF265" s="3">
        <v>45549</v>
      </c>
      <c r="AG265" s="2" t="s">
        <v>76</v>
      </c>
      <c r="AS265"/>
      <c r="AT265"/>
    </row>
    <row r="266" spans="2:46" ht="18">
      <c r="B266" s="94"/>
      <c r="C266" s="95"/>
      <c r="D266" s="95"/>
      <c r="E266" s="96"/>
      <c r="F266" s="97" t="e">
        <f>Tabela27[[#This Row],[VALOR TOTAL DA COMPRA]]/Tabela27[[#This Row],[QUANT.]]</f>
        <v>#DIV/0!</v>
      </c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2"/>
      <c r="T266" s="103"/>
      <c r="U266" s="103"/>
      <c r="AF266" s="3">
        <v>45550</v>
      </c>
      <c r="AG266" s="2" t="s">
        <v>76</v>
      </c>
      <c r="AS266"/>
      <c r="AT266"/>
    </row>
    <row r="267" spans="2:46" ht="18">
      <c r="B267" s="94"/>
      <c r="C267" s="95"/>
      <c r="D267" s="95"/>
      <c r="E267" s="96"/>
      <c r="F267" s="97" t="e">
        <f>Tabela27[[#This Row],[VALOR TOTAL DA COMPRA]]/Tabela27[[#This Row],[QUANT.]]</f>
        <v>#DIV/0!</v>
      </c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2"/>
      <c r="T267" s="103"/>
      <c r="U267" s="103"/>
      <c r="AF267" s="3">
        <v>45551</v>
      </c>
      <c r="AG267" s="2" t="s">
        <v>76</v>
      </c>
      <c r="AS267"/>
      <c r="AT267"/>
    </row>
    <row r="268" spans="2:46" ht="18">
      <c r="B268" s="94"/>
      <c r="C268" s="95"/>
      <c r="D268" s="95"/>
      <c r="E268" s="96"/>
      <c r="F268" s="97" t="e">
        <f>Tabela27[[#This Row],[VALOR TOTAL DA COMPRA]]/Tabela27[[#This Row],[QUANT.]]</f>
        <v>#DIV/0!</v>
      </c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2"/>
      <c r="T268" s="103"/>
      <c r="U268" s="103"/>
      <c r="AF268" s="3">
        <v>45552</v>
      </c>
      <c r="AG268" s="2" t="s">
        <v>76</v>
      </c>
      <c r="AS268"/>
      <c r="AT268"/>
    </row>
    <row r="269" spans="2:46" ht="18">
      <c r="B269" s="94"/>
      <c r="C269" s="95"/>
      <c r="D269" s="95"/>
      <c r="E269" s="96"/>
      <c r="F269" s="97" t="e">
        <f>Tabela27[[#This Row],[VALOR TOTAL DA COMPRA]]/Tabela27[[#This Row],[QUANT.]]</f>
        <v>#DIV/0!</v>
      </c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2"/>
      <c r="T269" s="103"/>
      <c r="U269" s="103"/>
      <c r="AF269" s="3">
        <v>45553</v>
      </c>
      <c r="AG269" s="2" t="s">
        <v>76</v>
      </c>
      <c r="AS269"/>
      <c r="AT269"/>
    </row>
    <row r="270" spans="2:46" ht="18">
      <c r="B270" s="94"/>
      <c r="C270" s="95"/>
      <c r="D270" s="95"/>
      <c r="E270" s="96"/>
      <c r="F270" s="97" t="e">
        <f>Tabela27[[#This Row],[VALOR TOTAL DA COMPRA]]/Tabela27[[#This Row],[QUANT.]]</f>
        <v>#DIV/0!</v>
      </c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2"/>
      <c r="T270" s="103"/>
      <c r="U270" s="103"/>
      <c r="AF270" s="3">
        <v>45554</v>
      </c>
      <c r="AG270" s="2" t="s">
        <v>76</v>
      </c>
      <c r="AS270"/>
      <c r="AT270"/>
    </row>
    <row r="271" spans="2:46" ht="18">
      <c r="B271" s="94"/>
      <c r="C271" s="95"/>
      <c r="D271" s="95"/>
      <c r="E271" s="96"/>
      <c r="F271" s="97" t="e">
        <f>Tabela27[[#This Row],[VALOR TOTAL DA COMPRA]]/Tabela27[[#This Row],[QUANT.]]</f>
        <v>#DIV/0!</v>
      </c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2"/>
      <c r="T271" s="103"/>
      <c r="U271" s="103"/>
      <c r="AF271" s="3">
        <v>45555</v>
      </c>
      <c r="AG271" s="2" t="s">
        <v>76</v>
      </c>
      <c r="AS271"/>
      <c r="AT271"/>
    </row>
    <row r="272" spans="2:46" ht="18">
      <c r="B272" s="94"/>
      <c r="C272" s="95"/>
      <c r="D272" s="95"/>
      <c r="E272" s="96"/>
      <c r="F272" s="97" t="e">
        <f>Tabela27[[#This Row],[VALOR TOTAL DA COMPRA]]/Tabela27[[#This Row],[QUANT.]]</f>
        <v>#DIV/0!</v>
      </c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2"/>
      <c r="T272" s="103"/>
      <c r="U272" s="103"/>
      <c r="AF272" s="3">
        <v>45556</v>
      </c>
      <c r="AG272" s="2" t="s">
        <v>76</v>
      </c>
      <c r="AS272"/>
      <c r="AT272"/>
    </row>
    <row r="273" spans="2:46" ht="18">
      <c r="B273" s="94"/>
      <c r="C273" s="95"/>
      <c r="D273" s="95"/>
      <c r="E273" s="96"/>
      <c r="F273" s="97" t="e">
        <f>Tabela27[[#This Row],[VALOR TOTAL DA COMPRA]]/Tabela27[[#This Row],[QUANT.]]</f>
        <v>#DIV/0!</v>
      </c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2"/>
      <c r="T273" s="103"/>
      <c r="U273" s="103"/>
      <c r="AF273" s="3">
        <v>45557</v>
      </c>
      <c r="AG273" s="2" t="s">
        <v>76</v>
      </c>
      <c r="AS273"/>
      <c r="AT273"/>
    </row>
    <row r="274" spans="2:46" ht="18">
      <c r="B274" s="94"/>
      <c r="C274" s="95"/>
      <c r="D274" s="95"/>
      <c r="E274" s="96"/>
      <c r="F274" s="97" t="e">
        <f>Tabela27[[#This Row],[VALOR TOTAL DA COMPRA]]/Tabela27[[#This Row],[QUANT.]]</f>
        <v>#DIV/0!</v>
      </c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2"/>
      <c r="T274" s="103"/>
      <c r="U274" s="103"/>
      <c r="AF274" s="3">
        <v>45558</v>
      </c>
      <c r="AG274" s="2" t="s">
        <v>76</v>
      </c>
      <c r="AS274"/>
      <c r="AT274"/>
    </row>
    <row r="275" spans="2:46" ht="18">
      <c r="B275" s="94"/>
      <c r="C275" s="95"/>
      <c r="D275" s="95"/>
      <c r="E275" s="96"/>
      <c r="F275" s="97" t="e">
        <f>Tabela27[[#This Row],[VALOR TOTAL DA COMPRA]]/Tabela27[[#This Row],[QUANT.]]</f>
        <v>#DIV/0!</v>
      </c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2"/>
      <c r="T275" s="103"/>
      <c r="U275" s="103"/>
      <c r="AF275" s="3">
        <v>45559</v>
      </c>
      <c r="AG275" s="2" t="s">
        <v>76</v>
      </c>
      <c r="AS275"/>
      <c r="AT275"/>
    </row>
    <row r="276" spans="2:46" ht="18">
      <c r="B276" s="94"/>
      <c r="C276" s="95"/>
      <c r="D276" s="95"/>
      <c r="E276" s="96"/>
      <c r="F276" s="97" t="e">
        <f>Tabela27[[#This Row],[VALOR TOTAL DA COMPRA]]/Tabela27[[#This Row],[QUANT.]]</f>
        <v>#DIV/0!</v>
      </c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2"/>
      <c r="T276" s="103"/>
      <c r="U276" s="103"/>
      <c r="AF276" s="3">
        <v>45560</v>
      </c>
      <c r="AG276" s="2" t="s">
        <v>76</v>
      </c>
      <c r="AS276"/>
      <c r="AT276"/>
    </row>
    <row r="277" spans="2:46" ht="18">
      <c r="B277" s="94"/>
      <c r="C277" s="95"/>
      <c r="D277" s="95"/>
      <c r="E277" s="96"/>
      <c r="F277" s="97" t="e">
        <f>Tabela27[[#This Row],[VALOR TOTAL DA COMPRA]]/Tabela27[[#This Row],[QUANT.]]</f>
        <v>#DIV/0!</v>
      </c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2"/>
      <c r="T277" s="103"/>
      <c r="U277" s="103"/>
      <c r="AF277" s="3">
        <v>45561</v>
      </c>
      <c r="AG277" s="2" t="s">
        <v>76</v>
      </c>
      <c r="AS277"/>
      <c r="AT277"/>
    </row>
    <row r="278" spans="2:46" ht="18">
      <c r="B278" s="94"/>
      <c r="C278" s="95"/>
      <c r="D278" s="95"/>
      <c r="E278" s="96"/>
      <c r="F278" s="97" t="e">
        <f>Tabela27[[#This Row],[VALOR TOTAL DA COMPRA]]/Tabela27[[#This Row],[QUANT.]]</f>
        <v>#DIV/0!</v>
      </c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2"/>
      <c r="T278" s="103"/>
      <c r="U278" s="103"/>
      <c r="AF278" s="3">
        <v>45562</v>
      </c>
      <c r="AG278" s="2" t="s">
        <v>76</v>
      </c>
      <c r="AS278"/>
      <c r="AT278"/>
    </row>
    <row r="279" spans="2:46" ht="18">
      <c r="B279" s="94"/>
      <c r="C279" s="95"/>
      <c r="D279" s="95"/>
      <c r="E279" s="96"/>
      <c r="F279" s="97" t="e">
        <f>Tabela27[[#This Row],[VALOR TOTAL DA COMPRA]]/Tabela27[[#This Row],[QUANT.]]</f>
        <v>#DIV/0!</v>
      </c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2"/>
      <c r="T279" s="103"/>
      <c r="U279" s="103"/>
      <c r="AF279" s="3">
        <v>45563</v>
      </c>
      <c r="AG279" s="2" t="s">
        <v>76</v>
      </c>
      <c r="AS279"/>
      <c r="AT279"/>
    </row>
    <row r="280" spans="2:46" ht="18">
      <c r="B280" s="94"/>
      <c r="C280" s="95"/>
      <c r="D280" s="95"/>
      <c r="E280" s="96"/>
      <c r="F280" s="97" t="e">
        <f>Tabela27[[#This Row],[VALOR TOTAL DA COMPRA]]/Tabela27[[#This Row],[QUANT.]]</f>
        <v>#DIV/0!</v>
      </c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2"/>
      <c r="T280" s="103"/>
      <c r="U280" s="103"/>
      <c r="AF280" s="3">
        <v>45564</v>
      </c>
      <c r="AG280" s="2" t="s">
        <v>76</v>
      </c>
      <c r="AS280"/>
      <c r="AT280"/>
    </row>
    <row r="281" spans="2:46" ht="18">
      <c r="B281" s="94"/>
      <c r="C281" s="95"/>
      <c r="D281" s="95"/>
      <c r="E281" s="96"/>
      <c r="F281" s="97" t="e">
        <f>Tabela27[[#This Row],[VALOR TOTAL DA COMPRA]]/Tabela27[[#This Row],[QUANT.]]</f>
        <v>#DIV/0!</v>
      </c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2"/>
      <c r="T281" s="103"/>
      <c r="U281" s="103"/>
      <c r="AF281" s="3">
        <v>45565</v>
      </c>
      <c r="AG281" s="2" t="s">
        <v>76</v>
      </c>
      <c r="AS281"/>
      <c r="AT281"/>
    </row>
    <row r="282" spans="2:46" ht="18">
      <c r="B282" s="94"/>
      <c r="C282" s="95"/>
      <c r="D282" s="95"/>
      <c r="E282" s="96"/>
      <c r="F282" s="97" t="e">
        <f>Tabela27[[#This Row],[VALOR TOTAL DA COMPRA]]/Tabela27[[#This Row],[QUANT.]]</f>
        <v>#DIV/0!</v>
      </c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2"/>
      <c r="T282" s="103"/>
      <c r="U282" s="103"/>
      <c r="AF282" s="3">
        <v>45566</v>
      </c>
      <c r="AG282" s="2" t="s">
        <v>77</v>
      </c>
      <c r="AS282"/>
      <c r="AT282"/>
    </row>
    <row r="283" spans="2:46" ht="18">
      <c r="B283" s="94"/>
      <c r="C283" s="95"/>
      <c r="D283" s="95"/>
      <c r="E283" s="96"/>
      <c r="F283" s="97" t="e">
        <f>Tabela27[[#This Row],[VALOR TOTAL DA COMPRA]]/Tabela27[[#This Row],[QUANT.]]</f>
        <v>#DIV/0!</v>
      </c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2"/>
      <c r="T283" s="103"/>
      <c r="U283" s="103"/>
      <c r="AF283" s="3">
        <v>45567</v>
      </c>
      <c r="AG283" s="2" t="s">
        <v>77</v>
      </c>
      <c r="AS283"/>
      <c r="AT283"/>
    </row>
    <row r="284" spans="2:46" ht="18">
      <c r="B284" s="94"/>
      <c r="C284" s="95"/>
      <c r="D284" s="95"/>
      <c r="E284" s="96"/>
      <c r="F284" s="97" t="e">
        <f>Tabela27[[#This Row],[VALOR TOTAL DA COMPRA]]/Tabela27[[#This Row],[QUANT.]]</f>
        <v>#DIV/0!</v>
      </c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2"/>
      <c r="T284" s="103"/>
      <c r="U284" s="103"/>
      <c r="AF284" s="3">
        <v>45568</v>
      </c>
      <c r="AG284" s="2" t="s">
        <v>77</v>
      </c>
      <c r="AS284"/>
      <c r="AT284"/>
    </row>
    <row r="285" spans="2:46" ht="18">
      <c r="B285" s="94"/>
      <c r="C285" s="95"/>
      <c r="D285" s="95"/>
      <c r="E285" s="96"/>
      <c r="F285" s="97" t="e">
        <f>Tabela27[[#This Row],[VALOR TOTAL DA COMPRA]]/Tabela27[[#This Row],[QUANT.]]</f>
        <v>#DIV/0!</v>
      </c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2"/>
      <c r="T285" s="103"/>
      <c r="U285" s="103"/>
      <c r="AF285" s="3">
        <v>45569</v>
      </c>
      <c r="AG285" s="2" t="s">
        <v>77</v>
      </c>
      <c r="AS285"/>
      <c r="AT285"/>
    </row>
    <row r="286" spans="2:46" ht="18">
      <c r="B286" s="94"/>
      <c r="C286" s="95"/>
      <c r="D286" s="95"/>
      <c r="E286" s="96"/>
      <c r="F286" s="97" t="e">
        <f>Tabela27[[#This Row],[VALOR TOTAL DA COMPRA]]/Tabela27[[#This Row],[QUANT.]]</f>
        <v>#DIV/0!</v>
      </c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2"/>
      <c r="T286" s="103"/>
      <c r="U286" s="103"/>
      <c r="AF286" s="3">
        <v>45570</v>
      </c>
      <c r="AG286" s="2" t="s">
        <v>77</v>
      </c>
      <c r="AS286"/>
      <c r="AT286"/>
    </row>
    <row r="287" spans="2:46" ht="18">
      <c r="B287" s="94"/>
      <c r="C287" s="95"/>
      <c r="D287" s="95"/>
      <c r="E287" s="96"/>
      <c r="F287" s="97" t="e">
        <f>Tabela27[[#This Row],[VALOR TOTAL DA COMPRA]]/Tabela27[[#This Row],[QUANT.]]</f>
        <v>#DIV/0!</v>
      </c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2"/>
      <c r="T287" s="103"/>
      <c r="U287" s="103"/>
      <c r="AF287" s="3">
        <v>45571</v>
      </c>
      <c r="AG287" s="2" t="s">
        <v>77</v>
      </c>
      <c r="AS287"/>
      <c r="AT287"/>
    </row>
    <row r="288" spans="2:46" ht="18">
      <c r="B288" s="94"/>
      <c r="C288" s="95"/>
      <c r="D288" s="95"/>
      <c r="E288" s="96"/>
      <c r="F288" s="97" t="e">
        <f>Tabela27[[#This Row],[VALOR TOTAL DA COMPRA]]/Tabela27[[#This Row],[QUANT.]]</f>
        <v>#DIV/0!</v>
      </c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2"/>
      <c r="T288" s="103"/>
      <c r="U288" s="103"/>
      <c r="AF288" s="3">
        <v>45572</v>
      </c>
      <c r="AG288" s="2" t="s">
        <v>77</v>
      </c>
      <c r="AS288"/>
      <c r="AT288"/>
    </row>
    <row r="289" spans="2:46" ht="18">
      <c r="B289" s="94"/>
      <c r="C289" s="95"/>
      <c r="D289" s="95"/>
      <c r="E289" s="96"/>
      <c r="F289" s="97" t="e">
        <f>Tabela27[[#This Row],[VALOR TOTAL DA COMPRA]]/Tabela27[[#This Row],[QUANT.]]</f>
        <v>#DIV/0!</v>
      </c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2"/>
      <c r="T289" s="103"/>
      <c r="U289" s="103"/>
      <c r="AF289" s="3">
        <v>45573</v>
      </c>
      <c r="AG289" s="2" t="s">
        <v>77</v>
      </c>
      <c r="AS289"/>
      <c r="AT289"/>
    </row>
    <row r="290" spans="2:46" ht="18">
      <c r="B290" s="94"/>
      <c r="C290" s="95"/>
      <c r="D290" s="95"/>
      <c r="E290" s="96"/>
      <c r="F290" s="97" t="e">
        <f>Tabela27[[#This Row],[VALOR TOTAL DA COMPRA]]/Tabela27[[#This Row],[QUANT.]]</f>
        <v>#DIV/0!</v>
      </c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2"/>
      <c r="T290" s="103"/>
      <c r="U290" s="103"/>
      <c r="AF290" s="3">
        <v>45574</v>
      </c>
      <c r="AG290" s="2" t="s">
        <v>77</v>
      </c>
      <c r="AS290"/>
      <c r="AT290"/>
    </row>
    <row r="291" spans="2:46" ht="18">
      <c r="B291" s="94"/>
      <c r="C291" s="95"/>
      <c r="D291" s="95"/>
      <c r="E291" s="96"/>
      <c r="F291" s="97" t="e">
        <f>Tabela27[[#This Row],[VALOR TOTAL DA COMPRA]]/Tabela27[[#This Row],[QUANT.]]</f>
        <v>#DIV/0!</v>
      </c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2"/>
      <c r="T291" s="103"/>
      <c r="U291" s="103"/>
      <c r="AF291" s="3">
        <v>45575</v>
      </c>
      <c r="AG291" s="2" t="s">
        <v>77</v>
      </c>
      <c r="AS291"/>
      <c r="AT291"/>
    </row>
    <row r="292" spans="2:46" ht="18">
      <c r="B292" s="94"/>
      <c r="C292" s="95"/>
      <c r="D292" s="95"/>
      <c r="E292" s="96"/>
      <c r="F292" s="97" t="e">
        <f>Tabela27[[#This Row],[VALOR TOTAL DA COMPRA]]/Tabela27[[#This Row],[QUANT.]]</f>
        <v>#DIV/0!</v>
      </c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2"/>
      <c r="T292" s="103"/>
      <c r="U292" s="103"/>
      <c r="AF292" s="3">
        <v>45576</v>
      </c>
      <c r="AG292" s="2" t="s">
        <v>77</v>
      </c>
      <c r="AS292"/>
      <c r="AT292"/>
    </row>
    <row r="293" spans="2:46" ht="18">
      <c r="B293" s="94"/>
      <c r="C293" s="95"/>
      <c r="D293" s="95"/>
      <c r="E293" s="96"/>
      <c r="F293" s="97" t="e">
        <f>Tabela27[[#This Row],[VALOR TOTAL DA COMPRA]]/Tabela27[[#This Row],[QUANT.]]</f>
        <v>#DIV/0!</v>
      </c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2"/>
      <c r="T293" s="103"/>
      <c r="U293" s="103"/>
      <c r="AF293" s="3">
        <v>45577</v>
      </c>
      <c r="AG293" s="2" t="s">
        <v>77</v>
      </c>
      <c r="AS293"/>
      <c r="AT293"/>
    </row>
    <row r="294" spans="2:46" ht="18">
      <c r="B294" s="94"/>
      <c r="C294" s="95"/>
      <c r="D294" s="95"/>
      <c r="E294" s="96"/>
      <c r="F294" s="97" t="e">
        <f>Tabela27[[#This Row],[VALOR TOTAL DA COMPRA]]/Tabela27[[#This Row],[QUANT.]]</f>
        <v>#DIV/0!</v>
      </c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2"/>
      <c r="T294" s="103"/>
      <c r="U294" s="103"/>
      <c r="AF294" s="3">
        <v>45578</v>
      </c>
      <c r="AG294" s="2" t="s">
        <v>77</v>
      </c>
      <c r="AS294"/>
      <c r="AT294"/>
    </row>
    <row r="295" spans="2:46" ht="18">
      <c r="B295" s="94"/>
      <c r="C295" s="95"/>
      <c r="D295" s="95"/>
      <c r="E295" s="96"/>
      <c r="F295" s="97" t="e">
        <f>Tabela27[[#This Row],[VALOR TOTAL DA COMPRA]]/Tabela27[[#This Row],[QUANT.]]</f>
        <v>#DIV/0!</v>
      </c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2"/>
      <c r="T295" s="103"/>
      <c r="U295" s="103"/>
      <c r="AF295" s="3">
        <v>45579</v>
      </c>
      <c r="AG295" s="2" t="s">
        <v>77</v>
      </c>
      <c r="AS295"/>
      <c r="AT295"/>
    </row>
    <row r="296" spans="2:46" ht="18">
      <c r="B296" s="94"/>
      <c r="C296" s="95"/>
      <c r="D296" s="95"/>
      <c r="E296" s="96"/>
      <c r="F296" s="97" t="e">
        <f>Tabela27[[#This Row],[VALOR TOTAL DA COMPRA]]/Tabela27[[#This Row],[QUANT.]]</f>
        <v>#DIV/0!</v>
      </c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2"/>
      <c r="T296" s="103"/>
      <c r="U296" s="103"/>
      <c r="AF296" s="3">
        <v>45580</v>
      </c>
      <c r="AG296" s="2" t="s">
        <v>77</v>
      </c>
      <c r="AS296"/>
      <c r="AT296"/>
    </row>
    <row r="297" spans="2:46" ht="18">
      <c r="B297" s="94"/>
      <c r="C297" s="95"/>
      <c r="D297" s="95"/>
      <c r="E297" s="96"/>
      <c r="F297" s="97" t="e">
        <f>Tabela27[[#This Row],[VALOR TOTAL DA COMPRA]]/Tabela27[[#This Row],[QUANT.]]</f>
        <v>#DIV/0!</v>
      </c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2"/>
      <c r="T297" s="103"/>
      <c r="U297" s="103"/>
      <c r="AF297" s="3">
        <v>45581</v>
      </c>
      <c r="AG297" s="2" t="s">
        <v>77</v>
      </c>
      <c r="AS297"/>
      <c r="AT297"/>
    </row>
    <row r="298" spans="2:46" ht="18">
      <c r="B298" s="94"/>
      <c r="C298" s="95"/>
      <c r="D298" s="95"/>
      <c r="E298" s="96"/>
      <c r="F298" s="97" t="e">
        <f>Tabela27[[#This Row],[VALOR TOTAL DA COMPRA]]/Tabela27[[#This Row],[QUANT.]]</f>
        <v>#DIV/0!</v>
      </c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2"/>
      <c r="T298" s="103"/>
      <c r="U298" s="103"/>
      <c r="AF298" s="3">
        <v>45582</v>
      </c>
      <c r="AG298" s="2" t="s">
        <v>77</v>
      </c>
      <c r="AS298"/>
      <c r="AT298"/>
    </row>
    <row r="299" spans="2:46" ht="18">
      <c r="B299" s="94"/>
      <c r="C299" s="95"/>
      <c r="D299" s="95"/>
      <c r="E299" s="96"/>
      <c r="F299" s="97" t="e">
        <f>Tabela27[[#This Row],[VALOR TOTAL DA COMPRA]]/Tabela27[[#This Row],[QUANT.]]</f>
        <v>#DIV/0!</v>
      </c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2"/>
      <c r="T299" s="103"/>
      <c r="U299" s="103"/>
      <c r="AF299" s="3">
        <v>45583</v>
      </c>
      <c r="AG299" s="2" t="s">
        <v>77</v>
      </c>
      <c r="AS299"/>
      <c r="AT299"/>
    </row>
    <row r="300" spans="2:46" ht="18">
      <c r="B300" s="94"/>
      <c r="C300" s="95"/>
      <c r="D300" s="95"/>
      <c r="E300" s="96"/>
      <c r="F300" s="97" t="e">
        <f>Tabela27[[#This Row],[VALOR TOTAL DA COMPRA]]/Tabela27[[#This Row],[QUANT.]]</f>
        <v>#DIV/0!</v>
      </c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2"/>
      <c r="T300" s="103"/>
      <c r="U300" s="103"/>
      <c r="AF300" s="3">
        <v>45584</v>
      </c>
      <c r="AG300" s="2" t="s">
        <v>77</v>
      </c>
      <c r="AS300"/>
      <c r="AT300"/>
    </row>
    <row r="301" spans="2:46" ht="18">
      <c r="B301" s="94"/>
      <c r="C301" s="95"/>
      <c r="D301" s="95"/>
      <c r="E301" s="96"/>
      <c r="F301" s="97" t="e">
        <f>Tabela27[[#This Row],[VALOR TOTAL DA COMPRA]]/Tabela27[[#This Row],[QUANT.]]</f>
        <v>#DIV/0!</v>
      </c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2"/>
      <c r="T301" s="103"/>
      <c r="U301" s="103"/>
      <c r="AF301" s="3">
        <v>45585</v>
      </c>
      <c r="AG301" s="2" t="s">
        <v>77</v>
      </c>
      <c r="AS301"/>
      <c r="AT301"/>
    </row>
    <row r="302" spans="2:46" ht="18">
      <c r="B302" s="94"/>
      <c r="C302" s="95"/>
      <c r="D302" s="95"/>
      <c r="E302" s="96"/>
      <c r="F302" s="97" t="e">
        <f>Tabela27[[#This Row],[VALOR TOTAL DA COMPRA]]/Tabela27[[#This Row],[QUANT.]]</f>
        <v>#DIV/0!</v>
      </c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2"/>
      <c r="T302" s="103"/>
      <c r="U302" s="103"/>
      <c r="AF302" s="3">
        <v>45586</v>
      </c>
      <c r="AG302" s="2" t="s">
        <v>77</v>
      </c>
      <c r="AS302"/>
      <c r="AT302"/>
    </row>
    <row r="303" spans="2:46" ht="18">
      <c r="B303" s="94"/>
      <c r="C303" s="95"/>
      <c r="D303" s="95"/>
      <c r="E303" s="96"/>
      <c r="F303" s="97" t="e">
        <f>Tabela27[[#This Row],[VALOR TOTAL DA COMPRA]]/Tabela27[[#This Row],[QUANT.]]</f>
        <v>#DIV/0!</v>
      </c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2"/>
      <c r="T303" s="103"/>
      <c r="U303" s="103"/>
      <c r="AF303" s="3">
        <v>45587</v>
      </c>
      <c r="AG303" s="2" t="s">
        <v>77</v>
      </c>
      <c r="AS303"/>
      <c r="AT303"/>
    </row>
    <row r="304" spans="2:46" ht="18">
      <c r="B304" s="94"/>
      <c r="C304" s="95"/>
      <c r="D304" s="95"/>
      <c r="E304" s="96"/>
      <c r="F304" s="97" t="e">
        <f>Tabela27[[#This Row],[VALOR TOTAL DA COMPRA]]/Tabela27[[#This Row],[QUANT.]]</f>
        <v>#DIV/0!</v>
      </c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2"/>
      <c r="T304" s="103"/>
      <c r="U304" s="103"/>
      <c r="AF304" s="3">
        <v>45588</v>
      </c>
      <c r="AG304" s="2" t="s">
        <v>77</v>
      </c>
      <c r="AS304"/>
      <c r="AT304"/>
    </row>
    <row r="305" spans="2:46" ht="18">
      <c r="B305" s="94"/>
      <c r="C305" s="95"/>
      <c r="D305" s="95"/>
      <c r="E305" s="96"/>
      <c r="F305" s="97" t="e">
        <f>Tabela27[[#This Row],[VALOR TOTAL DA COMPRA]]/Tabela27[[#This Row],[QUANT.]]</f>
        <v>#DIV/0!</v>
      </c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2"/>
      <c r="T305" s="103"/>
      <c r="U305" s="103"/>
      <c r="AF305" s="3">
        <v>45589</v>
      </c>
      <c r="AG305" s="2" t="s">
        <v>77</v>
      </c>
      <c r="AS305"/>
      <c r="AT305"/>
    </row>
    <row r="306" spans="2:46" ht="18">
      <c r="B306" s="94"/>
      <c r="C306" s="95"/>
      <c r="D306" s="95"/>
      <c r="E306" s="96"/>
      <c r="F306" s="97" t="e">
        <f>Tabela27[[#This Row],[VALOR TOTAL DA COMPRA]]/Tabela27[[#This Row],[QUANT.]]</f>
        <v>#DIV/0!</v>
      </c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2"/>
      <c r="T306" s="103"/>
      <c r="U306" s="103"/>
      <c r="AF306" s="3">
        <v>45590</v>
      </c>
      <c r="AG306" s="2" t="s">
        <v>77</v>
      </c>
      <c r="AS306"/>
      <c r="AT306"/>
    </row>
    <row r="307" spans="2:46" ht="18">
      <c r="B307" s="94"/>
      <c r="C307" s="95"/>
      <c r="D307" s="95"/>
      <c r="E307" s="96"/>
      <c r="F307" s="97" t="e">
        <f>Tabela27[[#This Row],[VALOR TOTAL DA COMPRA]]/Tabela27[[#This Row],[QUANT.]]</f>
        <v>#DIV/0!</v>
      </c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2"/>
      <c r="T307" s="103"/>
      <c r="U307" s="103"/>
      <c r="AF307" s="3">
        <v>45591</v>
      </c>
      <c r="AG307" s="2" t="s">
        <v>77</v>
      </c>
      <c r="AS307"/>
      <c r="AT307"/>
    </row>
    <row r="308" spans="2:46" ht="18">
      <c r="B308" s="94"/>
      <c r="C308" s="95"/>
      <c r="D308" s="95"/>
      <c r="E308" s="96"/>
      <c r="F308" s="97" t="e">
        <f>Tabela27[[#This Row],[VALOR TOTAL DA COMPRA]]/Tabela27[[#This Row],[QUANT.]]</f>
        <v>#DIV/0!</v>
      </c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2"/>
      <c r="T308" s="103"/>
      <c r="U308" s="103"/>
      <c r="AF308" s="3">
        <v>45592</v>
      </c>
      <c r="AG308" s="2" t="s">
        <v>77</v>
      </c>
      <c r="AS308"/>
      <c r="AT308"/>
    </row>
    <row r="309" spans="2:46" ht="18">
      <c r="B309" s="94"/>
      <c r="C309" s="95"/>
      <c r="D309" s="95"/>
      <c r="E309" s="96"/>
      <c r="F309" s="97" t="e">
        <f>Tabela27[[#This Row],[VALOR TOTAL DA COMPRA]]/Tabela27[[#This Row],[QUANT.]]</f>
        <v>#DIV/0!</v>
      </c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2"/>
      <c r="T309" s="103"/>
      <c r="U309" s="103"/>
      <c r="AF309" s="3">
        <v>45593</v>
      </c>
      <c r="AG309" s="2" t="s">
        <v>77</v>
      </c>
      <c r="AS309"/>
      <c r="AT309"/>
    </row>
    <row r="310" spans="2:46" ht="18">
      <c r="B310" s="94"/>
      <c r="C310" s="95"/>
      <c r="D310" s="95"/>
      <c r="E310" s="96"/>
      <c r="F310" s="97" t="e">
        <f>Tabela27[[#This Row],[VALOR TOTAL DA COMPRA]]/Tabela27[[#This Row],[QUANT.]]</f>
        <v>#DIV/0!</v>
      </c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2"/>
      <c r="T310" s="103"/>
      <c r="U310" s="103"/>
      <c r="X310" s="2"/>
      <c r="AF310" s="3">
        <v>45594</v>
      </c>
      <c r="AG310" s="2" t="s">
        <v>77</v>
      </c>
      <c r="AS310"/>
      <c r="AT310"/>
    </row>
    <row r="311" spans="2:46" ht="18">
      <c r="B311" s="94"/>
      <c r="C311" s="95"/>
      <c r="D311" s="95"/>
      <c r="E311" s="96"/>
      <c r="F311" s="97" t="e">
        <f>Tabela27[[#This Row],[VALOR TOTAL DA COMPRA]]/Tabela27[[#This Row],[QUANT.]]</f>
        <v>#DIV/0!</v>
      </c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2"/>
      <c r="T311" s="103"/>
      <c r="U311" s="103"/>
      <c r="X311" s="2"/>
      <c r="AF311" s="3">
        <v>45595</v>
      </c>
      <c r="AG311" s="2" t="s">
        <v>77</v>
      </c>
      <c r="AS311"/>
      <c r="AT311"/>
    </row>
    <row r="312" spans="2:46" ht="18">
      <c r="B312" s="94"/>
      <c r="C312" s="95"/>
      <c r="D312" s="95"/>
      <c r="E312" s="96"/>
      <c r="F312" s="97" t="e">
        <f>Tabela27[[#This Row],[VALOR TOTAL DA COMPRA]]/Tabela27[[#This Row],[QUANT.]]</f>
        <v>#DIV/0!</v>
      </c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2"/>
      <c r="T312" s="103"/>
      <c r="U312" s="103"/>
      <c r="X312" s="2"/>
      <c r="AF312" s="3">
        <v>45596</v>
      </c>
      <c r="AG312" s="2" t="s">
        <v>77</v>
      </c>
      <c r="AS312"/>
      <c r="AT312"/>
    </row>
    <row r="313" spans="2:46" ht="18">
      <c r="B313" s="94"/>
      <c r="C313" s="95"/>
      <c r="D313" s="95"/>
      <c r="E313" s="96"/>
      <c r="F313" s="97" t="e">
        <f>Tabela27[[#This Row],[VALOR TOTAL DA COMPRA]]/Tabela27[[#This Row],[QUANT.]]</f>
        <v>#DIV/0!</v>
      </c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2"/>
      <c r="T313" s="103"/>
      <c r="U313" s="103"/>
      <c r="X313" s="2"/>
      <c r="AF313" s="3">
        <v>45597</v>
      </c>
      <c r="AG313" s="2" t="s">
        <v>78</v>
      </c>
      <c r="AS313"/>
      <c r="AT313"/>
    </row>
    <row r="314" spans="2:46" ht="18">
      <c r="B314" s="94"/>
      <c r="C314" s="95"/>
      <c r="D314" s="95"/>
      <c r="E314" s="96"/>
      <c r="F314" s="97" t="e">
        <f>Tabela27[[#This Row],[VALOR TOTAL DA COMPRA]]/Tabela27[[#This Row],[QUANT.]]</f>
        <v>#DIV/0!</v>
      </c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2"/>
      <c r="T314" s="103"/>
      <c r="U314" s="103"/>
      <c r="X314" s="2"/>
      <c r="AF314" s="3">
        <v>45598</v>
      </c>
      <c r="AG314" s="2" t="s">
        <v>78</v>
      </c>
      <c r="AS314"/>
      <c r="AT314"/>
    </row>
    <row r="315" spans="2:46" ht="18">
      <c r="B315" s="94"/>
      <c r="C315" s="95"/>
      <c r="D315" s="95"/>
      <c r="E315" s="96"/>
      <c r="F315" s="97" t="e">
        <f>Tabela27[[#This Row],[VALOR TOTAL DA COMPRA]]/Tabela27[[#This Row],[QUANT.]]</f>
        <v>#DIV/0!</v>
      </c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2"/>
      <c r="T315" s="103"/>
      <c r="U315" s="103"/>
      <c r="X315" s="2"/>
      <c r="AF315" s="3">
        <v>45599</v>
      </c>
      <c r="AG315" s="2" t="s">
        <v>78</v>
      </c>
      <c r="AS315"/>
      <c r="AT315"/>
    </row>
    <row r="316" spans="2:46" ht="18">
      <c r="B316" s="94"/>
      <c r="C316" s="95"/>
      <c r="D316" s="95"/>
      <c r="E316" s="96"/>
      <c r="F316" s="97" t="e">
        <f>Tabela27[[#This Row],[VALOR TOTAL DA COMPRA]]/Tabela27[[#This Row],[QUANT.]]</f>
        <v>#DIV/0!</v>
      </c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2"/>
      <c r="T316" s="103"/>
      <c r="U316" s="103"/>
      <c r="X316" s="2"/>
      <c r="AF316" s="3">
        <v>45600</v>
      </c>
      <c r="AG316" s="2" t="s">
        <v>78</v>
      </c>
      <c r="AS316"/>
      <c r="AT316"/>
    </row>
    <row r="317" spans="2:46" ht="18">
      <c r="B317" s="94"/>
      <c r="C317" s="95"/>
      <c r="D317" s="95"/>
      <c r="E317" s="96"/>
      <c r="F317" s="97" t="e">
        <f>Tabela27[[#This Row],[VALOR TOTAL DA COMPRA]]/Tabela27[[#This Row],[QUANT.]]</f>
        <v>#DIV/0!</v>
      </c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2"/>
      <c r="T317" s="103"/>
      <c r="U317" s="103"/>
      <c r="X317" s="2"/>
      <c r="AF317" s="3">
        <v>45601</v>
      </c>
      <c r="AG317" s="2" t="s">
        <v>78</v>
      </c>
      <c r="AS317"/>
      <c r="AT317"/>
    </row>
    <row r="318" spans="2:46" ht="18">
      <c r="B318" s="94"/>
      <c r="C318" s="95"/>
      <c r="D318" s="95"/>
      <c r="E318" s="96"/>
      <c r="F318" s="97" t="e">
        <f>Tabela27[[#This Row],[VALOR TOTAL DA COMPRA]]/Tabela27[[#This Row],[QUANT.]]</f>
        <v>#DIV/0!</v>
      </c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2"/>
      <c r="T318" s="103"/>
      <c r="U318" s="103"/>
      <c r="X318" s="2"/>
      <c r="AF318" s="3">
        <v>45602</v>
      </c>
      <c r="AG318" s="2" t="s">
        <v>78</v>
      </c>
      <c r="AS318"/>
      <c r="AT318"/>
    </row>
    <row r="319" spans="2:46" ht="18">
      <c r="B319" s="94"/>
      <c r="C319" s="95"/>
      <c r="D319" s="95"/>
      <c r="E319" s="96"/>
      <c r="F319" s="97" t="e">
        <f>Tabela27[[#This Row],[VALOR TOTAL DA COMPRA]]/Tabela27[[#This Row],[QUANT.]]</f>
        <v>#DIV/0!</v>
      </c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2"/>
      <c r="T319" s="103"/>
      <c r="U319" s="103"/>
      <c r="X319" s="2"/>
      <c r="AF319" s="3">
        <v>45603</v>
      </c>
      <c r="AG319" s="2" t="s">
        <v>78</v>
      </c>
      <c r="AS319"/>
      <c r="AT319"/>
    </row>
    <row r="320" spans="2:46" ht="18">
      <c r="B320" s="94"/>
      <c r="C320" s="95"/>
      <c r="D320" s="95"/>
      <c r="E320" s="96"/>
      <c r="F320" s="97" t="e">
        <f>Tabela27[[#This Row],[VALOR TOTAL DA COMPRA]]/Tabela27[[#This Row],[QUANT.]]</f>
        <v>#DIV/0!</v>
      </c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2"/>
      <c r="T320" s="103"/>
      <c r="U320" s="103"/>
      <c r="X320" s="2"/>
      <c r="AF320" s="3">
        <v>45604</v>
      </c>
      <c r="AG320" s="2" t="s">
        <v>78</v>
      </c>
      <c r="AS320"/>
      <c r="AT320"/>
    </row>
    <row r="321" spans="2:46" ht="18">
      <c r="B321" s="94"/>
      <c r="C321" s="95"/>
      <c r="D321" s="95"/>
      <c r="E321" s="96"/>
      <c r="F321" s="97" t="e">
        <f>Tabela27[[#This Row],[VALOR TOTAL DA COMPRA]]/Tabela27[[#This Row],[QUANT.]]</f>
        <v>#DIV/0!</v>
      </c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2"/>
      <c r="T321" s="103"/>
      <c r="U321" s="103"/>
      <c r="X321" s="2"/>
      <c r="AF321" s="3">
        <v>45605</v>
      </c>
      <c r="AG321" s="2" t="s">
        <v>78</v>
      </c>
      <c r="AS321"/>
      <c r="AT321"/>
    </row>
    <row r="322" spans="2:46" ht="18">
      <c r="B322" s="94"/>
      <c r="C322" s="95"/>
      <c r="D322" s="95"/>
      <c r="E322" s="96"/>
      <c r="F322" s="97" t="e">
        <f>Tabela27[[#This Row],[VALOR TOTAL DA COMPRA]]/Tabela27[[#This Row],[QUANT.]]</f>
        <v>#DIV/0!</v>
      </c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2"/>
      <c r="T322" s="103"/>
      <c r="U322" s="103"/>
      <c r="X322" s="2"/>
      <c r="AF322" s="3">
        <v>45606</v>
      </c>
      <c r="AG322" s="2" t="s">
        <v>78</v>
      </c>
      <c r="AS322"/>
      <c r="AT322"/>
    </row>
    <row r="323" spans="2:46" ht="18">
      <c r="B323" s="94"/>
      <c r="C323" s="95"/>
      <c r="D323" s="95"/>
      <c r="E323" s="96"/>
      <c r="F323" s="97" t="e">
        <f>Tabela27[[#This Row],[VALOR TOTAL DA COMPRA]]/Tabela27[[#This Row],[QUANT.]]</f>
        <v>#DIV/0!</v>
      </c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2"/>
      <c r="T323" s="103"/>
      <c r="U323" s="103"/>
      <c r="X323" s="2"/>
      <c r="AF323" s="3">
        <v>45607</v>
      </c>
      <c r="AG323" s="2" t="s">
        <v>78</v>
      </c>
      <c r="AS323"/>
      <c r="AT323"/>
    </row>
    <row r="324" spans="2:46" ht="18">
      <c r="B324" s="94"/>
      <c r="C324" s="95"/>
      <c r="D324" s="95"/>
      <c r="E324" s="96"/>
      <c r="F324" s="97" t="e">
        <f>Tabela27[[#This Row],[VALOR TOTAL DA COMPRA]]/Tabela27[[#This Row],[QUANT.]]</f>
        <v>#DIV/0!</v>
      </c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2"/>
      <c r="T324" s="103"/>
      <c r="U324" s="103"/>
      <c r="X324" s="2"/>
      <c r="AF324" s="3">
        <v>45608</v>
      </c>
      <c r="AG324" s="2" t="s">
        <v>78</v>
      </c>
      <c r="AS324"/>
      <c r="AT324"/>
    </row>
    <row r="325" spans="2:46" ht="18">
      <c r="B325" s="94"/>
      <c r="C325" s="95"/>
      <c r="D325" s="95"/>
      <c r="E325" s="96"/>
      <c r="F325" s="97" t="e">
        <f>Tabela27[[#This Row],[VALOR TOTAL DA COMPRA]]/Tabela27[[#This Row],[QUANT.]]</f>
        <v>#DIV/0!</v>
      </c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2"/>
      <c r="T325" s="103"/>
      <c r="U325" s="103"/>
      <c r="X325" s="2"/>
      <c r="AF325" s="3">
        <v>45609</v>
      </c>
      <c r="AG325" s="2" t="s">
        <v>78</v>
      </c>
      <c r="AS325"/>
      <c r="AT325"/>
    </row>
    <row r="326" spans="2:46" ht="18">
      <c r="B326" s="94"/>
      <c r="C326" s="95"/>
      <c r="D326" s="95"/>
      <c r="E326" s="96"/>
      <c r="F326" s="97" t="e">
        <f>Tabela27[[#This Row],[VALOR TOTAL DA COMPRA]]/Tabela27[[#This Row],[QUANT.]]</f>
        <v>#DIV/0!</v>
      </c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2"/>
      <c r="T326" s="103"/>
      <c r="U326" s="103"/>
      <c r="X326" s="2"/>
      <c r="AF326" s="3">
        <v>45610</v>
      </c>
      <c r="AG326" s="2" t="s">
        <v>78</v>
      </c>
      <c r="AS326"/>
      <c r="AT326"/>
    </row>
    <row r="327" spans="2:46" ht="18">
      <c r="B327" s="94"/>
      <c r="C327" s="95"/>
      <c r="D327" s="95"/>
      <c r="E327" s="96"/>
      <c r="F327" s="97" t="e">
        <f>Tabela27[[#This Row],[VALOR TOTAL DA COMPRA]]/Tabela27[[#This Row],[QUANT.]]</f>
        <v>#DIV/0!</v>
      </c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2"/>
      <c r="T327" s="103"/>
      <c r="U327" s="103"/>
      <c r="AF327" s="3">
        <v>45611</v>
      </c>
      <c r="AG327" s="2" t="s">
        <v>78</v>
      </c>
      <c r="AS327"/>
      <c r="AT327"/>
    </row>
    <row r="328" spans="2:46" ht="18">
      <c r="B328" s="94"/>
      <c r="C328" s="95"/>
      <c r="D328" s="95"/>
      <c r="E328" s="96"/>
      <c r="F328" s="97" t="e">
        <f>Tabela27[[#This Row],[VALOR TOTAL DA COMPRA]]/Tabela27[[#This Row],[QUANT.]]</f>
        <v>#DIV/0!</v>
      </c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2"/>
      <c r="T328" s="103"/>
      <c r="U328" s="103"/>
      <c r="AF328" s="3">
        <v>45612</v>
      </c>
      <c r="AG328" s="2" t="s">
        <v>78</v>
      </c>
      <c r="AS328"/>
      <c r="AT328"/>
    </row>
    <row r="329" spans="2:46" ht="18">
      <c r="B329" s="94"/>
      <c r="C329" s="95"/>
      <c r="D329" s="95"/>
      <c r="E329" s="96"/>
      <c r="F329" s="97" t="e">
        <f>Tabela27[[#This Row],[VALOR TOTAL DA COMPRA]]/Tabela27[[#This Row],[QUANT.]]</f>
        <v>#DIV/0!</v>
      </c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2"/>
      <c r="T329" s="103"/>
      <c r="U329" s="103"/>
      <c r="AF329" s="3">
        <v>45613</v>
      </c>
      <c r="AG329" s="2" t="s">
        <v>78</v>
      </c>
      <c r="AS329"/>
      <c r="AT329"/>
    </row>
    <row r="330" spans="2:46" ht="18">
      <c r="B330" s="94"/>
      <c r="C330" s="95"/>
      <c r="D330" s="95"/>
      <c r="E330" s="96"/>
      <c r="F330" s="97" t="e">
        <f>Tabela27[[#This Row],[VALOR TOTAL DA COMPRA]]/Tabela27[[#This Row],[QUANT.]]</f>
        <v>#DIV/0!</v>
      </c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2"/>
      <c r="T330" s="103"/>
      <c r="U330" s="103"/>
      <c r="AF330" s="3">
        <v>45614</v>
      </c>
      <c r="AG330" s="2" t="s">
        <v>78</v>
      </c>
      <c r="AS330"/>
      <c r="AT330"/>
    </row>
    <row r="331" spans="2:46" ht="18">
      <c r="B331" s="94"/>
      <c r="C331" s="95"/>
      <c r="D331" s="95"/>
      <c r="E331" s="96"/>
      <c r="F331" s="97" t="e">
        <f>Tabela27[[#This Row],[VALOR TOTAL DA COMPRA]]/Tabela27[[#This Row],[QUANT.]]</f>
        <v>#DIV/0!</v>
      </c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2"/>
      <c r="T331" s="103"/>
      <c r="U331" s="103"/>
      <c r="AF331" s="3">
        <v>45615</v>
      </c>
      <c r="AG331" s="2" t="s">
        <v>78</v>
      </c>
      <c r="AS331"/>
      <c r="AT331"/>
    </row>
    <row r="332" spans="2:46" ht="18">
      <c r="B332" s="94"/>
      <c r="C332" s="95"/>
      <c r="D332" s="95"/>
      <c r="E332" s="96"/>
      <c r="F332" s="97" t="e">
        <f>Tabela27[[#This Row],[VALOR TOTAL DA COMPRA]]/Tabela27[[#This Row],[QUANT.]]</f>
        <v>#DIV/0!</v>
      </c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2"/>
      <c r="T332" s="103"/>
      <c r="U332" s="103"/>
      <c r="AF332" s="3">
        <v>45616</v>
      </c>
      <c r="AG332" s="2" t="s">
        <v>78</v>
      </c>
      <c r="AS332"/>
      <c r="AT332"/>
    </row>
    <row r="333" spans="2:46" ht="18">
      <c r="B333" s="94"/>
      <c r="C333" s="95"/>
      <c r="D333" s="95"/>
      <c r="E333" s="96"/>
      <c r="F333" s="97" t="e">
        <f>Tabela27[[#This Row],[VALOR TOTAL DA COMPRA]]/Tabela27[[#This Row],[QUANT.]]</f>
        <v>#DIV/0!</v>
      </c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2"/>
      <c r="T333" s="103"/>
      <c r="U333" s="103"/>
      <c r="AF333" s="3">
        <v>45617</v>
      </c>
      <c r="AG333" s="2" t="s">
        <v>78</v>
      </c>
      <c r="AS333"/>
      <c r="AT333"/>
    </row>
    <row r="334" spans="2:46" ht="18">
      <c r="B334" s="94"/>
      <c r="C334" s="95"/>
      <c r="D334" s="95"/>
      <c r="E334" s="96"/>
      <c r="F334" s="97" t="e">
        <f>Tabela27[[#This Row],[VALOR TOTAL DA COMPRA]]/Tabela27[[#This Row],[QUANT.]]</f>
        <v>#DIV/0!</v>
      </c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2"/>
      <c r="T334" s="103"/>
      <c r="U334" s="103"/>
      <c r="AF334" s="3">
        <v>45618</v>
      </c>
      <c r="AG334" s="2" t="s">
        <v>78</v>
      </c>
      <c r="AS334"/>
      <c r="AT334"/>
    </row>
    <row r="335" spans="2:46" ht="18">
      <c r="B335" s="94"/>
      <c r="C335" s="95"/>
      <c r="D335" s="95"/>
      <c r="E335" s="96"/>
      <c r="F335" s="97" t="e">
        <f>Tabela27[[#This Row],[VALOR TOTAL DA COMPRA]]/Tabela27[[#This Row],[QUANT.]]</f>
        <v>#DIV/0!</v>
      </c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2"/>
      <c r="T335" s="103"/>
      <c r="U335" s="103"/>
      <c r="AF335" s="3">
        <v>45619</v>
      </c>
      <c r="AG335" s="2" t="s">
        <v>78</v>
      </c>
      <c r="AS335"/>
      <c r="AT335"/>
    </row>
    <row r="336" spans="2:46" ht="16.8">
      <c r="Q336" s="2"/>
      <c r="T336" s="103"/>
      <c r="U336" s="103"/>
      <c r="AF336" s="3">
        <v>45620</v>
      </c>
      <c r="AG336" s="2" t="s">
        <v>78</v>
      </c>
      <c r="AS336"/>
      <c r="AT336"/>
    </row>
    <row r="337" spans="17:46" ht="16.8">
      <c r="Q337" s="2"/>
      <c r="T337" s="103"/>
      <c r="U337" s="103"/>
      <c r="AF337" s="3">
        <v>45621</v>
      </c>
      <c r="AG337" s="2" t="s">
        <v>78</v>
      </c>
      <c r="AS337"/>
      <c r="AT337"/>
    </row>
    <row r="338" spans="17:46" ht="16.8">
      <c r="Q338" s="2"/>
      <c r="T338" s="103"/>
      <c r="U338" s="103"/>
      <c r="AF338" s="3">
        <v>45622</v>
      </c>
      <c r="AG338" s="2" t="s">
        <v>78</v>
      </c>
      <c r="AS338"/>
      <c r="AT338"/>
    </row>
    <row r="339" spans="17:46" ht="16.8">
      <c r="Q339" s="2"/>
      <c r="T339" s="103"/>
      <c r="U339" s="103"/>
      <c r="AF339" s="3">
        <v>45623</v>
      </c>
      <c r="AG339" s="2" t="s">
        <v>78</v>
      </c>
      <c r="AS339"/>
      <c r="AT339"/>
    </row>
    <row r="340" spans="17:46" ht="16.8">
      <c r="T340" s="103"/>
      <c r="U340" s="103"/>
      <c r="AF340" s="3">
        <v>45624</v>
      </c>
      <c r="AG340" s="2" t="s">
        <v>78</v>
      </c>
      <c r="AS340"/>
      <c r="AT340"/>
    </row>
    <row r="341" spans="17:46" ht="16.8">
      <c r="T341" s="103"/>
      <c r="U341" s="103"/>
      <c r="AF341" s="3">
        <v>45625</v>
      </c>
      <c r="AG341" s="2" t="s">
        <v>78</v>
      </c>
      <c r="AS341"/>
      <c r="AT341"/>
    </row>
    <row r="342" spans="17:46" ht="16.8">
      <c r="T342" s="103"/>
      <c r="U342" s="103"/>
      <c r="AF342" s="3">
        <v>45626</v>
      </c>
      <c r="AG342" s="2" t="s">
        <v>78</v>
      </c>
      <c r="AS342"/>
      <c r="AT342"/>
    </row>
    <row r="343" spans="17:46" ht="16.8">
      <c r="T343" s="103"/>
      <c r="U343" s="103"/>
      <c r="AF343" s="3">
        <v>45627</v>
      </c>
      <c r="AG343" s="2" t="s">
        <v>79</v>
      </c>
      <c r="AS343"/>
      <c r="AT343"/>
    </row>
    <row r="344" spans="17:46" ht="16.8">
      <c r="T344" s="103"/>
      <c r="U344" s="103"/>
      <c r="AF344" s="3">
        <v>45628</v>
      </c>
      <c r="AG344" s="2" t="s">
        <v>79</v>
      </c>
      <c r="AS344"/>
      <c r="AT344"/>
    </row>
    <row r="345" spans="17:46" ht="16.8">
      <c r="T345" s="103"/>
      <c r="U345" s="103"/>
      <c r="AF345" s="3">
        <v>45629</v>
      </c>
      <c r="AG345" s="2" t="s">
        <v>79</v>
      </c>
      <c r="AS345"/>
      <c r="AT345"/>
    </row>
    <row r="346" spans="17:46" ht="16.8">
      <c r="T346" s="103"/>
      <c r="U346" s="103"/>
      <c r="AF346" s="3">
        <v>45630</v>
      </c>
      <c r="AG346" s="2" t="s">
        <v>79</v>
      </c>
      <c r="AS346"/>
      <c r="AT346"/>
    </row>
    <row r="347" spans="17:46" ht="16.8">
      <c r="T347" s="103"/>
      <c r="U347" s="103"/>
      <c r="AF347" s="3">
        <v>45631</v>
      </c>
      <c r="AG347" s="2" t="s">
        <v>79</v>
      </c>
      <c r="AS347"/>
      <c r="AT347"/>
    </row>
    <row r="348" spans="17:46" ht="16.8">
      <c r="T348" s="103"/>
      <c r="U348" s="103"/>
      <c r="AF348" s="3">
        <v>45632</v>
      </c>
      <c r="AG348" s="2" t="s">
        <v>79</v>
      </c>
      <c r="AS348"/>
      <c r="AT348"/>
    </row>
    <row r="349" spans="17:46" ht="16.8">
      <c r="T349" s="103"/>
      <c r="U349" s="103"/>
      <c r="AF349" s="3">
        <v>45633</v>
      </c>
      <c r="AG349" s="2" t="s">
        <v>79</v>
      </c>
      <c r="AS349"/>
      <c r="AT349"/>
    </row>
    <row r="350" spans="17:46" ht="16.8">
      <c r="T350" s="103"/>
      <c r="U350" s="103"/>
      <c r="AF350" s="3">
        <v>45634</v>
      </c>
      <c r="AG350" s="2" t="s">
        <v>79</v>
      </c>
      <c r="AS350"/>
      <c r="AT350"/>
    </row>
    <row r="351" spans="17:46" ht="16.8">
      <c r="T351" s="103"/>
      <c r="U351" s="103"/>
      <c r="AF351" s="3">
        <v>45635</v>
      </c>
      <c r="AG351" s="2" t="s">
        <v>79</v>
      </c>
      <c r="AS351"/>
      <c r="AT351"/>
    </row>
    <row r="352" spans="17:46" ht="16.8">
      <c r="T352" s="103"/>
      <c r="U352" s="103"/>
      <c r="AF352" s="3">
        <v>45636</v>
      </c>
      <c r="AG352" s="2" t="s">
        <v>79</v>
      </c>
      <c r="AS352"/>
      <c r="AT352"/>
    </row>
    <row r="353" spans="20:46" ht="16.8">
      <c r="T353" s="103"/>
      <c r="U353" s="103"/>
      <c r="AF353" s="3">
        <v>45637</v>
      </c>
      <c r="AG353" s="2" t="s">
        <v>79</v>
      </c>
      <c r="AS353"/>
      <c r="AT353"/>
    </row>
    <row r="354" spans="20:46" ht="16.8">
      <c r="T354" s="103"/>
      <c r="U354" s="103"/>
      <c r="AF354" s="3">
        <v>45638</v>
      </c>
      <c r="AG354" s="2" t="s">
        <v>79</v>
      </c>
      <c r="AS354"/>
      <c r="AT354"/>
    </row>
    <row r="355" spans="20:46" ht="16.8">
      <c r="T355" s="103"/>
      <c r="U355" s="103"/>
      <c r="AF355" s="3">
        <v>45639</v>
      </c>
      <c r="AG355" s="2" t="s">
        <v>79</v>
      </c>
      <c r="AS355"/>
      <c r="AT355"/>
    </row>
    <row r="356" spans="20:46" ht="16.8">
      <c r="T356" s="103"/>
      <c r="U356" s="103"/>
      <c r="AF356" s="3">
        <v>45640</v>
      </c>
      <c r="AG356" s="2" t="s">
        <v>79</v>
      </c>
      <c r="AS356"/>
      <c r="AT356"/>
    </row>
    <row r="357" spans="20:46" ht="16.8">
      <c r="T357" s="103"/>
      <c r="U357" s="103"/>
      <c r="AF357" s="3">
        <v>45641</v>
      </c>
      <c r="AG357" s="2" t="s">
        <v>79</v>
      </c>
      <c r="AS357"/>
      <c r="AT357"/>
    </row>
    <row r="358" spans="20:46" ht="16.8">
      <c r="T358" s="103"/>
      <c r="U358" s="103"/>
      <c r="AF358" s="3">
        <v>45642</v>
      </c>
      <c r="AG358" s="2" t="s">
        <v>79</v>
      </c>
      <c r="AS358"/>
      <c r="AT358"/>
    </row>
    <row r="359" spans="20:46" ht="16.8">
      <c r="T359" s="103"/>
      <c r="U359" s="103"/>
      <c r="AF359" s="3">
        <v>45643</v>
      </c>
      <c r="AG359" s="2" t="s">
        <v>79</v>
      </c>
      <c r="AS359"/>
      <c r="AT359"/>
    </row>
    <row r="360" spans="20:46" ht="16.8">
      <c r="T360" s="103"/>
      <c r="U360" s="103"/>
      <c r="AF360" s="3">
        <v>45644</v>
      </c>
      <c r="AG360" s="2" t="s">
        <v>79</v>
      </c>
      <c r="AS360"/>
      <c r="AT360"/>
    </row>
    <row r="361" spans="20:46" ht="16.8">
      <c r="T361" s="103"/>
      <c r="U361" s="103"/>
      <c r="AF361" s="3">
        <v>45645</v>
      </c>
      <c r="AG361" s="2" t="s">
        <v>79</v>
      </c>
      <c r="AS361"/>
      <c r="AT361"/>
    </row>
    <row r="362" spans="20:46" ht="16.8">
      <c r="T362" s="103"/>
      <c r="U362" s="103"/>
      <c r="AF362" s="3">
        <v>45646</v>
      </c>
      <c r="AG362" s="2" t="s">
        <v>79</v>
      </c>
      <c r="AS362"/>
      <c r="AT362"/>
    </row>
    <row r="363" spans="20:46" ht="16.8">
      <c r="T363" s="103"/>
      <c r="U363" s="103"/>
      <c r="AF363" s="3">
        <v>45647</v>
      </c>
      <c r="AG363" s="2" t="s">
        <v>79</v>
      </c>
      <c r="AS363"/>
      <c r="AT363"/>
    </row>
    <row r="364" spans="20:46" ht="16.8">
      <c r="T364" s="103"/>
      <c r="U364" s="103"/>
      <c r="AF364" s="3">
        <v>45648</v>
      </c>
      <c r="AG364" s="2" t="s">
        <v>79</v>
      </c>
      <c r="AS364"/>
      <c r="AT364"/>
    </row>
    <row r="365" spans="20:46" ht="16.8">
      <c r="T365" s="103"/>
      <c r="U365" s="103"/>
      <c r="AF365" s="3">
        <v>45649</v>
      </c>
      <c r="AG365" s="2" t="s">
        <v>79</v>
      </c>
      <c r="AS365"/>
      <c r="AT365"/>
    </row>
    <row r="366" spans="20:46" ht="16.8">
      <c r="T366" s="103"/>
      <c r="U366" s="103"/>
      <c r="AF366" s="3">
        <v>45650</v>
      </c>
      <c r="AG366" s="2" t="s">
        <v>79</v>
      </c>
      <c r="AS366"/>
      <c r="AT366"/>
    </row>
    <row r="367" spans="20:46" ht="16.8">
      <c r="T367" s="103"/>
      <c r="U367" s="103"/>
      <c r="AF367" s="3">
        <v>45651</v>
      </c>
      <c r="AG367" s="2" t="s">
        <v>79</v>
      </c>
      <c r="AS367"/>
      <c r="AT367"/>
    </row>
    <row r="368" spans="20:46" ht="16.8">
      <c r="T368" s="103"/>
      <c r="U368" s="103"/>
      <c r="AF368" s="3">
        <v>45652</v>
      </c>
      <c r="AG368" s="2" t="s">
        <v>79</v>
      </c>
      <c r="AS368"/>
      <c r="AT368"/>
    </row>
    <row r="369" spans="20:46" ht="16.8">
      <c r="T369" s="103"/>
      <c r="U369" s="103"/>
      <c r="AF369" s="3">
        <v>45653</v>
      </c>
      <c r="AG369" s="2" t="s">
        <v>79</v>
      </c>
      <c r="AS369"/>
      <c r="AT369"/>
    </row>
    <row r="370" spans="20:46" ht="16.8">
      <c r="T370" s="103"/>
      <c r="U370" s="103"/>
      <c r="AF370" s="3">
        <v>45654</v>
      </c>
      <c r="AG370" s="2" t="s">
        <v>79</v>
      </c>
      <c r="AS370"/>
      <c r="AT370"/>
    </row>
    <row r="371" spans="20:46" ht="16.8">
      <c r="T371" s="103"/>
      <c r="U371" s="103"/>
      <c r="AF371" s="3">
        <v>45655</v>
      </c>
      <c r="AG371" s="2" t="s">
        <v>79</v>
      </c>
      <c r="AS371"/>
      <c r="AT371"/>
    </row>
    <row r="372" spans="20:46" ht="16.8">
      <c r="T372" s="103"/>
      <c r="U372" s="103"/>
      <c r="AF372" s="3">
        <v>45656</v>
      </c>
      <c r="AG372" s="2" t="s">
        <v>79</v>
      </c>
      <c r="AS372"/>
      <c r="AT372"/>
    </row>
    <row r="373" spans="20:46" ht="16.8">
      <c r="T373" s="103"/>
      <c r="U373" s="103"/>
      <c r="AF373" s="3">
        <v>45657</v>
      </c>
      <c r="AG373" s="2" t="s">
        <v>79</v>
      </c>
      <c r="AS373"/>
      <c r="AT373"/>
    </row>
    <row r="374" spans="20:46" ht="16.8">
      <c r="T374" s="103"/>
      <c r="U374" s="103"/>
      <c r="AF374" s="3">
        <v>45658</v>
      </c>
      <c r="AG374" s="2" t="s">
        <v>69</v>
      </c>
      <c r="AS374"/>
      <c r="AT374"/>
    </row>
    <row r="375" spans="20:46" ht="16.8">
      <c r="T375" s="103"/>
      <c r="U375" s="103"/>
      <c r="AF375" s="3">
        <v>45659</v>
      </c>
      <c r="AG375" s="2" t="s">
        <v>69</v>
      </c>
      <c r="AS375"/>
      <c r="AT375"/>
    </row>
    <row r="376" spans="20:46" ht="16.8">
      <c r="T376" s="103"/>
      <c r="U376" s="103"/>
      <c r="AF376" s="3">
        <v>45660</v>
      </c>
      <c r="AG376" s="2" t="s">
        <v>69</v>
      </c>
      <c r="AS376"/>
      <c r="AT376"/>
    </row>
    <row r="377" spans="20:46" ht="16.8">
      <c r="T377" s="103"/>
      <c r="U377" s="103"/>
      <c r="AF377" s="3">
        <v>45661</v>
      </c>
      <c r="AG377" s="2" t="s">
        <v>69</v>
      </c>
      <c r="AS377"/>
      <c r="AT377"/>
    </row>
    <row r="378" spans="20:46" ht="16.8">
      <c r="T378" s="103"/>
      <c r="U378" s="103"/>
      <c r="AF378" s="3">
        <v>45662</v>
      </c>
      <c r="AG378" s="2" t="s">
        <v>69</v>
      </c>
      <c r="AS378"/>
      <c r="AT378"/>
    </row>
    <row r="379" spans="20:46" ht="16.8">
      <c r="T379" s="103"/>
      <c r="U379" s="103"/>
      <c r="AF379" s="3">
        <v>45663</v>
      </c>
      <c r="AG379" s="2" t="s">
        <v>69</v>
      </c>
      <c r="AS379"/>
      <c r="AT379"/>
    </row>
    <row r="380" spans="20:46" ht="16.8">
      <c r="T380" s="103"/>
      <c r="U380" s="103"/>
      <c r="AF380" s="3">
        <v>45664</v>
      </c>
      <c r="AG380" s="2" t="s">
        <v>69</v>
      </c>
      <c r="AS380"/>
      <c r="AT380"/>
    </row>
    <row r="381" spans="20:46" ht="16.8">
      <c r="T381" s="103"/>
      <c r="U381" s="103"/>
      <c r="AF381" s="3">
        <v>45665</v>
      </c>
      <c r="AG381" s="2" t="s">
        <v>69</v>
      </c>
      <c r="AS381"/>
      <c r="AT381"/>
    </row>
    <row r="382" spans="20:46" ht="16.8">
      <c r="T382" s="103"/>
      <c r="U382" s="103"/>
      <c r="AF382" s="3">
        <v>45666</v>
      </c>
      <c r="AG382" s="2" t="s">
        <v>69</v>
      </c>
      <c r="AS382"/>
      <c r="AT382"/>
    </row>
    <row r="383" spans="20:46" ht="16.8">
      <c r="T383" s="103"/>
      <c r="U383" s="103"/>
      <c r="AF383" s="3">
        <v>45667</v>
      </c>
      <c r="AG383" s="2" t="s">
        <v>69</v>
      </c>
      <c r="AS383"/>
      <c r="AT383"/>
    </row>
    <row r="384" spans="20:46" ht="16.8">
      <c r="T384" s="103"/>
      <c r="U384" s="103"/>
      <c r="AF384" s="3">
        <v>45668</v>
      </c>
      <c r="AG384" s="2" t="s">
        <v>69</v>
      </c>
      <c r="AS384"/>
      <c r="AT384"/>
    </row>
    <row r="385" spans="20:46" ht="16.8">
      <c r="T385" s="103"/>
      <c r="U385" s="103"/>
      <c r="AF385" s="3">
        <v>45669</v>
      </c>
      <c r="AG385" s="2" t="s">
        <v>69</v>
      </c>
      <c r="AS385"/>
      <c r="AT385"/>
    </row>
    <row r="386" spans="20:46" ht="16.8">
      <c r="T386" s="103"/>
      <c r="U386" s="103"/>
      <c r="AF386" s="3">
        <v>45670</v>
      </c>
      <c r="AG386" s="2" t="s">
        <v>69</v>
      </c>
      <c r="AS386"/>
      <c r="AT386"/>
    </row>
    <row r="387" spans="20:46" ht="16.8">
      <c r="T387" s="103"/>
      <c r="U387" s="103"/>
      <c r="AF387" s="3">
        <v>45671</v>
      </c>
      <c r="AG387" s="2" t="s">
        <v>69</v>
      </c>
      <c r="AS387"/>
      <c r="AT387"/>
    </row>
    <row r="388" spans="20:46" ht="16.8">
      <c r="T388" s="103"/>
      <c r="U388" s="103"/>
      <c r="AF388" s="3">
        <v>45672</v>
      </c>
      <c r="AG388" s="2" t="s">
        <v>69</v>
      </c>
      <c r="AS388"/>
      <c r="AT388"/>
    </row>
    <row r="389" spans="20:46" ht="16.8">
      <c r="T389" s="103"/>
      <c r="U389" s="103"/>
      <c r="AF389" s="3">
        <v>45673</v>
      </c>
      <c r="AG389" s="2" t="s">
        <v>69</v>
      </c>
      <c r="AS389"/>
      <c r="AT389"/>
    </row>
    <row r="390" spans="20:46" ht="16.8">
      <c r="T390" s="103"/>
      <c r="U390" s="103"/>
      <c r="AF390" s="3">
        <v>45674</v>
      </c>
      <c r="AG390" s="2" t="s">
        <v>69</v>
      </c>
      <c r="AS390"/>
      <c r="AT390"/>
    </row>
    <row r="391" spans="20:46" ht="16.8">
      <c r="T391" s="103"/>
      <c r="U391" s="103"/>
      <c r="AF391" s="3">
        <v>45675</v>
      </c>
      <c r="AG391" s="2" t="s">
        <v>69</v>
      </c>
      <c r="AS391"/>
      <c r="AT391"/>
    </row>
    <row r="392" spans="20:46" ht="16.8">
      <c r="T392" s="103"/>
      <c r="U392" s="103"/>
      <c r="AF392" s="3">
        <v>45676</v>
      </c>
      <c r="AG392" s="2" t="s">
        <v>69</v>
      </c>
      <c r="AS392"/>
      <c r="AT392"/>
    </row>
    <row r="393" spans="20:46" ht="16.8">
      <c r="T393" s="103"/>
      <c r="U393" s="103"/>
      <c r="AF393" s="3">
        <v>45677</v>
      </c>
      <c r="AG393" s="2" t="s">
        <v>69</v>
      </c>
      <c r="AS393"/>
      <c r="AT393"/>
    </row>
    <row r="394" spans="20:46" ht="16.8">
      <c r="T394" s="103"/>
      <c r="U394" s="103"/>
      <c r="AF394" s="3">
        <v>45678</v>
      </c>
      <c r="AG394" s="2" t="s">
        <v>69</v>
      </c>
      <c r="AS394"/>
      <c r="AT394"/>
    </row>
    <row r="395" spans="20:46" ht="16.8">
      <c r="T395" s="103"/>
      <c r="U395" s="103"/>
      <c r="AF395" s="3">
        <v>45679</v>
      </c>
      <c r="AG395" s="2" t="s">
        <v>69</v>
      </c>
      <c r="AS395"/>
      <c r="AT395"/>
    </row>
    <row r="396" spans="20:46" ht="16.8">
      <c r="T396" s="103"/>
      <c r="U396" s="103"/>
      <c r="AF396" s="3">
        <v>45680</v>
      </c>
      <c r="AG396" s="2" t="s">
        <v>69</v>
      </c>
      <c r="AS396"/>
      <c r="AT396"/>
    </row>
    <row r="397" spans="20:46" ht="16.8">
      <c r="T397" s="103"/>
      <c r="U397" s="103"/>
      <c r="AF397" s="3">
        <v>45681</v>
      </c>
      <c r="AG397" s="2" t="s">
        <v>69</v>
      </c>
      <c r="AS397"/>
      <c r="AT397"/>
    </row>
    <row r="398" spans="20:46" ht="16.8">
      <c r="T398" s="103"/>
      <c r="U398" s="103"/>
      <c r="AF398" s="3">
        <v>45682</v>
      </c>
      <c r="AG398" s="2" t="s">
        <v>69</v>
      </c>
      <c r="AS398"/>
      <c r="AT398"/>
    </row>
    <row r="399" spans="20:46" ht="16.8">
      <c r="T399" s="103"/>
      <c r="U399" s="103"/>
      <c r="AF399" s="3">
        <v>45683</v>
      </c>
      <c r="AG399" s="2" t="s">
        <v>69</v>
      </c>
      <c r="AS399"/>
      <c r="AT399"/>
    </row>
    <row r="400" spans="20:46" ht="16.8">
      <c r="T400" s="103"/>
      <c r="U400" s="103"/>
      <c r="AF400" s="3">
        <v>45684</v>
      </c>
      <c r="AG400" s="2" t="s">
        <v>69</v>
      </c>
      <c r="AS400"/>
      <c r="AT400"/>
    </row>
    <row r="401" spans="20:46" ht="16.8">
      <c r="T401" s="103"/>
      <c r="U401" s="103"/>
      <c r="AF401" s="3">
        <v>45685</v>
      </c>
      <c r="AG401" s="2" t="s">
        <v>69</v>
      </c>
      <c r="AS401"/>
      <c r="AT401"/>
    </row>
    <row r="402" spans="20:46" ht="16.8">
      <c r="T402" s="103"/>
      <c r="U402" s="103"/>
      <c r="AF402" s="3">
        <v>45686</v>
      </c>
      <c r="AG402" s="2" t="s">
        <v>69</v>
      </c>
      <c r="AS402"/>
      <c r="AT402"/>
    </row>
    <row r="403" spans="20:46" ht="16.8">
      <c r="T403" s="103"/>
      <c r="U403" s="103"/>
      <c r="AF403" s="3">
        <v>45687</v>
      </c>
      <c r="AG403" s="2" t="s">
        <v>69</v>
      </c>
      <c r="AS403"/>
      <c r="AT403"/>
    </row>
    <row r="404" spans="20:46" ht="16.8">
      <c r="T404" s="103"/>
      <c r="U404" s="103"/>
      <c r="AF404" s="3">
        <v>45688</v>
      </c>
      <c r="AG404" s="2" t="s">
        <v>69</v>
      </c>
      <c r="AS404"/>
      <c r="AT404"/>
    </row>
    <row r="405" spans="20:46" ht="16.8">
      <c r="T405" s="103"/>
      <c r="U405" s="103"/>
      <c r="AF405" s="3">
        <v>45689</v>
      </c>
      <c r="AG405" s="2" t="s">
        <v>71</v>
      </c>
      <c r="AS405"/>
      <c r="AT405"/>
    </row>
    <row r="406" spans="20:46" ht="16.8">
      <c r="T406" s="103"/>
      <c r="U406" s="103"/>
      <c r="AF406" s="3">
        <v>45690</v>
      </c>
      <c r="AG406" s="2" t="s">
        <v>71</v>
      </c>
      <c r="AS406"/>
      <c r="AT406"/>
    </row>
    <row r="407" spans="20:46" ht="16.8">
      <c r="T407" s="103"/>
      <c r="U407" s="103"/>
      <c r="AF407" s="3">
        <v>45691</v>
      </c>
      <c r="AG407" s="2" t="s">
        <v>71</v>
      </c>
      <c r="AS407"/>
      <c r="AT407"/>
    </row>
    <row r="408" spans="20:46" ht="16.8">
      <c r="T408" s="103"/>
      <c r="U408" s="103"/>
      <c r="AF408" s="3">
        <v>45692</v>
      </c>
      <c r="AG408" s="2" t="s">
        <v>71</v>
      </c>
      <c r="AS408"/>
      <c r="AT408"/>
    </row>
    <row r="409" spans="20:46" ht="16.8">
      <c r="T409" s="103"/>
      <c r="U409" s="103"/>
      <c r="AF409" s="3">
        <v>45693</v>
      </c>
      <c r="AG409" s="2" t="s">
        <v>71</v>
      </c>
      <c r="AS409"/>
      <c r="AT409"/>
    </row>
    <row r="410" spans="20:46" ht="16.8">
      <c r="T410" s="103"/>
      <c r="U410" s="103"/>
      <c r="AF410" s="3">
        <v>45694</v>
      </c>
      <c r="AG410" s="2" t="s">
        <v>71</v>
      </c>
      <c r="AS410"/>
      <c r="AT410"/>
    </row>
    <row r="411" spans="20:46" ht="16.8">
      <c r="T411" s="103"/>
      <c r="U411" s="103"/>
      <c r="AF411" s="3">
        <v>45695</v>
      </c>
      <c r="AG411" s="2" t="s">
        <v>71</v>
      </c>
      <c r="AS411"/>
      <c r="AT411"/>
    </row>
    <row r="412" spans="20:46" ht="16.8">
      <c r="T412" s="103"/>
      <c r="U412" s="103"/>
      <c r="AF412" s="3">
        <v>45696</v>
      </c>
      <c r="AG412" s="2" t="s">
        <v>71</v>
      </c>
      <c r="AS412"/>
      <c r="AT412"/>
    </row>
    <row r="413" spans="20:46" ht="16.8">
      <c r="T413" s="103"/>
      <c r="U413" s="103"/>
      <c r="AF413" s="3">
        <v>45697</v>
      </c>
      <c r="AG413" s="2" t="s">
        <v>71</v>
      </c>
      <c r="AS413"/>
      <c r="AT413"/>
    </row>
    <row r="414" spans="20:46" ht="16.8">
      <c r="T414" s="103"/>
      <c r="U414" s="103"/>
      <c r="AF414" s="3">
        <v>45698</v>
      </c>
      <c r="AG414" s="2" t="s">
        <v>71</v>
      </c>
      <c r="AS414"/>
      <c r="AT414"/>
    </row>
    <row r="415" spans="20:46" ht="16.8">
      <c r="T415" s="103"/>
      <c r="U415" s="103"/>
      <c r="AF415" s="3">
        <v>45699</v>
      </c>
      <c r="AG415" s="2" t="s">
        <v>71</v>
      </c>
      <c r="AS415"/>
      <c r="AT415"/>
    </row>
    <row r="416" spans="20:46" ht="16.8">
      <c r="T416" s="103"/>
      <c r="U416" s="103"/>
      <c r="AF416" s="3">
        <v>45700</v>
      </c>
      <c r="AG416" s="2" t="s">
        <v>71</v>
      </c>
      <c r="AS416"/>
      <c r="AT416"/>
    </row>
    <row r="417" spans="20:46" ht="16.8">
      <c r="T417" s="103"/>
      <c r="U417" s="103"/>
      <c r="AF417" s="3">
        <v>45701</v>
      </c>
      <c r="AG417" s="2" t="s">
        <v>71</v>
      </c>
      <c r="AS417"/>
      <c r="AT417"/>
    </row>
    <row r="418" spans="20:46" ht="16.8">
      <c r="T418" s="103"/>
      <c r="U418" s="103"/>
      <c r="AF418" s="3">
        <v>45702</v>
      </c>
      <c r="AG418" s="2" t="s">
        <v>71</v>
      </c>
      <c r="AS418"/>
      <c r="AT418"/>
    </row>
    <row r="419" spans="20:46" ht="16.8">
      <c r="T419" s="103"/>
      <c r="U419" s="103"/>
      <c r="AF419" s="3">
        <v>45703</v>
      </c>
      <c r="AG419" s="2" t="s">
        <v>71</v>
      </c>
      <c r="AS419"/>
      <c r="AT419"/>
    </row>
    <row r="420" spans="20:46" ht="16.8">
      <c r="T420" s="103"/>
      <c r="U420" s="103"/>
      <c r="AF420" s="3">
        <v>45704</v>
      </c>
      <c r="AG420" s="2" t="s">
        <v>71</v>
      </c>
      <c r="AS420"/>
      <c r="AT420"/>
    </row>
    <row r="421" spans="20:46" ht="16.8">
      <c r="T421" s="103"/>
      <c r="U421" s="103"/>
      <c r="AF421" s="3">
        <v>45705</v>
      </c>
      <c r="AG421" s="2" t="s">
        <v>71</v>
      </c>
      <c r="AS421"/>
      <c r="AT421"/>
    </row>
    <row r="422" spans="20:46" ht="16.8">
      <c r="T422" s="103"/>
      <c r="U422" s="103"/>
      <c r="AF422" s="3">
        <v>45706</v>
      </c>
      <c r="AG422" s="2" t="s">
        <v>71</v>
      </c>
      <c r="AS422"/>
      <c r="AT422"/>
    </row>
    <row r="423" spans="20:46" ht="16.8">
      <c r="T423" s="103"/>
      <c r="U423" s="103"/>
      <c r="AF423" s="3">
        <v>45707</v>
      </c>
      <c r="AG423" s="2" t="s">
        <v>71</v>
      </c>
      <c r="AS423"/>
      <c r="AT423"/>
    </row>
    <row r="424" spans="20:46" ht="16.8">
      <c r="T424" s="103"/>
      <c r="U424" s="103"/>
      <c r="AF424" s="3">
        <v>45708</v>
      </c>
      <c r="AG424" s="2" t="s">
        <v>71</v>
      </c>
      <c r="AS424"/>
      <c r="AT424"/>
    </row>
    <row r="425" spans="20:46" ht="16.8">
      <c r="T425" s="103"/>
      <c r="U425" s="103"/>
      <c r="AF425" s="3">
        <v>45709</v>
      </c>
      <c r="AG425" s="2" t="s">
        <v>71</v>
      </c>
      <c r="AS425"/>
      <c r="AT425"/>
    </row>
    <row r="426" spans="20:46" ht="16.8">
      <c r="T426" s="103"/>
      <c r="U426" s="103"/>
      <c r="AF426" s="3">
        <v>45710</v>
      </c>
      <c r="AG426" s="2" t="s">
        <v>71</v>
      </c>
      <c r="AS426"/>
      <c r="AT426"/>
    </row>
    <row r="427" spans="20:46" ht="16.8">
      <c r="T427" s="103"/>
      <c r="U427" s="103"/>
      <c r="AF427" s="3">
        <v>45711</v>
      </c>
      <c r="AG427" s="2" t="s">
        <v>71</v>
      </c>
      <c r="AS427"/>
      <c r="AT427"/>
    </row>
    <row r="428" spans="20:46" ht="16.8">
      <c r="T428" s="103"/>
      <c r="U428" s="103"/>
      <c r="AF428" s="3">
        <v>45712</v>
      </c>
      <c r="AG428" s="2" t="s">
        <v>71</v>
      </c>
      <c r="AS428"/>
      <c r="AT428"/>
    </row>
    <row r="429" spans="20:46" ht="16.8">
      <c r="T429" s="103"/>
      <c r="U429" s="103"/>
      <c r="AF429" s="3">
        <v>45713</v>
      </c>
      <c r="AG429" s="2" t="s">
        <v>71</v>
      </c>
      <c r="AS429"/>
      <c r="AT429"/>
    </row>
    <row r="430" spans="20:46" ht="16.8">
      <c r="T430" s="103"/>
      <c r="U430" s="103"/>
      <c r="AF430" s="3">
        <v>45714</v>
      </c>
      <c r="AG430" s="2" t="s">
        <v>71</v>
      </c>
      <c r="AS430"/>
      <c r="AT430"/>
    </row>
    <row r="431" spans="20:46" ht="16.8">
      <c r="T431" s="103"/>
      <c r="U431" s="103"/>
      <c r="AF431" s="3">
        <v>45715</v>
      </c>
      <c r="AG431" s="2" t="s">
        <v>71</v>
      </c>
      <c r="AS431"/>
      <c r="AT431"/>
    </row>
    <row r="432" spans="20:46" ht="16.8">
      <c r="T432" s="103"/>
      <c r="U432" s="103"/>
      <c r="AF432" s="3">
        <v>45716</v>
      </c>
      <c r="AG432" s="2" t="s">
        <v>71</v>
      </c>
      <c r="AS432"/>
      <c r="AT432"/>
    </row>
    <row r="433" spans="20:46" ht="16.8">
      <c r="T433" s="103"/>
      <c r="U433" s="103"/>
      <c r="AF433" s="3">
        <v>45717</v>
      </c>
      <c r="AG433" s="2" t="s">
        <v>72</v>
      </c>
      <c r="AS433"/>
      <c r="AT433"/>
    </row>
    <row r="434" spans="20:46" ht="16.8">
      <c r="T434" s="103"/>
      <c r="U434" s="103"/>
      <c r="AF434" s="3">
        <v>45718</v>
      </c>
      <c r="AG434" s="2" t="s">
        <v>72</v>
      </c>
      <c r="AS434"/>
      <c r="AT434"/>
    </row>
    <row r="435" spans="20:46" ht="16.8">
      <c r="T435" s="103"/>
      <c r="U435" s="103"/>
      <c r="AF435" s="3">
        <v>45719</v>
      </c>
      <c r="AG435" s="2" t="s">
        <v>72</v>
      </c>
      <c r="AS435"/>
      <c r="AT435"/>
    </row>
    <row r="436" spans="20:46" ht="16.8">
      <c r="T436" s="103"/>
      <c r="U436" s="103"/>
      <c r="AF436" s="3">
        <v>45720</v>
      </c>
      <c r="AG436" s="2" t="s">
        <v>72</v>
      </c>
      <c r="AS436"/>
      <c r="AT436"/>
    </row>
    <row r="437" spans="20:46" ht="16.8">
      <c r="T437" s="103"/>
      <c r="U437" s="103"/>
      <c r="AF437" s="3">
        <v>45721</v>
      </c>
      <c r="AG437" s="2" t="s">
        <v>72</v>
      </c>
      <c r="AS437"/>
      <c r="AT437"/>
    </row>
    <row r="438" spans="20:46" ht="16.8">
      <c r="T438" s="103"/>
      <c r="U438" s="103"/>
      <c r="AF438" s="3">
        <v>45722</v>
      </c>
      <c r="AG438" s="2" t="s">
        <v>72</v>
      </c>
      <c r="AS438"/>
      <c r="AT438"/>
    </row>
    <row r="439" spans="20:46" ht="16.8">
      <c r="T439" s="103"/>
      <c r="U439" s="103"/>
      <c r="AF439" s="3">
        <v>45723</v>
      </c>
      <c r="AG439" s="2" t="s">
        <v>72</v>
      </c>
      <c r="AS439"/>
      <c r="AT439"/>
    </row>
    <row r="440" spans="20:46" ht="16.8">
      <c r="T440" s="103"/>
      <c r="U440" s="103"/>
      <c r="AF440" s="3">
        <v>45724</v>
      </c>
      <c r="AG440" s="2" t="s">
        <v>72</v>
      </c>
      <c r="AS440"/>
      <c r="AT440"/>
    </row>
    <row r="441" spans="20:46" ht="16.8">
      <c r="T441" s="103"/>
      <c r="U441" s="103"/>
      <c r="AF441" s="3">
        <v>45725</v>
      </c>
      <c r="AG441" s="2" t="s">
        <v>72</v>
      </c>
      <c r="AS441"/>
      <c r="AT441"/>
    </row>
    <row r="442" spans="20:46" ht="16.8">
      <c r="T442" s="103"/>
      <c r="U442" s="103"/>
      <c r="AF442" s="3">
        <v>45726</v>
      </c>
      <c r="AG442" s="2" t="s">
        <v>72</v>
      </c>
      <c r="AS442"/>
      <c r="AT442"/>
    </row>
    <row r="443" spans="20:46" ht="16.8">
      <c r="T443" s="103"/>
      <c r="U443" s="103"/>
      <c r="AF443" s="3">
        <v>45727</v>
      </c>
      <c r="AG443" s="2" t="s">
        <v>72</v>
      </c>
      <c r="AS443"/>
      <c r="AT443"/>
    </row>
    <row r="444" spans="20:46" ht="16.8">
      <c r="T444" s="103"/>
      <c r="U444" s="103"/>
      <c r="AF444" s="3">
        <v>45728</v>
      </c>
      <c r="AG444" s="2" t="s">
        <v>72</v>
      </c>
      <c r="AS444"/>
      <c r="AT444"/>
    </row>
    <row r="445" spans="20:46" ht="16.8">
      <c r="T445" s="103"/>
      <c r="U445" s="103"/>
      <c r="AF445" s="3">
        <v>45729</v>
      </c>
      <c r="AG445" s="2" t="s">
        <v>72</v>
      </c>
      <c r="AS445"/>
      <c r="AT445"/>
    </row>
    <row r="446" spans="20:46" ht="16.8">
      <c r="T446" s="103"/>
      <c r="U446" s="103"/>
      <c r="AF446" s="3">
        <v>45730</v>
      </c>
      <c r="AG446" s="2" t="s">
        <v>72</v>
      </c>
      <c r="AS446"/>
      <c r="AT446"/>
    </row>
    <row r="447" spans="20:46" ht="16.8">
      <c r="T447" s="103"/>
      <c r="U447" s="103"/>
      <c r="AF447" s="3">
        <v>45731</v>
      </c>
      <c r="AG447" s="2" t="s">
        <v>72</v>
      </c>
      <c r="AS447"/>
      <c r="AT447"/>
    </row>
    <row r="448" spans="20:46" ht="16.8">
      <c r="T448" s="103"/>
      <c r="U448" s="103"/>
      <c r="AF448" s="3">
        <v>45732</v>
      </c>
      <c r="AG448" s="2" t="s">
        <v>72</v>
      </c>
      <c r="AS448"/>
      <c r="AT448"/>
    </row>
    <row r="449" spans="20:46" ht="16.8">
      <c r="T449" s="103"/>
      <c r="U449" s="103"/>
      <c r="AF449" s="3">
        <v>45733</v>
      </c>
      <c r="AG449" s="2" t="s">
        <v>72</v>
      </c>
      <c r="AS449"/>
      <c r="AT449"/>
    </row>
    <row r="450" spans="20:46" ht="16.8">
      <c r="T450" s="103"/>
      <c r="U450" s="103"/>
      <c r="AF450" s="3">
        <v>45734</v>
      </c>
      <c r="AG450" s="2" t="s">
        <v>72</v>
      </c>
      <c r="AS450"/>
      <c r="AT450"/>
    </row>
    <row r="451" spans="20:46" ht="16.8">
      <c r="T451" s="103"/>
      <c r="U451" s="103"/>
      <c r="AF451" s="3">
        <v>45735</v>
      </c>
      <c r="AG451" s="2" t="s">
        <v>72</v>
      </c>
      <c r="AS451"/>
      <c r="AT451"/>
    </row>
    <row r="452" spans="20:46" ht="16.8">
      <c r="T452" s="103"/>
      <c r="U452" s="103"/>
      <c r="AF452" s="3">
        <v>45736</v>
      </c>
      <c r="AG452" s="2" t="s">
        <v>72</v>
      </c>
      <c r="AS452"/>
      <c r="AT452"/>
    </row>
    <row r="453" spans="20:46" ht="16.8">
      <c r="T453" s="103"/>
      <c r="U453" s="103"/>
      <c r="AF453" s="3">
        <v>45737</v>
      </c>
      <c r="AG453" s="2" t="s">
        <v>72</v>
      </c>
      <c r="AS453"/>
      <c r="AT453"/>
    </row>
    <row r="454" spans="20:46" ht="16.8">
      <c r="T454" s="103"/>
      <c r="U454" s="103"/>
      <c r="AF454" s="3">
        <v>45738</v>
      </c>
      <c r="AG454" s="2" t="s">
        <v>72</v>
      </c>
      <c r="AS454"/>
      <c r="AT454"/>
    </row>
    <row r="455" spans="20:46" ht="16.8">
      <c r="T455" s="103"/>
      <c r="U455" s="103"/>
      <c r="AF455" s="3">
        <v>45739</v>
      </c>
      <c r="AG455" s="2" t="s">
        <v>72</v>
      </c>
      <c r="AS455"/>
      <c r="AT455"/>
    </row>
    <row r="456" spans="20:46" ht="16.8">
      <c r="T456" s="103"/>
      <c r="U456" s="103"/>
      <c r="AF456" s="3">
        <v>45740</v>
      </c>
      <c r="AG456" s="2" t="s">
        <v>72</v>
      </c>
      <c r="AS456"/>
      <c r="AT456"/>
    </row>
    <row r="457" spans="20:46" ht="16.8">
      <c r="T457" s="103"/>
      <c r="U457" s="103"/>
      <c r="AF457" s="3">
        <v>45741</v>
      </c>
      <c r="AG457" s="2" t="s">
        <v>72</v>
      </c>
      <c r="AS457"/>
      <c r="AT457"/>
    </row>
    <row r="458" spans="20:46" ht="16.8">
      <c r="T458" s="103"/>
      <c r="U458" s="103"/>
      <c r="AF458" s="3">
        <v>45742</v>
      </c>
      <c r="AG458" s="2" t="s">
        <v>72</v>
      </c>
      <c r="AS458"/>
      <c r="AT458"/>
    </row>
    <row r="459" spans="20:46" ht="16.8">
      <c r="T459" s="103"/>
      <c r="U459" s="103"/>
      <c r="AF459" s="3">
        <v>45743</v>
      </c>
      <c r="AG459" s="2" t="s">
        <v>72</v>
      </c>
      <c r="AS459"/>
      <c r="AT459"/>
    </row>
    <row r="460" spans="20:46" ht="16.8">
      <c r="T460" s="103"/>
      <c r="U460" s="103"/>
      <c r="AF460" s="3">
        <v>45744</v>
      </c>
      <c r="AG460" s="2" t="s">
        <v>72</v>
      </c>
      <c r="AS460"/>
      <c r="AT460"/>
    </row>
    <row r="461" spans="20:46" ht="16.8">
      <c r="T461" s="103"/>
      <c r="U461" s="103"/>
      <c r="AF461" s="3">
        <v>45745</v>
      </c>
      <c r="AG461" s="2" t="s">
        <v>72</v>
      </c>
      <c r="AS461"/>
      <c r="AT461"/>
    </row>
    <row r="462" spans="20:46" ht="16.8">
      <c r="T462" s="110"/>
      <c r="U462" s="111"/>
      <c r="AF462" s="3">
        <v>45746</v>
      </c>
      <c r="AG462" s="2" t="s">
        <v>72</v>
      </c>
      <c r="AS462"/>
      <c r="AT462"/>
    </row>
    <row r="463" spans="20:46" ht="16.8">
      <c r="T463" s="112"/>
      <c r="U463" s="113"/>
      <c r="AF463" s="3">
        <v>45747</v>
      </c>
      <c r="AG463" s="2" t="s">
        <v>72</v>
      </c>
      <c r="AS463"/>
      <c r="AT463"/>
    </row>
    <row r="464" spans="20:46" ht="16.8">
      <c r="T464" s="112"/>
      <c r="U464" s="113"/>
      <c r="AF464" s="3">
        <v>45748</v>
      </c>
      <c r="AG464" s="2" t="s">
        <v>72</v>
      </c>
      <c r="AS464"/>
      <c r="AT464"/>
    </row>
    <row r="465" spans="20:46" ht="16.8">
      <c r="T465" s="112"/>
      <c r="U465" s="113"/>
      <c r="AF465" s="3">
        <v>45749</v>
      </c>
      <c r="AG465" s="2" t="s">
        <v>73</v>
      </c>
      <c r="AS465"/>
      <c r="AT465"/>
    </row>
    <row r="466" spans="20:46" ht="16.8">
      <c r="T466" s="112"/>
      <c r="U466" s="113"/>
      <c r="AF466" s="3">
        <v>45750</v>
      </c>
      <c r="AG466" s="2" t="s">
        <v>73</v>
      </c>
      <c r="AS466"/>
      <c r="AT466"/>
    </row>
    <row r="467" spans="20:46" ht="16.8">
      <c r="T467" s="112"/>
      <c r="U467" s="113"/>
      <c r="AF467" s="3">
        <v>45751</v>
      </c>
      <c r="AG467" s="2" t="s">
        <v>73</v>
      </c>
      <c r="AS467"/>
      <c r="AT467"/>
    </row>
    <row r="468" spans="20:46" ht="16.8">
      <c r="T468" s="112"/>
      <c r="U468" s="113"/>
      <c r="AF468" s="3">
        <v>45752</v>
      </c>
      <c r="AG468" s="2" t="s">
        <v>73</v>
      </c>
      <c r="AS468"/>
      <c r="AT468"/>
    </row>
    <row r="469" spans="20:46" ht="16.8">
      <c r="T469" s="112"/>
      <c r="U469" s="113"/>
      <c r="AF469" s="3">
        <v>45753</v>
      </c>
      <c r="AG469" s="2" t="s">
        <v>73</v>
      </c>
      <c r="AS469"/>
      <c r="AT469"/>
    </row>
    <row r="470" spans="20:46" ht="16.8">
      <c r="T470" s="112"/>
      <c r="U470" s="113"/>
      <c r="AF470" s="3">
        <v>45754</v>
      </c>
      <c r="AG470" s="2" t="s">
        <v>73</v>
      </c>
      <c r="AS470"/>
      <c r="AT470"/>
    </row>
    <row r="471" spans="20:46" ht="16.8">
      <c r="T471" s="112"/>
      <c r="U471" s="113"/>
      <c r="AF471" s="3">
        <v>45755</v>
      </c>
      <c r="AG471" s="2" t="s">
        <v>73</v>
      </c>
      <c r="AS471"/>
      <c r="AT471"/>
    </row>
    <row r="472" spans="20:46" ht="16.8">
      <c r="T472" s="112"/>
      <c r="U472" s="113"/>
      <c r="AF472" s="3">
        <v>45756</v>
      </c>
      <c r="AG472" s="2" t="s">
        <v>73</v>
      </c>
      <c r="AS472"/>
      <c r="AT472"/>
    </row>
    <row r="473" spans="20:46" ht="16.8">
      <c r="T473" s="112"/>
      <c r="U473" s="113"/>
      <c r="AF473" s="3">
        <v>45757</v>
      </c>
      <c r="AG473" s="2" t="s">
        <v>73</v>
      </c>
      <c r="AS473"/>
      <c r="AT473"/>
    </row>
    <row r="474" spans="20:46" ht="16.8">
      <c r="T474" s="112"/>
      <c r="U474" s="113"/>
      <c r="AF474" s="3">
        <v>45758</v>
      </c>
      <c r="AG474" s="2" t="s">
        <v>73</v>
      </c>
      <c r="AS474"/>
      <c r="AT474"/>
    </row>
    <row r="475" spans="20:46" ht="16.8">
      <c r="T475" s="112"/>
      <c r="U475" s="113"/>
      <c r="AF475" s="3">
        <v>45759</v>
      </c>
      <c r="AG475" s="2" t="s">
        <v>73</v>
      </c>
      <c r="AS475"/>
      <c r="AT475"/>
    </row>
    <row r="476" spans="20:46" ht="16.8">
      <c r="T476" s="112"/>
      <c r="U476" s="113"/>
      <c r="AF476" s="3">
        <v>45760</v>
      </c>
      <c r="AG476" s="2" t="s">
        <v>73</v>
      </c>
      <c r="AS476"/>
      <c r="AT476"/>
    </row>
    <row r="477" spans="20:46" ht="16.8">
      <c r="T477" s="112"/>
      <c r="U477" s="113"/>
      <c r="AF477" s="3">
        <v>45761</v>
      </c>
      <c r="AG477" s="2" t="s">
        <v>73</v>
      </c>
      <c r="AS477"/>
      <c r="AT477"/>
    </row>
    <row r="478" spans="20:46" ht="16.8">
      <c r="T478" s="112"/>
      <c r="U478" s="113"/>
      <c r="AF478" s="3">
        <v>45762</v>
      </c>
      <c r="AG478" s="2" t="s">
        <v>73</v>
      </c>
      <c r="AS478"/>
      <c r="AT478"/>
    </row>
    <row r="479" spans="20:46" ht="16.8">
      <c r="T479" s="112"/>
      <c r="U479" s="113"/>
      <c r="AF479" s="3">
        <v>45763</v>
      </c>
      <c r="AG479" s="2" t="s">
        <v>73</v>
      </c>
      <c r="AS479"/>
      <c r="AT479"/>
    </row>
    <row r="480" spans="20:46" ht="16.8">
      <c r="T480" s="112"/>
      <c r="U480" s="113"/>
      <c r="AF480" s="3">
        <v>45764</v>
      </c>
      <c r="AG480" s="2" t="s">
        <v>73</v>
      </c>
      <c r="AS480"/>
      <c r="AT480"/>
    </row>
    <row r="481" spans="20:46" ht="16.8">
      <c r="T481" s="112"/>
      <c r="U481" s="113"/>
      <c r="AF481" s="3">
        <v>45765</v>
      </c>
      <c r="AG481" s="2" t="s">
        <v>73</v>
      </c>
      <c r="AS481"/>
      <c r="AT481"/>
    </row>
    <row r="482" spans="20:46" ht="16.8">
      <c r="T482" s="112"/>
      <c r="U482" s="113"/>
      <c r="AF482" s="3">
        <v>45766</v>
      </c>
      <c r="AG482" s="2" t="s">
        <v>73</v>
      </c>
      <c r="AS482"/>
      <c r="AT482"/>
    </row>
    <row r="483" spans="20:46" ht="16.8">
      <c r="T483" s="112"/>
      <c r="U483" s="113"/>
      <c r="AF483" s="3">
        <v>45767</v>
      </c>
      <c r="AG483" s="2" t="s">
        <v>73</v>
      </c>
      <c r="AS483"/>
      <c r="AT483"/>
    </row>
    <row r="484" spans="20:46" ht="16.8">
      <c r="T484" s="112"/>
      <c r="U484" s="113"/>
      <c r="AF484" s="3">
        <v>45768</v>
      </c>
      <c r="AG484" s="2" t="s">
        <v>73</v>
      </c>
      <c r="AS484"/>
      <c r="AT484"/>
    </row>
    <row r="485" spans="20:46" ht="16.8">
      <c r="T485" s="112"/>
      <c r="U485" s="113"/>
      <c r="AF485" s="3">
        <v>45769</v>
      </c>
      <c r="AG485" s="2" t="s">
        <v>73</v>
      </c>
      <c r="AS485"/>
      <c r="AT485"/>
    </row>
    <row r="486" spans="20:46" ht="16.8">
      <c r="T486" s="112"/>
      <c r="U486" s="113"/>
      <c r="AF486" s="3">
        <v>45770</v>
      </c>
      <c r="AG486" s="2" t="s">
        <v>73</v>
      </c>
      <c r="AS486"/>
      <c r="AT486"/>
    </row>
    <row r="487" spans="20:46" ht="16.8">
      <c r="T487" s="112"/>
      <c r="U487" s="113"/>
      <c r="AF487" s="3">
        <v>45771</v>
      </c>
      <c r="AG487" s="2" t="s">
        <v>73</v>
      </c>
      <c r="AS487"/>
      <c r="AT487"/>
    </row>
    <row r="488" spans="20:46" ht="16.8">
      <c r="T488" s="112"/>
      <c r="U488" s="113"/>
      <c r="AF488" s="3">
        <v>45772</v>
      </c>
      <c r="AG488" s="2" t="s">
        <v>73</v>
      </c>
      <c r="AS488"/>
      <c r="AT488"/>
    </row>
    <row r="489" spans="20:46" ht="16.8">
      <c r="T489" s="112"/>
      <c r="U489" s="113"/>
      <c r="AF489" s="3">
        <v>45773</v>
      </c>
      <c r="AG489" s="2" t="s">
        <v>73</v>
      </c>
      <c r="AS489"/>
      <c r="AT489"/>
    </row>
    <row r="490" spans="20:46" ht="16.8">
      <c r="T490" s="112"/>
      <c r="U490" s="113"/>
      <c r="AF490" s="3">
        <v>45774</v>
      </c>
      <c r="AG490" s="2" t="s">
        <v>73</v>
      </c>
      <c r="AS490"/>
      <c r="AT490"/>
    </row>
    <row r="491" spans="20:46" ht="16.8">
      <c r="T491" s="112"/>
      <c r="U491" s="113"/>
      <c r="AF491" s="3">
        <v>45775</v>
      </c>
      <c r="AG491" s="2" t="s">
        <v>73</v>
      </c>
      <c r="AS491"/>
      <c r="AT491"/>
    </row>
    <row r="492" spans="20:46" ht="16.8">
      <c r="T492" s="112"/>
      <c r="U492" s="113"/>
      <c r="AF492" s="3">
        <v>45776</v>
      </c>
      <c r="AG492" s="2" t="s">
        <v>73</v>
      </c>
      <c r="AS492"/>
      <c r="AT492"/>
    </row>
    <row r="493" spans="20:46" ht="16.8">
      <c r="T493" s="112"/>
      <c r="U493" s="113"/>
      <c r="AF493" s="3">
        <v>45777</v>
      </c>
      <c r="AG493" s="2" t="s">
        <v>73</v>
      </c>
      <c r="AS493"/>
      <c r="AT493"/>
    </row>
    <row r="494" spans="20:46" ht="16.8">
      <c r="T494" s="112"/>
      <c r="U494" s="113"/>
      <c r="AF494" s="3">
        <v>45778</v>
      </c>
      <c r="AG494" s="2" t="s">
        <v>73</v>
      </c>
      <c r="AS494"/>
      <c r="AT494"/>
    </row>
    <row r="495" spans="20:46" ht="16.8">
      <c r="T495" s="112"/>
      <c r="U495" s="113"/>
      <c r="AF495" s="3">
        <v>45779</v>
      </c>
      <c r="AG495" s="2" t="s">
        <v>74</v>
      </c>
      <c r="AS495"/>
      <c r="AT495"/>
    </row>
    <row r="496" spans="20:46" ht="16.8">
      <c r="T496" s="112"/>
      <c r="U496" s="113"/>
      <c r="AF496" s="3">
        <v>45780</v>
      </c>
      <c r="AG496" s="2" t="s">
        <v>74</v>
      </c>
      <c r="AS496"/>
      <c r="AT496"/>
    </row>
    <row r="497" spans="20:46" ht="16.8">
      <c r="T497" s="112"/>
      <c r="U497" s="113"/>
      <c r="AF497" s="3">
        <v>45781</v>
      </c>
      <c r="AG497" s="2" t="s">
        <v>74</v>
      </c>
      <c r="AS497"/>
      <c r="AT497"/>
    </row>
    <row r="498" spans="20:46" ht="16.8">
      <c r="T498" s="112"/>
      <c r="U498" s="113"/>
      <c r="AF498" s="3">
        <v>45782</v>
      </c>
      <c r="AG498" s="2" t="s">
        <v>74</v>
      </c>
      <c r="AS498"/>
      <c r="AT498"/>
    </row>
    <row r="499" spans="20:46" ht="16.8">
      <c r="T499" s="112"/>
      <c r="U499" s="113"/>
      <c r="AF499" s="3">
        <v>45783</v>
      </c>
      <c r="AG499" s="2" t="s">
        <v>74</v>
      </c>
      <c r="AS499"/>
      <c r="AT499"/>
    </row>
    <row r="500" spans="20:46" ht="16.8">
      <c r="T500" s="112"/>
      <c r="U500" s="113"/>
      <c r="AF500" s="3">
        <v>45784</v>
      </c>
      <c r="AG500" s="2" t="s">
        <v>74</v>
      </c>
      <c r="AS500"/>
      <c r="AT500"/>
    </row>
    <row r="501" spans="20:46" ht="16.8">
      <c r="T501" s="112"/>
      <c r="U501" s="113"/>
      <c r="AF501" s="3">
        <v>45785</v>
      </c>
      <c r="AG501" s="2" t="s">
        <v>74</v>
      </c>
      <c r="AS501"/>
      <c r="AT501"/>
    </row>
    <row r="502" spans="20:46" ht="16.8">
      <c r="T502" s="112"/>
      <c r="U502" s="113"/>
      <c r="AF502" s="3">
        <v>45786</v>
      </c>
      <c r="AG502" s="2" t="s">
        <v>74</v>
      </c>
      <c r="AS502"/>
      <c r="AT502"/>
    </row>
    <row r="503" spans="20:46" ht="16.8">
      <c r="T503" s="112"/>
      <c r="U503" s="113"/>
      <c r="AF503" s="3">
        <v>45787</v>
      </c>
      <c r="AG503" s="2" t="s">
        <v>74</v>
      </c>
      <c r="AS503"/>
      <c r="AT503"/>
    </row>
    <row r="504" spans="20:46" ht="16.8">
      <c r="T504" s="112"/>
      <c r="U504" s="113"/>
      <c r="AF504" s="3">
        <v>45788</v>
      </c>
      <c r="AG504" s="2" t="s">
        <v>74</v>
      </c>
      <c r="AS504"/>
      <c r="AT504"/>
    </row>
    <row r="505" spans="20:46" ht="16.8">
      <c r="T505" s="112"/>
      <c r="U505" s="113"/>
      <c r="AF505" s="3">
        <v>45789</v>
      </c>
      <c r="AG505" s="2" t="s">
        <v>74</v>
      </c>
      <c r="AS505"/>
      <c r="AT505"/>
    </row>
    <row r="506" spans="20:46" ht="16.8">
      <c r="T506" s="112"/>
      <c r="U506" s="113"/>
      <c r="AF506" s="3">
        <v>45790</v>
      </c>
      <c r="AG506" s="2" t="s">
        <v>74</v>
      </c>
      <c r="AS506"/>
      <c r="AT506"/>
    </row>
    <row r="507" spans="20:46" ht="16.8">
      <c r="T507" s="112"/>
      <c r="U507" s="113"/>
      <c r="AF507" s="3">
        <v>45791</v>
      </c>
      <c r="AG507" s="2" t="s">
        <v>74</v>
      </c>
      <c r="AS507"/>
      <c r="AT507"/>
    </row>
    <row r="508" spans="20:46" ht="16.8">
      <c r="T508" s="112"/>
      <c r="U508" s="113"/>
      <c r="AF508" s="3">
        <v>45792</v>
      </c>
      <c r="AG508" s="2" t="s">
        <v>74</v>
      </c>
      <c r="AS508"/>
      <c r="AT508"/>
    </row>
    <row r="509" spans="20:46" ht="16.8">
      <c r="T509" s="112"/>
      <c r="U509" s="113"/>
      <c r="AF509" s="3">
        <v>45793</v>
      </c>
      <c r="AG509" s="2" t="s">
        <v>74</v>
      </c>
      <c r="AS509"/>
      <c r="AT509"/>
    </row>
    <row r="510" spans="20:46" ht="16.8">
      <c r="T510" s="112"/>
      <c r="U510" s="113"/>
      <c r="AF510" s="3">
        <v>45794</v>
      </c>
      <c r="AG510" s="2" t="s">
        <v>74</v>
      </c>
      <c r="AS510"/>
      <c r="AT510"/>
    </row>
    <row r="511" spans="20:46" ht="16.8">
      <c r="T511" s="112"/>
      <c r="U511" s="113"/>
      <c r="AF511" s="3">
        <v>45795</v>
      </c>
      <c r="AG511" s="2" t="s">
        <v>74</v>
      </c>
      <c r="AS511"/>
      <c r="AT511"/>
    </row>
    <row r="512" spans="20:46" ht="16.8">
      <c r="T512" s="112"/>
      <c r="U512" s="113"/>
      <c r="AF512" s="3">
        <v>45796</v>
      </c>
      <c r="AG512" s="2" t="s">
        <v>74</v>
      </c>
      <c r="AS512"/>
      <c r="AT512"/>
    </row>
    <row r="513" spans="20:46" ht="16.8">
      <c r="T513" s="112"/>
      <c r="U513" s="113"/>
      <c r="AF513" s="3">
        <v>45797</v>
      </c>
      <c r="AG513" s="2" t="s">
        <v>74</v>
      </c>
      <c r="AS513"/>
      <c r="AT513"/>
    </row>
    <row r="514" spans="20:46" ht="16.8">
      <c r="T514" s="112"/>
      <c r="U514" s="113"/>
      <c r="AF514" s="3">
        <v>45798</v>
      </c>
      <c r="AG514" s="2" t="s">
        <v>74</v>
      </c>
      <c r="AS514"/>
      <c r="AT514"/>
    </row>
    <row r="515" spans="20:46" ht="16.8">
      <c r="T515" s="112"/>
      <c r="U515" s="113"/>
      <c r="AF515" s="3">
        <v>45799</v>
      </c>
      <c r="AG515" s="2" t="s">
        <v>74</v>
      </c>
      <c r="AS515"/>
      <c r="AT515"/>
    </row>
    <row r="516" spans="20:46" ht="16.8">
      <c r="T516" s="112"/>
      <c r="U516" s="113"/>
      <c r="AF516" s="3">
        <v>45800</v>
      </c>
      <c r="AG516" s="2" t="s">
        <v>74</v>
      </c>
      <c r="AS516"/>
      <c r="AT516"/>
    </row>
    <row r="517" spans="20:46" ht="16.8">
      <c r="T517" s="112"/>
      <c r="U517" s="113"/>
      <c r="AF517" s="3">
        <v>45801</v>
      </c>
      <c r="AG517" s="2" t="s">
        <v>74</v>
      </c>
      <c r="AS517"/>
      <c r="AT517"/>
    </row>
    <row r="518" spans="20:46" ht="16.8">
      <c r="T518" s="112"/>
      <c r="U518" s="113"/>
      <c r="AF518" s="3">
        <v>45802</v>
      </c>
      <c r="AG518" s="2" t="s">
        <v>74</v>
      </c>
      <c r="AS518"/>
      <c r="AT518"/>
    </row>
    <row r="519" spans="20:46" ht="16.8">
      <c r="T519" s="112"/>
      <c r="U519" s="113"/>
      <c r="AF519" s="3">
        <v>45803</v>
      </c>
      <c r="AG519" s="2" t="s">
        <v>74</v>
      </c>
      <c r="AS519"/>
      <c r="AT519"/>
    </row>
    <row r="520" spans="20:46" ht="16.8">
      <c r="T520" s="112"/>
      <c r="U520" s="113"/>
      <c r="AF520" s="3">
        <v>45804</v>
      </c>
      <c r="AG520" s="2" t="s">
        <v>74</v>
      </c>
      <c r="AS520"/>
      <c r="AT520"/>
    </row>
    <row r="521" spans="20:46" ht="16.8">
      <c r="T521" s="112"/>
      <c r="U521" s="113"/>
      <c r="AF521" s="3">
        <v>45805</v>
      </c>
      <c r="AG521" s="2" t="s">
        <v>74</v>
      </c>
      <c r="AS521"/>
      <c r="AT521"/>
    </row>
    <row r="522" spans="20:46" ht="16.8">
      <c r="T522" s="112"/>
      <c r="U522" s="113"/>
      <c r="AF522" s="3">
        <v>45806</v>
      </c>
      <c r="AG522" s="2" t="s">
        <v>74</v>
      </c>
      <c r="AS522"/>
      <c r="AT522"/>
    </row>
    <row r="523" spans="20:46" ht="16.8">
      <c r="T523" s="112"/>
      <c r="U523" s="113"/>
      <c r="AF523" s="3">
        <v>45807</v>
      </c>
      <c r="AG523" s="2" t="s">
        <v>74</v>
      </c>
      <c r="AS523"/>
      <c r="AT523"/>
    </row>
    <row r="524" spans="20:46" ht="16.8">
      <c r="T524" s="112"/>
      <c r="U524" s="113"/>
      <c r="AF524" s="3">
        <v>45808</v>
      </c>
      <c r="AG524" s="2" t="s">
        <v>74</v>
      </c>
      <c r="AS524"/>
      <c r="AT524"/>
    </row>
    <row r="525" spans="20:46" ht="16.8">
      <c r="T525" s="112"/>
      <c r="U525" s="113"/>
      <c r="AF525" s="3">
        <v>45809</v>
      </c>
      <c r="AG525" s="2" t="s">
        <v>74</v>
      </c>
      <c r="AS525"/>
      <c r="AT525"/>
    </row>
    <row r="526" spans="20:46" ht="16.8">
      <c r="T526" s="112"/>
      <c r="U526" s="113"/>
      <c r="AF526" s="3">
        <v>45810</v>
      </c>
      <c r="AG526" s="2" t="s">
        <v>75</v>
      </c>
      <c r="AS526"/>
      <c r="AT526"/>
    </row>
    <row r="527" spans="20:46" ht="16.8">
      <c r="T527" s="112"/>
      <c r="U527" s="113"/>
      <c r="AF527" s="3">
        <v>45811</v>
      </c>
      <c r="AG527" s="2" t="s">
        <v>75</v>
      </c>
      <c r="AS527"/>
      <c r="AT527"/>
    </row>
    <row r="528" spans="20:46" ht="16.8">
      <c r="T528" s="112"/>
      <c r="U528" s="113"/>
      <c r="AF528" s="3">
        <v>45812</v>
      </c>
      <c r="AG528" s="2" t="s">
        <v>75</v>
      </c>
      <c r="AS528"/>
      <c r="AT528"/>
    </row>
    <row r="529" spans="20:46" ht="16.8">
      <c r="T529" s="112"/>
      <c r="U529" s="113"/>
      <c r="AF529" s="3">
        <v>45813</v>
      </c>
      <c r="AG529" s="2" t="s">
        <v>75</v>
      </c>
      <c r="AS529"/>
      <c r="AT529"/>
    </row>
    <row r="530" spans="20:46" ht="16.8">
      <c r="T530" s="112"/>
      <c r="U530" s="113"/>
      <c r="AF530" s="3">
        <v>45814</v>
      </c>
      <c r="AG530" s="2" t="s">
        <v>75</v>
      </c>
      <c r="AS530"/>
      <c r="AT530"/>
    </row>
    <row r="531" spans="20:46" ht="16.8">
      <c r="T531" s="112"/>
      <c r="U531" s="113"/>
      <c r="AF531" s="3">
        <v>45815</v>
      </c>
      <c r="AG531" s="2" t="s">
        <v>75</v>
      </c>
      <c r="AS531"/>
      <c r="AT531"/>
    </row>
    <row r="532" spans="20:46" ht="16.8">
      <c r="T532" s="112"/>
      <c r="U532" s="113"/>
      <c r="AF532" s="3">
        <v>45816</v>
      </c>
      <c r="AG532" s="2" t="s">
        <v>75</v>
      </c>
      <c r="AS532"/>
      <c r="AT532"/>
    </row>
    <row r="533" spans="20:46" ht="16.8">
      <c r="T533" s="112"/>
      <c r="U533" s="113"/>
      <c r="AF533" s="3">
        <v>45817</v>
      </c>
      <c r="AG533" s="2" t="s">
        <v>75</v>
      </c>
      <c r="AS533"/>
      <c r="AT533"/>
    </row>
    <row r="534" spans="20:46" ht="16.8">
      <c r="T534" s="112"/>
      <c r="U534" s="113"/>
      <c r="AF534" s="3">
        <v>45818</v>
      </c>
      <c r="AG534" s="2" t="s">
        <v>75</v>
      </c>
      <c r="AS534"/>
      <c r="AT534"/>
    </row>
    <row r="535" spans="20:46" ht="16.8">
      <c r="T535" s="112"/>
      <c r="U535" s="113"/>
      <c r="AF535" s="3">
        <v>45819</v>
      </c>
      <c r="AG535" s="2" t="s">
        <v>75</v>
      </c>
      <c r="AS535"/>
      <c r="AT535"/>
    </row>
    <row r="536" spans="20:46" ht="16.8">
      <c r="T536" s="112"/>
      <c r="U536" s="113"/>
      <c r="AF536" s="3">
        <v>45820</v>
      </c>
      <c r="AG536" s="2" t="s">
        <v>75</v>
      </c>
      <c r="AS536"/>
      <c r="AT536"/>
    </row>
    <row r="537" spans="20:46" ht="16.8">
      <c r="T537" s="112"/>
      <c r="U537" s="113"/>
      <c r="AF537" s="3">
        <v>45821</v>
      </c>
      <c r="AG537" s="2" t="s">
        <v>75</v>
      </c>
      <c r="AS537"/>
      <c r="AT537"/>
    </row>
    <row r="538" spans="20:46" ht="16.8">
      <c r="T538" s="112"/>
      <c r="U538" s="113"/>
      <c r="AF538" s="3">
        <v>45822</v>
      </c>
      <c r="AG538" s="2" t="s">
        <v>75</v>
      </c>
      <c r="AS538"/>
      <c r="AT538"/>
    </row>
    <row r="539" spans="20:46" ht="16.8">
      <c r="T539" s="112"/>
      <c r="U539" s="113"/>
      <c r="AF539" s="3">
        <v>45823</v>
      </c>
      <c r="AG539" s="2" t="s">
        <v>75</v>
      </c>
      <c r="AS539"/>
      <c r="AT539"/>
    </row>
    <row r="540" spans="20:46" ht="16.8">
      <c r="T540" s="112"/>
      <c r="U540" s="113"/>
      <c r="AF540" s="3">
        <v>45824</v>
      </c>
      <c r="AG540" s="2" t="s">
        <v>75</v>
      </c>
      <c r="AS540"/>
      <c r="AT540"/>
    </row>
    <row r="541" spans="20:46" ht="16.8">
      <c r="T541" s="112"/>
      <c r="U541" s="113"/>
      <c r="AF541" s="3">
        <v>45825</v>
      </c>
      <c r="AG541" s="2" t="s">
        <v>75</v>
      </c>
      <c r="AS541"/>
      <c r="AT541"/>
    </row>
    <row r="542" spans="20:46" ht="16.8">
      <c r="T542" s="112"/>
      <c r="U542" s="113"/>
      <c r="AF542" s="3">
        <v>45826</v>
      </c>
      <c r="AG542" s="2" t="s">
        <v>75</v>
      </c>
      <c r="AS542"/>
      <c r="AT542"/>
    </row>
    <row r="543" spans="20:46" ht="16.8">
      <c r="T543" s="112"/>
      <c r="U543" s="113"/>
      <c r="AF543" s="3">
        <v>45827</v>
      </c>
      <c r="AG543" s="2" t="s">
        <v>75</v>
      </c>
      <c r="AS543"/>
      <c r="AT543"/>
    </row>
    <row r="544" spans="20:46" ht="16.8">
      <c r="T544" s="112"/>
      <c r="U544" s="113"/>
      <c r="AF544" s="3">
        <v>45828</v>
      </c>
      <c r="AG544" s="2" t="s">
        <v>75</v>
      </c>
      <c r="AS544"/>
      <c r="AT544"/>
    </row>
    <row r="545" spans="20:46" ht="16.8">
      <c r="T545" s="112"/>
      <c r="U545" s="113"/>
      <c r="AF545" s="3">
        <v>45829</v>
      </c>
      <c r="AG545" s="2" t="s">
        <v>75</v>
      </c>
      <c r="AS545"/>
      <c r="AT545"/>
    </row>
    <row r="546" spans="20:46" ht="16.8">
      <c r="T546" s="112"/>
      <c r="U546" s="113"/>
      <c r="AF546" s="3">
        <v>45830</v>
      </c>
      <c r="AG546" s="2" t="s">
        <v>75</v>
      </c>
      <c r="AS546"/>
      <c r="AT546"/>
    </row>
    <row r="547" spans="20:46" ht="16.8">
      <c r="T547" s="112"/>
      <c r="U547" s="113"/>
      <c r="AF547" s="3">
        <v>45831</v>
      </c>
      <c r="AG547" s="2" t="s">
        <v>75</v>
      </c>
      <c r="AS547"/>
      <c r="AT547"/>
    </row>
    <row r="548" spans="20:46" ht="16.8">
      <c r="T548" s="112"/>
      <c r="U548" s="113"/>
      <c r="AF548" s="3">
        <v>45832</v>
      </c>
      <c r="AG548" s="2" t="s">
        <v>75</v>
      </c>
      <c r="AS548"/>
      <c r="AT548"/>
    </row>
    <row r="549" spans="20:46" ht="16.8">
      <c r="T549" s="112"/>
      <c r="U549" s="113"/>
      <c r="AF549" s="3">
        <v>45833</v>
      </c>
      <c r="AG549" s="2" t="s">
        <v>75</v>
      </c>
      <c r="AS549"/>
      <c r="AT549"/>
    </row>
    <row r="550" spans="20:46" ht="16.8">
      <c r="T550" s="112"/>
      <c r="U550" s="113"/>
      <c r="AF550" s="3">
        <v>45834</v>
      </c>
      <c r="AG550" s="2" t="s">
        <v>75</v>
      </c>
      <c r="AS550"/>
      <c r="AT550"/>
    </row>
    <row r="551" spans="20:46" ht="16.8">
      <c r="T551" s="112"/>
      <c r="U551" s="113"/>
      <c r="AF551" s="3">
        <v>45835</v>
      </c>
      <c r="AG551" s="2" t="s">
        <v>75</v>
      </c>
      <c r="AS551"/>
      <c r="AT551"/>
    </row>
    <row r="552" spans="20:46" ht="16.8">
      <c r="T552" s="112"/>
      <c r="U552" s="113"/>
      <c r="AF552" s="3">
        <v>45836</v>
      </c>
      <c r="AG552" s="2" t="s">
        <v>75</v>
      </c>
      <c r="AS552"/>
      <c r="AT552"/>
    </row>
    <row r="553" spans="20:46" ht="16.8">
      <c r="T553" s="112"/>
      <c r="U553" s="113"/>
      <c r="AF553" s="3">
        <v>45837</v>
      </c>
      <c r="AG553" s="2" t="s">
        <v>75</v>
      </c>
      <c r="AS553"/>
      <c r="AT553"/>
    </row>
    <row r="554" spans="20:46" ht="16.8">
      <c r="T554" s="112"/>
      <c r="U554" s="113"/>
      <c r="AF554" s="3">
        <v>45838</v>
      </c>
      <c r="AG554" s="2" t="s">
        <v>75</v>
      </c>
      <c r="AS554"/>
      <c r="AT554"/>
    </row>
    <row r="555" spans="20:46" ht="16.8">
      <c r="T555" s="112"/>
      <c r="U555" s="113"/>
      <c r="AF555" s="3">
        <v>45839</v>
      </c>
      <c r="AG555" s="2" t="s">
        <v>75</v>
      </c>
      <c r="AS555"/>
      <c r="AT555"/>
    </row>
    <row r="556" spans="20:46" ht="16.8">
      <c r="T556" s="112"/>
      <c r="U556" s="113"/>
      <c r="AF556" s="3">
        <v>45840</v>
      </c>
      <c r="AG556" s="2" t="s">
        <v>67</v>
      </c>
      <c r="AS556"/>
      <c r="AT556"/>
    </row>
    <row r="557" spans="20:46" ht="16.8">
      <c r="T557" s="112"/>
      <c r="U557" s="113"/>
      <c r="AF557" s="3">
        <v>45841</v>
      </c>
      <c r="AG557" s="2" t="s">
        <v>67</v>
      </c>
      <c r="AS557"/>
      <c r="AT557"/>
    </row>
    <row r="558" spans="20:46" ht="16.8">
      <c r="T558" s="112"/>
      <c r="U558" s="113"/>
      <c r="AF558" s="3">
        <v>45842</v>
      </c>
      <c r="AG558" s="2" t="s">
        <v>67</v>
      </c>
      <c r="AS558"/>
      <c r="AT558"/>
    </row>
    <row r="559" spans="20:46" ht="16.8">
      <c r="T559" s="112"/>
      <c r="U559" s="113"/>
      <c r="AF559" s="3">
        <v>45843</v>
      </c>
      <c r="AG559" s="2" t="s">
        <v>67</v>
      </c>
      <c r="AS559"/>
      <c r="AT559"/>
    </row>
    <row r="560" spans="20:46" ht="16.8">
      <c r="T560" s="112"/>
      <c r="U560" s="113"/>
      <c r="AF560" s="3">
        <v>45844</v>
      </c>
      <c r="AG560" s="2" t="s">
        <v>67</v>
      </c>
      <c r="AS560"/>
      <c r="AT560"/>
    </row>
    <row r="561" spans="20:46" ht="16.8">
      <c r="T561" s="112"/>
      <c r="U561" s="113"/>
      <c r="AF561" s="3">
        <v>45845</v>
      </c>
      <c r="AG561" s="2" t="s">
        <v>67</v>
      </c>
      <c r="AS561"/>
      <c r="AT561"/>
    </row>
    <row r="562" spans="20:46" ht="16.8">
      <c r="T562" s="112"/>
      <c r="U562" s="113"/>
      <c r="AF562" s="3">
        <v>45846</v>
      </c>
      <c r="AG562" s="2" t="s">
        <v>67</v>
      </c>
      <c r="AS562"/>
      <c r="AT562"/>
    </row>
    <row r="563" spans="20:46" ht="16.8">
      <c r="T563" s="112"/>
      <c r="U563" s="113"/>
      <c r="AF563" s="3">
        <v>45847</v>
      </c>
      <c r="AG563" s="2" t="s">
        <v>67</v>
      </c>
      <c r="AS563"/>
      <c r="AT563"/>
    </row>
    <row r="564" spans="20:46" ht="16.8">
      <c r="T564" s="112"/>
      <c r="U564" s="113"/>
      <c r="AF564" s="3">
        <v>45848</v>
      </c>
      <c r="AG564" s="2" t="s">
        <v>67</v>
      </c>
      <c r="AS564"/>
      <c r="AT564"/>
    </row>
    <row r="565" spans="20:46" ht="16.8">
      <c r="T565" s="112"/>
      <c r="U565" s="113"/>
      <c r="AF565" s="3">
        <v>45849</v>
      </c>
      <c r="AG565" s="2" t="s">
        <v>67</v>
      </c>
      <c r="AS565"/>
      <c r="AT565"/>
    </row>
    <row r="566" spans="20:46" ht="16.8">
      <c r="T566" s="112"/>
      <c r="U566" s="113"/>
      <c r="AF566" s="3">
        <v>45850</v>
      </c>
      <c r="AG566" s="2" t="s">
        <v>67</v>
      </c>
      <c r="AS566"/>
      <c r="AT566"/>
    </row>
    <row r="567" spans="20:46" ht="16.8">
      <c r="T567" s="112"/>
      <c r="U567" s="113"/>
      <c r="AF567" s="3">
        <v>45851</v>
      </c>
      <c r="AG567" s="2" t="s">
        <v>67</v>
      </c>
      <c r="AS567"/>
      <c r="AT567"/>
    </row>
    <row r="568" spans="20:46" ht="16.8">
      <c r="T568" s="112"/>
      <c r="U568" s="113"/>
      <c r="AF568" s="3">
        <v>45852</v>
      </c>
      <c r="AG568" s="2" t="s">
        <v>67</v>
      </c>
      <c r="AS568"/>
      <c r="AT568"/>
    </row>
    <row r="569" spans="20:46" ht="16.8">
      <c r="T569" s="112"/>
      <c r="U569" s="113"/>
      <c r="AF569" s="3">
        <v>45853</v>
      </c>
      <c r="AG569" s="2" t="s">
        <v>67</v>
      </c>
      <c r="AS569"/>
      <c r="AT569"/>
    </row>
    <row r="570" spans="20:46" ht="16.8">
      <c r="T570" s="112"/>
      <c r="U570" s="113"/>
      <c r="AF570" s="3">
        <v>45854</v>
      </c>
      <c r="AG570" s="2" t="s">
        <v>67</v>
      </c>
      <c r="AS570"/>
      <c r="AT570"/>
    </row>
    <row r="571" spans="20:46" ht="16.8">
      <c r="T571" s="112"/>
      <c r="U571" s="113"/>
      <c r="AF571" s="3">
        <v>45855</v>
      </c>
      <c r="AG571" s="2" t="s">
        <v>67</v>
      </c>
      <c r="AS571"/>
      <c r="AT571"/>
    </row>
    <row r="572" spans="20:46" ht="16.8">
      <c r="T572" s="112"/>
      <c r="U572" s="113"/>
      <c r="AF572" s="3">
        <v>45856</v>
      </c>
      <c r="AG572" s="2" t="s">
        <v>67</v>
      </c>
      <c r="AS572"/>
      <c r="AT572"/>
    </row>
    <row r="573" spans="20:46" ht="16.8">
      <c r="T573" s="112"/>
      <c r="U573" s="113"/>
      <c r="AF573" s="3">
        <v>45857</v>
      </c>
      <c r="AG573" s="2" t="s">
        <v>67</v>
      </c>
      <c r="AS573"/>
      <c r="AT573"/>
    </row>
    <row r="574" spans="20:46" ht="16.8">
      <c r="T574" s="112"/>
      <c r="U574" s="113"/>
      <c r="AF574" s="3">
        <v>45858</v>
      </c>
      <c r="AG574" s="2" t="s">
        <v>67</v>
      </c>
      <c r="AS574"/>
      <c r="AT574"/>
    </row>
    <row r="575" spans="20:46" ht="16.8">
      <c r="T575" s="112"/>
      <c r="U575" s="113"/>
      <c r="AF575" s="3">
        <v>45859</v>
      </c>
      <c r="AG575" s="2" t="s">
        <v>67</v>
      </c>
      <c r="AS575"/>
      <c r="AT575"/>
    </row>
    <row r="576" spans="20:46" ht="16.8">
      <c r="T576" s="112"/>
      <c r="U576" s="113"/>
      <c r="AF576" s="3">
        <v>45860</v>
      </c>
      <c r="AG576" s="2" t="s">
        <v>67</v>
      </c>
      <c r="AS576"/>
      <c r="AT576"/>
    </row>
    <row r="577" spans="20:46" ht="16.8">
      <c r="T577" s="112"/>
      <c r="U577" s="113"/>
      <c r="AF577" s="3">
        <v>45861</v>
      </c>
      <c r="AG577" s="2" t="s">
        <v>67</v>
      </c>
      <c r="AS577"/>
      <c r="AT577"/>
    </row>
    <row r="578" spans="20:46" ht="16.8">
      <c r="T578" s="112"/>
      <c r="U578" s="113"/>
      <c r="AF578" s="3">
        <v>45862</v>
      </c>
      <c r="AG578" s="2" t="s">
        <v>67</v>
      </c>
      <c r="AS578"/>
      <c r="AT578"/>
    </row>
    <row r="579" spans="20:46" ht="16.8">
      <c r="T579" s="112"/>
      <c r="U579" s="113"/>
      <c r="AF579" s="3">
        <v>45863</v>
      </c>
      <c r="AG579" s="2" t="s">
        <v>67</v>
      </c>
      <c r="AS579"/>
      <c r="AT579"/>
    </row>
    <row r="580" spans="20:46" ht="16.8">
      <c r="T580" s="112"/>
      <c r="U580" s="113"/>
      <c r="AF580" s="3">
        <v>45864</v>
      </c>
      <c r="AG580" s="2" t="s">
        <v>67</v>
      </c>
      <c r="AS580"/>
      <c r="AT580"/>
    </row>
    <row r="581" spans="20:46" ht="16.8">
      <c r="T581" s="112"/>
      <c r="U581" s="113"/>
      <c r="AF581" s="3">
        <v>45865</v>
      </c>
      <c r="AG581" s="2" t="s">
        <v>67</v>
      </c>
      <c r="AS581"/>
      <c r="AT581"/>
    </row>
    <row r="582" spans="20:46" ht="16.8">
      <c r="T582" s="112"/>
      <c r="U582" s="113"/>
      <c r="AF582" s="3">
        <v>45866</v>
      </c>
      <c r="AG582" s="2" t="s">
        <v>67</v>
      </c>
      <c r="AS582"/>
      <c r="AT582"/>
    </row>
    <row r="583" spans="20:46" ht="16.8">
      <c r="T583" s="112"/>
      <c r="U583" s="113"/>
      <c r="AF583" s="3">
        <v>45867</v>
      </c>
      <c r="AG583" s="2" t="s">
        <v>67</v>
      </c>
      <c r="AS583"/>
      <c r="AT583"/>
    </row>
    <row r="584" spans="20:46" ht="16.8">
      <c r="T584" s="112"/>
      <c r="U584" s="113"/>
      <c r="AF584" s="3">
        <v>45868</v>
      </c>
      <c r="AG584" s="2" t="s">
        <v>67</v>
      </c>
      <c r="AS584"/>
      <c r="AT584"/>
    </row>
    <row r="585" spans="20:46" ht="16.8">
      <c r="T585" s="112"/>
      <c r="U585" s="113"/>
      <c r="AF585" s="3">
        <v>45869</v>
      </c>
      <c r="AG585" s="2" t="s">
        <v>67</v>
      </c>
      <c r="AS585"/>
      <c r="AT585"/>
    </row>
    <row r="586" spans="20:46" ht="16.8">
      <c r="T586" s="112"/>
      <c r="U586" s="113"/>
      <c r="AF586" s="3">
        <v>45870</v>
      </c>
      <c r="AG586" s="2" t="s">
        <v>67</v>
      </c>
      <c r="AS586"/>
      <c r="AT586"/>
    </row>
    <row r="587" spans="20:46" ht="16.8">
      <c r="T587" s="112"/>
      <c r="U587" s="113"/>
      <c r="AF587" s="3">
        <v>45871</v>
      </c>
      <c r="AG587" s="2" t="s">
        <v>70</v>
      </c>
      <c r="AS587"/>
      <c r="AT587"/>
    </row>
    <row r="588" spans="20:46" ht="16.8">
      <c r="T588" s="112"/>
      <c r="U588" s="113"/>
      <c r="AF588" s="3">
        <v>45872</v>
      </c>
      <c r="AG588" s="2" t="s">
        <v>70</v>
      </c>
      <c r="AS588"/>
      <c r="AT588"/>
    </row>
    <row r="589" spans="20:46" ht="16.8">
      <c r="T589" s="112"/>
      <c r="U589" s="113"/>
      <c r="AF589" s="3">
        <v>45873</v>
      </c>
      <c r="AG589" s="2" t="s">
        <v>70</v>
      </c>
      <c r="AS589"/>
      <c r="AT589"/>
    </row>
    <row r="590" spans="20:46" ht="16.8">
      <c r="T590" s="112"/>
      <c r="U590" s="113"/>
      <c r="AF590" s="3">
        <v>45874</v>
      </c>
      <c r="AG590" s="2" t="s">
        <v>70</v>
      </c>
      <c r="AS590"/>
      <c r="AT590"/>
    </row>
    <row r="591" spans="20:46" ht="16.8">
      <c r="T591" s="112"/>
      <c r="U591" s="113"/>
      <c r="AF591" s="3">
        <v>45875</v>
      </c>
      <c r="AG591" s="2" t="s">
        <v>70</v>
      </c>
      <c r="AS591"/>
      <c r="AT591"/>
    </row>
    <row r="592" spans="20:46" ht="16.8">
      <c r="T592" s="112"/>
      <c r="U592" s="113"/>
      <c r="AF592" s="3">
        <v>45876</v>
      </c>
      <c r="AG592" s="2" t="s">
        <v>70</v>
      </c>
      <c r="AS592"/>
      <c r="AT592"/>
    </row>
    <row r="593" spans="20:46" ht="16.8">
      <c r="T593" s="112"/>
      <c r="U593" s="113"/>
      <c r="AF593" s="3">
        <v>45877</v>
      </c>
      <c r="AG593" s="2" t="s">
        <v>70</v>
      </c>
      <c r="AS593"/>
      <c r="AT593"/>
    </row>
    <row r="594" spans="20:46" ht="16.8">
      <c r="T594" s="112"/>
      <c r="U594" s="113"/>
      <c r="AF594" s="3">
        <v>45878</v>
      </c>
      <c r="AG594" s="2" t="s">
        <v>70</v>
      </c>
      <c r="AS594"/>
      <c r="AT594"/>
    </row>
    <row r="595" spans="20:46" ht="16.8">
      <c r="T595" s="112"/>
      <c r="U595" s="113"/>
      <c r="AF595" s="3">
        <v>45879</v>
      </c>
      <c r="AG595" s="2" t="s">
        <v>70</v>
      </c>
      <c r="AS595"/>
      <c r="AT595"/>
    </row>
    <row r="596" spans="20:46" ht="16.8">
      <c r="T596" s="112"/>
      <c r="U596" s="113"/>
      <c r="AF596" s="3">
        <v>45880</v>
      </c>
      <c r="AG596" s="2" t="s">
        <v>70</v>
      </c>
      <c r="AS596"/>
      <c r="AT596"/>
    </row>
    <row r="597" spans="20:46" ht="16.8">
      <c r="T597" s="112"/>
      <c r="U597" s="113"/>
      <c r="AF597" s="3">
        <v>45881</v>
      </c>
      <c r="AG597" s="2" t="s">
        <v>70</v>
      </c>
      <c r="AS597"/>
      <c r="AT597"/>
    </row>
    <row r="598" spans="20:46" ht="16.8">
      <c r="T598" s="112"/>
      <c r="U598" s="113"/>
      <c r="AF598" s="3">
        <v>45882</v>
      </c>
      <c r="AG598" s="2" t="s">
        <v>70</v>
      </c>
      <c r="AS598"/>
      <c r="AT598"/>
    </row>
    <row r="599" spans="20:46" ht="16.8">
      <c r="T599" s="112"/>
      <c r="U599" s="113"/>
      <c r="AF599" s="3">
        <v>45883</v>
      </c>
      <c r="AG599" s="2" t="s">
        <v>70</v>
      </c>
      <c r="AS599"/>
      <c r="AT599"/>
    </row>
    <row r="600" spans="20:46" ht="16.8">
      <c r="T600" s="112"/>
      <c r="U600" s="113"/>
      <c r="AF600" s="3">
        <v>45884</v>
      </c>
      <c r="AG600" s="2" t="s">
        <v>70</v>
      </c>
      <c r="AS600"/>
      <c r="AT600"/>
    </row>
    <row r="601" spans="20:46" ht="16.8">
      <c r="T601" s="112"/>
      <c r="U601" s="113"/>
      <c r="AF601" s="3">
        <v>45885</v>
      </c>
      <c r="AG601" s="2" t="s">
        <v>70</v>
      </c>
      <c r="AS601"/>
      <c r="AT601"/>
    </row>
    <row r="602" spans="20:46" ht="16.8">
      <c r="T602" s="112"/>
      <c r="U602" s="113"/>
      <c r="AF602" s="3">
        <v>45886</v>
      </c>
      <c r="AG602" s="2" t="s">
        <v>70</v>
      </c>
      <c r="AS602"/>
      <c r="AT602"/>
    </row>
    <row r="603" spans="20:46" ht="16.8">
      <c r="T603" s="112"/>
      <c r="U603" s="113"/>
      <c r="AF603" s="3">
        <v>45887</v>
      </c>
      <c r="AG603" s="2" t="s">
        <v>70</v>
      </c>
      <c r="AS603"/>
      <c r="AT603"/>
    </row>
    <row r="604" spans="20:46" ht="16.8">
      <c r="T604" s="112"/>
      <c r="U604" s="113"/>
      <c r="AF604" s="3">
        <v>45888</v>
      </c>
      <c r="AG604" s="2" t="s">
        <v>70</v>
      </c>
      <c r="AS604"/>
      <c r="AT604"/>
    </row>
    <row r="605" spans="20:46" ht="16.8">
      <c r="T605" s="112"/>
      <c r="U605" s="113"/>
      <c r="AF605" s="3">
        <v>45889</v>
      </c>
      <c r="AG605" s="2" t="s">
        <v>70</v>
      </c>
      <c r="AS605"/>
      <c r="AT605"/>
    </row>
    <row r="606" spans="20:46" ht="16.8">
      <c r="T606" s="112"/>
      <c r="U606" s="113"/>
      <c r="AF606" s="3">
        <v>45890</v>
      </c>
      <c r="AG606" s="2" t="s">
        <v>70</v>
      </c>
      <c r="AS606"/>
      <c r="AT606"/>
    </row>
    <row r="607" spans="20:46" ht="16.8">
      <c r="T607" s="112"/>
      <c r="U607" s="113"/>
      <c r="AF607" s="3">
        <v>45891</v>
      </c>
      <c r="AG607" s="2" t="s">
        <v>70</v>
      </c>
      <c r="AS607"/>
      <c r="AT607"/>
    </row>
    <row r="608" spans="20:46" ht="16.8">
      <c r="T608" s="112"/>
      <c r="U608" s="113"/>
      <c r="AF608" s="3">
        <v>45892</v>
      </c>
      <c r="AG608" s="2" t="s">
        <v>70</v>
      </c>
      <c r="AS608"/>
      <c r="AT608"/>
    </row>
    <row r="609" spans="20:46" ht="16.8">
      <c r="T609" s="112"/>
      <c r="U609" s="113"/>
      <c r="AF609" s="3">
        <v>45893</v>
      </c>
      <c r="AG609" s="2" t="s">
        <v>70</v>
      </c>
      <c r="AS609"/>
      <c r="AT609"/>
    </row>
    <row r="610" spans="20:46" ht="16.8">
      <c r="T610" s="112"/>
      <c r="U610" s="113"/>
      <c r="AF610" s="3">
        <v>45894</v>
      </c>
      <c r="AG610" s="2" t="s">
        <v>70</v>
      </c>
      <c r="AS610"/>
      <c r="AT610"/>
    </row>
    <row r="611" spans="20:46" ht="16.8">
      <c r="T611" s="112"/>
      <c r="U611" s="113"/>
      <c r="AF611" s="3">
        <v>45895</v>
      </c>
      <c r="AG611" s="2" t="s">
        <v>70</v>
      </c>
      <c r="AS611"/>
      <c r="AT611"/>
    </row>
    <row r="612" spans="20:46" ht="16.8">
      <c r="T612" s="112"/>
      <c r="U612" s="113"/>
      <c r="AF612" s="3">
        <v>45896</v>
      </c>
      <c r="AG612" s="2" t="s">
        <v>70</v>
      </c>
      <c r="AS612"/>
      <c r="AT612"/>
    </row>
    <row r="613" spans="20:46" ht="16.8">
      <c r="T613" s="112"/>
      <c r="U613" s="113"/>
      <c r="AF613" s="3">
        <v>45897</v>
      </c>
      <c r="AG613" s="2" t="s">
        <v>70</v>
      </c>
      <c r="AS613"/>
      <c r="AT613"/>
    </row>
    <row r="614" spans="20:46" ht="16.8">
      <c r="T614" s="112"/>
      <c r="U614" s="113"/>
      <c r="AF614" s="3">
        <v>45898</v>
      </c>
      <c r="AG614" s="2" t="s">
        <v>70</v>
      </c>
      <c r="AS614"/>
      <c r="AT614"/>
    </row>
    <row r="615" spans="20:46" ht="16.8">
      <c r="T615" s="112"/>
      <c r="U615" s="113"/>
      <c r="AF615" s="3">
        <v>45899</v>
      </c>
      <c r="AG615" s="2" t="s">
        <v>70</v>
      </c>
      <c r="AS615"/>
      <c r="AT615"/>
    </row>
    <row r="616" spans="20:46" ht="16.8">
      <c r="T616" s="112"/>
      <c r="U616" s="113"/>
      <c r="AF616" s="3">
        <v>45900</v>
      </c>
      <c r="AG616" s="2" t="s">
        <v>70</v>
      </c>
      <c r="AS616"/>
      <c r="AT616"/>
    </row>
    <row r="617" spans="20:46" ht="16.8">
      <c r="T617" s="112"/>
      <c r="U617" s="113"/>
      <c r="AF617" s="3">
        <v>45901</v>
      </c>
      <c r="AG617" s="2" t="s">
        <v>70</v>
      </c>
      <c r="AS617"/>
      <c r="AT617"/>
    </row>
    <row r="618" spans="20:46" ht="16.8">
      <c r="T618" s="112"/>
      <c r="U618" s="113"/>
      <c r="AF618" s="3">
        <v>45902</v>
      </c>
      <c r="AG618" s="2" t="s">
        <v>76</v>
      </c>
      <c r="AS618"/>
      <c r="AT618"/>
    </row>
    <row r="619" spans="20:46" ht="16.8">
      <c r="T619" s="112"/>
      <c r="U619" s="113"/>
      <c r="AF619" s="3">
        <v>45903</v>
      </c>
      <c r="AG619" s="2" t="s">
        <v>76</v>
      </c>
      <c r="AS619"/>
      <c r="AT619"/>
    </row>
    <row r="620" spans="20:46" ht="16.8">
      <c r="T620" s="112"/>
      <c r="U620" s="113"/>
      <c r="AF620" s="3">
        <v>45904</v>
      </c>
      <c r="AG620" s="2" t="s">
        <v>76</v>
      </c>
      <c r="AS620"/>
      <c r="AT620"/>
    </row>
    <row r="621" spans="20:46" ht="16.8">
      <c r="T621" s="112"/>
      <c r="U621" s="113"/>
      <c r="AF621" s="3">
        <v>45905</v>
      </c>
      <c r="AG621" s="2" t="s">
        <v>76</v>
      </c>
      <c r="AS621"/>
      <c r="AT621"/>
    </row>
    <row r="622" spans="20:46" ht="16.8">
      <c r="T622" s="112"/>
      <c r="U622" s="113"/>
      <c r="AF622" s="3">
        <v>45906</v>
      </c>
      <c r="AG622" s="2" t="s">
        <v>76</v>
      </c>
      <c r="AS622"/>
      <c r="AT622"/>
    </row>
    <row r="623" spans="20:46" ht="16.8">
      <c r="T623" s="112"/>
      <c r="U623" s="113"/>
      <c r="AF623" s="3">
        <v>45907</v>
      </c>
      <c r="AG623" s="2" t="s">
        <v>76</v>
      </c>
      <c r="AS623"/>
      <c r="AT623"/>
    </row>
    <row r="624" spans="20:46" ht="16.8">
      <c r="T624" s="112"/>
      <c r="U624" s="113"/>
      <c r="AF624" s="3">
        <v>45908</v>
      </c>
      <c r="AG624" s="2" t="s">
        <v>76</v>
      </c>
      <c r="AS624"/>
      <c r="AT624"/>
    </row>
    <row r="625" spans="20:46" ht="16.8">
      <c r="T625" s="112"/>
      <c r="U625" s="113"/>
      <c r="AF625" s="3">
        <v>45909</v>
      </c>
      <c r="AG625" s="2" t="s">
        <v>76</v>
      </c>
      <c r="AS625"/>
      <c r="AT625"/>
    </row>
    <row r="626" spans="20:46" ht="16.8">
      <c r="T626" s="112"/>
      <c r="U626" s="113"/>
      <c r="AF626" s="3">
        <v>45910</v>
      </c>
      <c r="AG626" s="2" t="s">
        <v>76</v>
      </c>
      <c r="AS626"/>
      <c r="AT626"/>
    </row>
    <row r="627" spans="20:46" ht="16.8">
      <c r="T627" s="112"/>
      <c r="U627" s="113"/>
      <c r="AF627" s="3">
        <v>45911</v>
      </c>
      <c r="AG627" s="2" t="s">
        <v>76</v>
      </c>
      <c r="AS627"/>
      <c r="AT627"/>
    </row>
    <row r="628" spans="20:46" ht="16.8">
      <c r="T628" s="112"/>
      <c r="U628" s="113"/>
      <c r="AF628" s="3">
        <v>45912</v>
      </c>
      <c r="AG628" s="2" t="s">
        <v>76</v>
      </c>
      <c r="AS628"/>
      <c r="AT628"/>
    </row>
    <row r="629" spans="20:46" ht="16.8">
      <c r="T629" s="112"/>
      <c r="U629" s="113"/>
      <c r="AF629" s="3">
        <v>45913</v>
      </c>
      <c r="AG629" s="2" t="s">
        <v>76</v>
      </c>
      <c r="AS629"/>
      <c r="AT629"/>
    </row>
    <row r="630" spans="20:46" ht="16.8">
      <c r="T630" s="112"/>
      <c r="U630" s="113"/>
      <c r="AF630" s="3">
        <v>45914</v>
      </c>
      <c r="AG630" s="2" t="s">
        <v>76</v>
      </c>
      <c r="AS630"/>
      <c r="AT630"/>
    </row>
    <row r="631" spans="20:46" ht="16.8">
      <c r="T631" s="112"/>
      <c r="U631" s="113"/>
      <c r="AF631" s="3">
        <v>45915</v>
      </c>
      <c r="AG631" s="2" t="s">
        <v>76</v>
      </c>
      <c r="AS631"/>
      <c r="AT631"/>
    </row>
    <row r="632" spans="20:46" ht="16.8">
      <c r="T632" s="112"/>
      <c r="U632" s="113"/>
      <c r="AF632" s="3">
        <v>45916</v>
      </c>
      <c r="AG632" s="2" t="s">
        <v>76</v>
      </c>
      <c r="AS632"/>
      <c r="AT632"/>
    </row>
    <row r="633" spans="20:46" ht="16.8">
      <c r="T633" s="112"/>
      <c r="U633" s="113"/>
      <c r="AF633" s="3">
        <v>45917</v>
      </c>
      <c r="AG633" s="2" t="s">
        <v>76</v>
      </c>
      <c r="AS633"/>
      <c r="AT633"/>
    </row>
    <row r="634" spans="20:46" ht="16.8">
      <c r="T634" s="112"/>
      <c r="U634" s="113"/>
      <c r="AF634" s="3">
        <v>45918</v>
      </c>
      <c r="AG634" s="2" t="s">
        <v>76</v>
      </c>
      <c r="AS634"/>
      <c r="AT634"/>
    </row>
    <row r="635" spans="20:46" ht="16.8">
      <c r="T635" s="112"/>
      <c r="U635" s="113"/>
      <c r="AF635" s="3">
        <v>45919</v>
      </c>
      <c r="AG635" s="2" t="s">
        <v>76</v>
      </c>
      <c r="AS635"/>
      <c r="AT635"/>
    </row>
    <row r="636" spans="20:46" ht="16.8">
      <c r="T636" s="112"/>
      <c r="U636" s="113"/>
      <c r="AF636" s="3">
        <v>45920</v>
      </c>
      <c r="AG636" s="2" t="s">
        <v>76</v>
      </c>
      <c r="AS636"/>
      <c r="AT636"/>
    </row>
    <row r="637" spans="20:46" ht="16.8">
      <c r="T637" s="112"/>
      <c r="U637" s="113"/>
      <c r="AF637" s="3">
        <v>45921</v>
      </c>
      <c r="AG637" s="2" t="s">
        <v>76</v>
      </c>
      <c r="AS637"/>
      <c r="AT637"/>
    </row>
    <row r="638" spans="20:46" ht="16.8">
      <c r="T638" s="112"/>
      <c r="U638" s="113"/>
      <c r="AF638" s="3">
        <v>45922</v>
      </c>
      <c r="AG638" s="2" t="s">
        <v>76</v>
      </c>
      <c r="AS638"/>
      <c r="AT638"/>
    </row>
    <row r="639" spans="20:46" ht="16.8">
      <c r="T639" s="112"/>
      <c r="U639" s="113"/>
      <c r="AF639" s="3">
        <v>45923</v>
      </c>
      <c r="AG639" s="2" t="s">
        <v>76</v>
      </c>
      <c r="AS639"/>
      <c r="AT639"/>
    </row>
    <row r="640" spans="20:46" ht="16.8">
      <c r="T640" s="112"/>
      <c r="U640" s="113"/>
      <c r="AF640" s="3">
        <v>45924</v>
      </c>
      <c r="AG640" s="2" t="s">
        <v>76</v>
      </c>
      <c r="AS640"/>
      <c r="AT640"/>
    </row>
    <row r="641" spans="20:46" ht="16.8">
      <c r="T641" s="112"/>
      <c r="U641" s="113"/>
      <c r="AF641" s="3">
        <v>45925</v>
      </c>
      <c r="AG641" s="2" t="s">
        <v>76</v>
      </c>
      <c r="AS641"/>
      <c r="AT641"/>
    </row>
    <row r="642" spans="20:46" ht="16.8">
      <c r="T642" s="112"/>
      <c r="U642" s="113"/>
      <c r="AF642" s="3">
        <v>45926</v>
      </c>
      <c r="AG642" s="2" t="s">
        <v>76</v>
      </c>
      <c r="AS642"/>
      <c r="AT642"/>
    </row>
    <row r="643" spans="20:46" ht="16.8">
      <c r="T643" s="112"/>
      <c r="U643" s="113"/>
      <c r="AF643" s="3">
        <v>45927</v>
      </c>
      <c r="AG643" s="2" t="s">
        <v>76</v>
      </c>
      <c r="AS643"/>
      <c r="AT643"/>
    </row>
    <row r="644" spans="20:46" ht="16.8">
      <c r="T644" s="112"/>
      <c r="U644" s="113"/>
      <c r="AF644" s="3">
        <v>45928</v>
      </c>
      <c r="AG644" s="2" t="s">
        <v>76</v>
      </c>
      <c r="AS644"/>
      <c r="AT644"/>
    </row>
    <row r="645" spans="20:46" ht="16.8">
      <c r="T645" s="112"/>
      <c r="U645" s="113"/>
      <c r="AF645" s="3">
        <v>45929</v>
      </c>
      <c r="AG645" s="2" t="s">
        <v>76</v>
      </c>
      <c r="AS645"/>
      <c r="AT645"/>
    </row>
    <row r="646" spans="20:46" ht="16.8">
      <c r="T646" s="112"/>
      <c r="U646" s="113"/>
      <c r="AF646" s="3">
        <v>45930</v>
      </c>
      <c r="AG646" s="2" t="s">
        <v>76</v>
      </c>
      <c r="AS646"/>
      <c r="AT646"/>
    </row>
    <row r="647" spans="20:46" ht="16.8">
      <c r="T647" s="112"/>
      <c r="U647" s="113"/>
      <c r="AF647" s="3">
        <v>45931</v>
      </c>
      <c r="AG647" s="2" t="s">
        <v>76</v>
      </c>
      <c r="AS647"/>
      <c r="AT647"/>
    </row>
    <row r="648" spans="20:46" ht="16.8">
      <c r="T648" s="112"/>
      <c r="U648" s="113"/>
      <c r="AF648" s="3">
        <v>45932</v>
      </c>
      <c r="AG648" s="2" t="s">
        <v>77</v>
      </c>
      <c r="AS648"/>
      <c r="AT648"/>
    </row>
    <row r="649" spans="20:46" ht="16.8">
      <c r="T649" s="112"/>
      <c r="U649" s="113"/>
      <c r="AF649" s="3">
        <v>45933</v>
      </c>
      <c r="AG649" s="2" t="s">
        <v>77</v>
      </c>
      <c r="AS649"/>
      <c r="AT649"/>
    </row>
    <row r="650" spans="20:46" ht="16.8">
      <c r="T650" s="112"/>
      <c r="U650" s="113"/>
      <c r="AF650" s="3">
        <v>45934</v>
      </c>
      <c r="AG650" s="2" t="s">
        <v>77</v>
      </c>
      <c r="AS650"/>
      <c r="AT650"/>
    </row>
    <row r="651" spans="20:46" ht="16.8">
      <c r="T651" s="112"/>
      <c r="U651" s="113"/>
      <c r="AF651" s="3">
        <v>45935</v>
      </c>
      <c r="AG651" s="2" t="s">
        <v>77</v>
      </c>
      <c r="AS651"/>
      <c r="AT651"/>
    </row>
    <row r="652" spans="20:46" ht="16.8">
      <c r="T652" s="112"/>
      <c r="U652" s="113"/>
      <c r="AF652" s="3">
        <v>45936</v>
      </c>
      <c r="AG652" s="2" t="s">
        <v>77</v>
      </c>
      <c r="AS652"/>
      <c r="AT652"/>
    </row>
    <row r="653" spans="20:46" ht="16.8">
      <c r="T653" s="112"/>
      <c r="U653" s="113"/>
      <c r="AF653" s="3">
        <v>45937</v>
      </c>
      <c r="AG653" s="2" t="s">
        <v>77</v>
      </c>
      <c r="AS653"/>
      <c r="AT653"/>
    </row>
    <row r="654" spans="20:46" ht="16.8">
      <c r="T654" s="112"/>
      <c r="U654" s="113"/>
      <c r="AF654" s="3">
        <v>45938</v>
      </c>
      <c r="AG654" s="2" t="s">
        <v>77</v>
      </c>
      <c r="AS654"/>
      <c r="AT654"/>
    </row>
    <row r="655" spans="20:46" ht="16.8">
      <c r="T655" s="112"/>
      <c r="U655" s="113"/>
      <c r="AF655" s="3">
        <v>45939</v>
      </c>
      <c r="AG655" s="2" t="s">
        <v>77</v>
      </c>
      <c r="AS655"/>
      <c r="AT655"/>
    </row>
    <row r="656" spans="20:46" ht="16.8">
      <c r="T656" s="112"/>
      <c r="U656" s="113"/>
      <c r="AF656" s="3">
        <v>45940</v>
      </c>
      <c r="AG656" s="2" t="s">
        <v>77</v>
      </c>
      <c r="AS656"/>
      <c r="AT656"/>
    </row>
    <row r="657" spans="20:46" ht="16.8">
      <c r="T657" s="112"/>
      <c r="U657" s="113"/>
      <c r="AF657" s="3">
        <v>45941</v>
      </c>
      <c r="AG657" s="2" t="s">
        <v>77</v>
      </c>
      <c r="AS657"/>
      <c r="AT657"/>
    </row>
    <row r="658" spans="20:46" ht="16.8">
      <c r="T658" s="112"/>
      <c r="U658" s="113"/>
      <c r="AF658" s="3">
        <v>45942</v>
      </c>
      <c r="AG658" s="2" t="s">
        <v>77</v>
      </c>
      <c r="AS658"/>
      <c r="AT658"/>
    </row>
    <row r="659" spans="20:46" ht="16.8">
      <c r="T659" s="112"/>
      <c r="U659" s="113"/>
      <c r="AF659" s="3">
        <v>45943</v>
      </c>
      <c r="AG659" s="2" t="s">
        <v>77</v>
      </c>
      <c r="AS659"/>
      <c r="AT659"/>
    </row>
    <row r="660" spans="20:46" ht="16.8">
      <c r="T660" s="112"/>
      <c r="U660" s="113"/>
      <c r="AF660" s="3">
        <v>45944</v>
      </c>
      <c r="AG660" s="2" t="s">
        <v>77</v>
      </c>
      <c r="AS660"/>
      <c r="AT660"/>
    </row>
    <row r="661" spans="20:46" ht="16.8">
      <c r="T661" s="112"/>
      <c r="U661" s="113"/>
      <c r="AF661" s="3">
        <v>45945</v>
      </c>
      <c r="AG661" s="2" t="s">
        <v>77</v>
      </c>
      <c r="AS661"/>
      <c r="AT661"/>
    </row>
    <row r="662" spans="20:46" ht="16.8">
      <c r="T662" s="112"/>
      <c r="U662" s="113"/>
      <c r="AF662" s="3">
        <v>45946</v>
      </c>
      <c r="AG662" s="2" t="s">
        <v>77</v>
      </c>
      <c r="AS662"/>
      <c r="AT662"/>
    </row>
    <row r="663" spans="20:46" ht="16.8">
      <c r="T663" s="112"/>
      <c r="U663" s="113"/>
      <c r="AF663" s="3">
        <v>45947</v>
      </c>
      <c r="AG663" s="2" t="s">
        <v>77</v>
      </c>
      <c r="AS663"/>
      <c r="AT663"/>
    </row>
    <row r="664" spans="20:46" ht="16.8">
      <c r="T664" s="112"/>
      <c r="U664" s="113"/>
      <c r="AF664" s="3">
        <v>45948</v>
      </c>
      <c r="AG664" s="2" t="s">
        <v>77</v>
      </c>
      <c r="AS664"/>
      <c r="AT664"/>
    </row>
    <row r="665" spans="20:46" ht="16.8">
      <c r="T665" s="112"/>
      <c r="U665" s="113"/>
      <c r="AF665" s="3">
        <v>45949</v>
      </c>
      <c r="AG665" s="2" t="s">
        <v>77</v>
      </c>
      <c r="AS665"/>
      <c r="AT665"/>
    </row>
    <row r="666" spans="20:46" ht="16.8">
      <c r="T666" s="112"/>
      <c r="U666" s="113"/>
      <c r="AF666" s="3">
        <v>45950</v>
      </c>
      <c r="AG666" s="2" t="s">
        <v>77</v>
      </c>
      <c r="AS666"/>
      <c r="AT666"/>
    </row>
    <row r="667" spans="20:46" ht="16.8">
      <c r="T667" s="112"/>
      <c r="U667" s="113"/>
      <c r="AF667" s="3">
        <v>45951</v>
      </c>
      <c r="AG667" s="2" t="s">
        <v>77</v>
      </c>
      <c r="AS667"/>
      <c r="AT667"/>
    </row>
    <row r="668" spans="20:46" ht="16.8">
      <c r="T668" s="112"/>
      <c r="U668" s="113"/>
      <c r="AF668" s="3">
        <v>45952</v>
      </c>
      <c r="AG668" s="2" t="s">
        <v>77</v>
      </c>
      <c r="AS668"/>
      <c r="AT668"/>
    </row>
    <row r="669" spans="20:46" ht="16.8">
      <c r="T669" s="112"/>
      <c r="U669" s="113"/>
      <c r="AF669" s="3">
        <v>45953</v>
      </c>
      <c r="AG669" s="2" t="s">
        <v>77</v>
      </c>
      <c r="AS669"/>
      <c r="AT669"/>
    </row>
    <row r="670" spans="20:46" ht="16.8">
      <c r="T670" s="112"/>
      <c r="U670" s="113"/>
      <c r="AF670" s="3">
        <v>45954</v>
      </c>
      <c r="AG670" s="2" t="s">
        <v>77</v>
      </c>
      <c r="AS670"/>
      <c r="AT670"/>
    </row>
    <row r="671" spans="20:46" ht="16.8">
      <c r="T671" s="112"/>
      <c r="U671" s="113"/>
      <c r="AF671" s="3">
        <v>45955</v>
      </c>
      <c r="AG671" s="2" t="s">
        <v>77</v>
      </c>
      <c r="AS671"/>
      <c r="AT671"/>
    </row>
    <row r="672" spans="20:46" ht="16.8">
      <c r="T672" s="112"/>
      <c r="U672" s="113"/>
      <c r="AF672" s="3">
        <v>45956</v>
      </c>
      <c r="AG672" s="2" t="s">
        <v>77</v>
      </c>
      <c r="AS672"/>
      <c r="AT672"/>
    </row>
    <row r="673" spans="20:46" ht="16.8">
      <c r="T673" s="112"/>
      <c r="U673" s="113"/>
      <c r="AF673" s="3">
        <v>45957</v>
      </c>
      <c r="AG673" s="2" t="s">
        <v>77</v>
      </c>
      <c r="AS673"/>
      <c r="AT673"/>
    </row>
    <row r="674" spans="20:46" ht="16.8">
      <c r="T674" s="112"/>
      <c r="U674" s="113"/>
      <c r="AF674" s="3">
        <v>45958</v>
      </c>
      <c r="AG674" s="2" t="s">
        <v>77</v>
      </c>
      <c r="AS674"/>
      <c r="AT674"/>
    </row>
    <row r="675" spans="20:46" ht="16.8">
      <c r="T675" s="112"/>
      <c r="U675" s="113"/>
      <c r="AF675" s="3">
        <v>45959</v>
      </c>
      <c r="AG675" s="2" t="s">
        <v>77</v>
      </c>
      <c r="AS675"/>
      <c r="AT675"/>
    </row>
    <row r="676" spans="20:46" ht="16.8">
      <c r="T676" s="112"/>
      <c r="U676" s="113"/>
      <c r="AF676" s="3">
        <v>45960</v>
      </c>
      <c r="AG676" s="2" t="s">
        <v>77</v>
      </c>
      <c r="AS676"/>
      <c r="AT676"/>
    </row>
    <row r="677" spans="20:46" ht="16.8">
      <c r="T677" s="112"/>
      <c r="U677" s="113"/>
      <c r="AF677" s="3">
        <v>45961</v>
      </c>
      <c r="AG677" s="2" t="s">
        <v>77</v>
      </c>
      <c r="AS677"/>
      <c r="AT677"/>
    </row>
    <row r="678" spans="20:46" ht="16.8">
      <c r="T678" s="112"/>
      <c r="U678" s="113"/>
      <c r="AF678" s="3">
        <v>45962</v>
      </c>
      <c r="AG678" s="2" t="s">
        <v>77</v>
      </c>
      <c r="AS678"/>
      <c r="AT678"/>
    </row>
    <row r="679" spans="20:46" ht="16.8">
      <c r="T679" s="112"/>
      <c r="U679" s="113"/>
      <c r="AF679" s="3">
        <v>45963</v>
      </c>
      <c r="AG679" s="2" t="s">
        <v>78</v>
      </c>
      <c r="AS679"/>
      <c r="AT679"/>
    </row>
    <row r="680" spans="20:46" ht="16.8">
      <c r="T680" s="112"/>
      <c r="U680" s="113"/>
      <c r="AF680" s="3">
        <v>45964</v>
      </c>
      <c r="AG680" s="2" t="s">
        <v>78</v>
      </c>
      <c r="AS680"/>
      <c r="AT680"/>
    </row>
    <row r="681" spans="20:46" ht="16.8">
      <c r="T681" s="112"/>
      <c r="U681" s="113"/>
      <c r="AF681" s="3">
        <v>45965</v>
      </c>
      <c r="AG681" s="2" t="s">
        <v>78</v>
      </c>
      <c r="AS681"/>
      <c r="AT681"/>
    </row>
    <row r="682" spans="20:46" ht="16.8">
      <c r="T682" s="112"/>
      <c r="U682" s="113"/>
      <c r="AF682" s="3">
        <v>45966</v>
      </c>
      <c r="AG682" s="2" t="s">
        <v>78</v>
      </c>
      <c r="AS682"/>
      <c r="AT682"/>
    </row>
    <row r="683" spans="20:46" ht="16.8">
      <c r="T683" s="112"/>
      <c r="U683" s="113"/>
      <c r="AF683" s="3">
        <v>45967</v>
      </c>
      <c r="AG683" s="2" t="s">
        <v>78</v>
      </c>
      <c r="AS683"/>
      <c r="AT683"/>
    </row>
    <row r="684" spans="20:46" ht="16.8">
      <c r="T684" s="112"/>
      <c r="U684" s="113"/>
      <c r="AF684" s="3">
        <v>45968</v>
      </c>
      <c r="AG684" s="2" t="s">
        <v>78</v>
      </c>
      <c r="AS684"/>
      <c r="AT684"/>
    </row>
    <row r="685" spans="20:46" ht="16.8">
      <c r="T685" s="112"/>
      <c r="U685" s="113"/>
      <c r="AF685" s="3">
        <v>45969</v>
      </c>
      <c r="AG685" s="2" t="s">
        <v>78</v>
      </c>
      <c r="AS685"/>
      <c r="AT685"/>
    </row>
    <row r="686" spans="20:46" ht="16.8">
      <c r="T686" s="112"/>
      <c r="U686" s="113"/>
      <c r="AF686" s="3">
        <v>45970</v>
      </c>
      <c r="AG686" s="2" t="s">
        <v>78</v>
      </c>
      <c r="AS686"/>
      <c r="AT686"/>
    </row>
    <row r="687" spans="20:46" ht="16.8">
      <c r="T687" s="112"/>
      <c r="U687" s="113"/>
      <c r="AF687" s="3">
        <v>45971</v>
      </c>
      <c r="AG687" s="2" t="s">
        <v>78</v>
      </c>
      <c r="AS687"/>
      <c r="AT687"/>
    </row>
    <row r="688" spans="20:46" ht="16.8">
      <c r="T688" s="112"/>
      <c r="U688" s="113"/>
      <c r="AF688" s="3">
        <v>45972</v>
      </c>
      <c r="AG688" s="2" t="s">
        <v>78</v>
      </c>
      <c r="AS688"/>
      <c r="AT688"/>
    </row>
    <row r="689" spans="20:46" ht="16.8">
      <c r="T689" s="112"/>
      <c r="U689" s="113"/>
      <c r="AF689" s="3">
        <v>45973</v>
      </c>
      <c r="AG689" s="2" t="s">
        <v>78</v>
      </c>
      <c r="AS689"/>
      <c r="AT689"/>
    </row>
    <row r="690" spans="20:46" ht="16.8">
      <c r="T690" s="112"/>
      <c r="U690" s="113"/>
      <c r="AF690" s="3">
        <v>45974</v>
      </c>
      <c r="AG690" s="2" t="s">
        <v>78</v>
      </c>
      <c r="AS690"/>
      <c r="AT690"/>
    </row>
    <row r="691" spans="20:46" ht="16.8">
      <c r="T691" s="112"/>
      <c r="U691" s="113"/>
      <c r="AF691" s="3">
        <v>45975</v>
      </c>
      <c r="AG691" s="2" t="s">
        <v>78</v>
      </c>
      <c r="AS691"/>
      <c r="AT691"/>
    </row>
    <row r="692" spans="20:46" ht="16.8">
      <c r="T692" s="112"/>
      <c r="U692" s="113"/>
      <c r="AF692" s="3">
        <v>45976</v>
      </c>
      <c r="AG692" s="2" t="s">
        <v>78</v>
      </c>
      <c r="AS692"/>
      <c r="AT692"/>
    </row>
    <row r="693" spans="20:46" ht="16.8">
      <c r="T693" s="112"/>
      <c r="U693" s="113"/>
      <c r="AF693" s="3">
        <v>45977</v>
      </c>
      <c r="AG693" s="2" t="s">
        <v>78</v>
      </c>
      <c r="AS693"/>
      <c r="AT693"/>
    </row>
    <row r="694" spans="20:46" ht="16.8">
      <c r="T694" s="112"/>
      <c r="U694" s="113"/>
      <c r="AF694" s="3">
        <v>45978</v>
      </c>
      <c r="AG694" s="2" t="s">
        <v>78</v>
      </c>
      <c r="AS694"/>
      <c r="AT694"/>
    </row>
    <row r="695" spans="20:46" ht="16.8">
      <c r="T695" s="112"/>
      <c r="U695" s="113"/>
      <c r="AF695" s="3">
        <v>45979</v>
      </c>
      <c r="AG695" s="2" t="s">
        <v>78</v>
      </c>
      <c r="AS695"/>
      <c r="AT695"/>
    </row>
    <row r="696" spans="20:46" ht="16.8">
      <c r="T696" s="112"/>
      <c r="U696" s="113"/>
      <c r="AF696" s="3">
        <v>45980</v>
      </c>
      <c r="AG696" s="2" t="s">
        <v>78</v>
      </c>
      <c r="AS696"/>
      <c r="AT696"/>
    </row>
    <row r="697" spans="20:46" ht="16.8">
      <c r="T697" s="112"/>
      <c r="U697" s="113"/>
      <c r="AF697" s="3">
        <v>45981</v>
      </c>
      <c r="AG697" s="2" t="s">
        <v>78</v>
      </c>
      <c r="AS697"/>
      <c r="AT697"/>
    </row>
    <row r="698" spans="20:46" ht="16.8">
      <c r="T698" s="112"/>
      <c r="U698" s="113"/>
      <c r="AF698" s="3">
        <v>45982</v>
      </c>
      <c r="AG698" s="2" t="s">
        <v>78</v>
      </c>
      <c r="AS698"/>
      <c r="AT698"/>
    </row>
    <row r="699" spans="20:46" ht="16.8">
      <c r="T699" s="112"/>
      <c r="U699" s="113"/>
      <c r="AF699" s="3">
        <v>45983</v>
      </c>
      <c r="AG699" s="2" t="s">
        <v>78</v>
      </c>
      <c r="AS699"/>
      <c r="AT699"/>
    </row>
    <row r="700" spans="20:46" ht="16.8">
      <c r="T700" s="112"/>
      <c r="U700" s="113"/>
      <c r="AF700" s="3">
        <v>45984</v>
      </c>
      <c r="AG700" s="2" t="s">
        <v>78</v>
      </c>
      <c r="AS700"/>
      <c r="AT700"/>
    </row>
    <row r="701" spans="20:46" ht="16.8">
      <c r="T701" s="112"/>
      <c r="U701" s="113"/>
      <c r="AF701" s="3">
        <v>45985</v>
      </c>
      <c r="AG701" s="2" t="s">
        <v>78</v>
      </c>
      <c r="AS701"/>
      <c r="AT701"/>
    </row>
    <row r="702" spans="20:46" ht="16.8">
      <c r="T702" s="112"/>
      <c r="U702" s="113"/>
      <c r="AF702" s="3">
        <v>45986</v>
      </c>
      <c r="AG702" s="2" t="s">
        <v>78</v>
      </c>
      <c r="AS702"/>
      <c r="AT702"/>
    </row>
    <row r="703" spans="20:46" ht="16.8">
      <c r="T703" s="112"/>
      <c r="U703" s="113"/>
      <c r="AF703" s="3">
        <v>45987</v>
      </c>
      <c r="AG703" s="2" t="s">
        <v>78</v>
      </c>
      <c r="AS703"/>
      <c r="AT703"/>
    </row>
    <row r="704" spans="20:46" ht="16.8">
      <c r="T704" s="112"/>
      <c r="U704" s="113"/>
      <c r="AF704" s="3">
        <v>45988</v>
      </c>
      <c r="AG704" s="2" t="s">
        <v>78</v>
      </c>
      <c r="AS704"/>
      <c r="AT704"/>
    </row>
    <row r="705" spans="20:46" ht="16.8">
      <c r="T705" s="112"/>
      <c r="U705" s="113"/>
      <c r="AF705" s="3">
        <v>45989</v>
      </c>
      <c r="AG705" s="2" t="s">
        <v>78</v>
      </c>
      <c r="AS705"/>
      <c r="AT705"/>
    </row>
    <row r="706" spans="20:46" ht="16.8">
      <c r="T706" s="112"/>
      <c r="U706" s="113"/>
      <c r="AF706" s="3">
        <v>45990</v>
      </c>
      <c r="AG706" s="2" t="s">
        <v>78</v>
      </c>
      <c r="AS706"/>
      <c r="AT706"/>
    </row>
    <row r="707" spans="20:46" ht="16.8">
      <c r="T707" s="112"/>
      <c r="U707" s="113"/>
      <c r="AF707" s="3">
        <v>45991</v>
      </c>
      <c r="AG707" s="2" t="s">
        <v>78</v>
      </c>
      <c r="AS707"/>
      <c r="AT707"/>
    </row>
    <row r="708" spans="20:46" ht="16.8">
      <c r="T708" s="112"/>
      <c r="U708" s="113"/>
      <c r="AF708" s="3">
        <v>45992</v>
      </c>
      <c r="AG708" s="2" t="s">
        <v>78</v>
      </c>
      <c r="AS708"/>
      <c r="AT708"/>
    </row>
    <row r="709" spans="20:46" ht="16.8">
      <c r="T709" s="112"/>
      <c r="U709" s="113"/>
      <c r="AF709" s="3">
        <v>45993</v>
      </c>
      <c r="AG709" s="2" t="s">
        <v>79</v>
      </c>
      <c r="AS709"/>
      <c r="AT709"/>
    </row>
    <row r="710" spans="20:46" ht="16.8">
      <c r="T710" s="112"/>
      <c r="U710" s="113"/>
      <c r="AF710" s="3">
        <v>45994</v>
      </c>
      <c r="AG710" s="2" t="s">
        <v>79</v>
      </c>
      <c r="AS710"/>
      <c r="AT710"/>
    </row>
    <row r="711" spans="20:46" ht="16.8">
      <c r="T711" s="112"/>
      <c r="U711" s="113"/>
      <c r="AF711" s="3">
        <v>45995</v>
      </c>
      <c r="AG711" s="2" t="s">
        <v>79</v>
      </c>
      <c r="AS711"/>
      <c r="AT711"/>
    </row>
    <row r="712" spans="20:46" ht="16.8">
      <c r="T712" s="112"/>
      <c r="U712" s="113"/>
      <c r="AF712" s="3">
        <v>45996</v>
      </c>
      <c r="AG712" s="2" t="s">
        <v>79</v>
      </c>
      <c r="AS712"/>
      <c r="AT712"/>
    </row>
    <row r="713" spans="20:46" ht="16.8">
      <c r="T713" s="112"/>
      <c r="U713" s="113"/>
      <c r="AF713" s="3">
        <v>45997</v>
      </c>
      <c r="AG713" s="2" t="s">
        <v>79</v>
      </c>
      <c r="AS713"/>
      <c r="AT713"/>
    </row>
    <row r="714" spans="20:46" ht="16.8">
      <c r="T714" s="112"/>
      <c r="U714" s="113"/>
      <c r="AF714" s="3">
        <v>45998</v>
      </c>
      <c r="AG714" s="2" t="s">
        <v>79</v>
      </c>
      <c r="AS714"/>
      <c r="AT714"/>
    </row>
    <row r="715" spans="20:46" ht="16.8">
      <c r="T715" s="112"/>
      <c r="U715" s="113"/>
      <c r="AF715" s="3">
        <v>45999</v>
      </c>
      <c r="AG715" s="2" t="s">
        <v>79</v>
      </c>
      <c r="AS715"/>
      <c r="AT715"/>
    </row>
    <row r="716" spans="20:46" ht="16.8">
      <c r="T716" s="112"/>
      <c r="U716" s="113"/>
      <c r="AF716" s="3">
        <v>46000</v>
      </c>
      <c r="AG716" s="2" t="s">
        <v>79</v>
      </c>
      <c r="AS716"/>
      <c r="AT716"/>
    </row>
    <row r="717" spans="20:46" ht="16.8">
      <c r="T717" s="112"/>
      <c r="U717" s="113"/>
      <c r="AF717" s="3">
        <v>46001</v>
      </c>
      <c r="AG717" s="2" t="s">
        <v>79</v>
      </c>
      <c r="AS717"/>
      <c r="AT717"/>
    </row>
    <row r="718" spans="20:46" ht="16.8">
      <c r="T718" s="112"/>
      <c r="U718" s="113"/>
      <c r="AF718" s="3">
        <v>46002</v>
      </c>
      <c r="AG718" s="2" t="s">
        <v>79</v>
      </c>
      <c r="AS718"/>
      <c r="AT718"/>
    </row>
    <row r="719" spans="20:46" ht="16.8">
      <c r="T719" s="112"/>
      <c r="U719" s="113"/>
      <c r="AF719" s="3">
        <v>46003</v>
      </c>
      <c r="AG719" s="2" t="s">
        <v>79</v>
      </c>
      <c r="AS719"/>
      <c r="AT719"/>
    </row>
    <row r="720" spans="20:46" ht="16.8">
      <c r="T720" s="112"/>
      <c r="U720" s="113"/>
      <c r="AF720" s="3">
        <v>46004</v>
      </c>
      <c r="AG720" s="2" t="s">
        <v>79</v>
      </c>
      <c r="AS720"/>
      <c r="AT720"/>
    </row>
    <row r="721" spans="20:46" ht="16.8">
      <c r="T721" s="112"/>
      <c r="U721" s="113"/>
      <c r="AF721" s="3">
        <v>46005</v>
      </c>
      <c r="AG721" s="2" t="s">
        <v>79</v>
      </c>
      <c r="AS721"/>
      <c r="AT721"/>
    </row>
    <row r="722" spans="20:46" ht="16.8">
      <c r="T722" s="112"/>
      <c r="U722" s="113"/>
      <c r="AF722" s="3">
        <v>46006</v>
      </c>
      <c r="AG722" s="2" t="s">
        <v>79</v>
      </c>
      <c r="AS722"/>
      <c r="AT722"/>
    </row>
    <row r="723" spans="20:46" ht="16.8">
      <c r="T723" s="112"/>
      <c r="U723" s="113"/>
      <c r="AF723" s="3">
        <v>46007</v>
      </c>
      <c r="AG723" s="2" t="s">
        <v>79</v>
      </c>
      <c r="AS723"/>
      <c r="AT723"/>
    </row>
    <row r="724" spans="20:46" ht="16.8">
      <c r="T724" s="112"/>
      <c r="U724" s="113"/>
      <c r="AF724" s="3">
        <v>46008</v>
      </c>
      <c r="AG724" s="2" t="s">
        <v>79</v>
      </c>
      <c r="AS724"/>
      <c r="AT724"/>
    </row>
    <row r="725" spans="20:46" ht="16.8">
      <c r="T725" s="112"/>
      <c r="U725" s="113"/>
      <c r="AF725" s="3">
        <v>46009</v>
      </c>
      <c r="AG725" s="2" t="s">
        <v>79</v>
      </c>
      <c r="AS725"/>
      <c r="AT725"/>
    </row>
    <row r="726" spans="20:46" ht="16.8">
      <c r="T726" s="112"/>
      <c r="U726" s="113"/>
      <c r="AF726" s="3">
        <v>46010</v>
      </c>
      <c r="AG726" s="2" t="s">
        <v>79</v>
      </c>
      <c r="AS726"/>
      <c r="AT726"/>
    </row>
    <row r="727" spans="20:46" ht="16.8">
      <c r="T727" s="112"/>
      <c r="U727" s="113"/>
      <c r="AF727" s="3">
        <v>46011</v>
      </c>
      <c r="AG727" s="2" t="s">
        <v>79</v>
      </c>
      <c r="AS727"/>
      <c r="AT727"/>
    </row>
    <row r="728" spans="20:46" ht="16.8">
      <c r="T728" s="112"/>
      <c r="U728" s="113"/>
      <c r="AF728" s="3">
        <v>46012</v>
      </c>
      <c r="AG728" s="2" t="s">
        <v>79</v>
      </c>
      <c r="AS728"/>
      <c r="AT728"/>
    </row>
    <row r="729" spans="20:46" ht="16.8">
      <c r="T729" s="112"/>
      <c r="U729" s="113"/>
      <c r="AF729" s="3">
        <v>46013</v>
      </c>
      <c r="AG729" s="2" t="s">
        <v>79</v>
      </c>
      <c r="AS729"/>
      <c r="AT729"/>
    </row>
    <row r="730" spans="20:46" ht="16.8">
      <c r="T730" s="112"/>
      <c r="U730" s="113"/>
      <c r="AF730" s="3">
        <v>46014</v>
      </c>
      <c r="AG730" s="2" t="s">
        <v>79</v>
      </c>
      <c r="AS730"/>
      <c r="AT730"/>
    </row>
    <row r="731" spans="20:46" ht="16.8">
      <c r="T731" s="112"/>
      <c r="U731" s="113"/>
      <c r="AF731" s="3">
        <v>46015</v>
      </c>
      <c r="AG731" s="2" t="s">
        <v>79</v>
      </c>
      <c r="AS731"/>
      <c r="AT731"/>
    </row>
    <row r="732" spans="20:46" ht="16.8">
      <c r="T732" s="112"/>
      <c r="U732" s="113"/>
      <c r="AF732" s="3">
        <v>46016</v>
      </c>
      <c r="AG732" s="2" t="s">
        <v>79</v>
      </c>
      <c r="AS732"/>
      <c r="AT732"/>
    </row>
    <row r="733" spans="20:46" ht="16.8">
      <c r="T733" s="112"/>
      <c r="U733" s="113"/>
      <c r="AF733" s="3">
        <v>46017</v>
      </c>
      <c r="AG733" s="2" t="s">
        <v>79</v>
      </c>
      <c r="AS733"/>
      <c r="AT733"/>
    </row>
    <row r="734" spans="20:46" ht="16.8">
      <c r="T734" s="112"/>
      <c r="U734" s="113"/>
      <c r="AF734" s="3">
        <v>46018</v>
      </c>
      <c r="AG734" s="2" t="s">
        <v>79</v>
      </c>
      <c r="AS734"/>
      <c r="AT734"/>
    </row>
    <row r="735" spans="20:46" ht="16.8">
      <c r="T735" s="112"/>
      <c r="U735" s="113"/>
      <c r="AF735" s="3">
        <v>46019</v>
      </c>
      <c r="AG735" s="2" t="s">
        <v>79</v>
      </c>
      <c r="AS735"/>
      <c r="AT735"/>
    </row>
    <row r="736" spans="20:46" ht="16.8">
      <c r="T736" s="112"/>
      <c r="U736" s="113"/>
      <c r="AF736" s="3">
        <v>46020</v>
      </c>
      <c r="AG736" s="2" t="s">
        <v>79</v>
      </c>
      <c r="AS736"/>
      <c r="AT736"/>
    </row>
    <row r="737" spans="20:46" ht="16.8">
      <c r="T737" s="112"/>
      <c r="U737" s="113"/>
      <c r="AF737" s="3">
        <v>46021</v>
      </c>
      <c r="AG737" s="2" t="s">
        <v>79</v>
      </c>
      <c r="AS737"/>
      <c r="AT737"/>
    </row>
    <row r="738" spans="20:46" ht="16.8">
      <c r="T738" s="112"/>
      <c r="U738" s="113"/>
      <c r="AF738" s="3">
        <v>46022</v>
      </c>
      <c r="AG738" s="2" t="s">
        <v>79</v>
      </c>
      <c r="AS738"/>
      <c r="AT738"/>
    </row>
    <row r="739" spans="20:46" ht="16.8">
      <c r="T739" s="112"/>
      <c r="U739" s="113"/>
      <c r="AF739" s="2"/>
      <c r="AG739" s="2" t="s">
        <v>79</v>
      </c>
      <c r="AS739"/>
      <c r="AT739"/>
    </row>
    <row r="740" spans="20:46" ht="16.8">
      <c r="T740" s="112"/>
      <c r="U740" s="113"/>
      <c r="AF740" s="2"/>
      <c r="AG740" s="2"/>
      <c r="AS740"/>
      <c r="AT740"/>
    </row>
    <row r="741" spans="20:46" ht="16.8">
      <c r="T741" s="112"/>
      <c r="U741" s="113"/>
      <c r="AF741" s="2"/>
      <c r="AG741" s="2"/>
      <c r="AS741"/>
      <c r="AT741"/>
    </row>
    <row r="742" spans="20:46" ht="16.8">
      <c r="T742" s="112"/>
      <c r="U742" s="113"/>
      <c r="AF742" s="2"/>
      <c r="AG742" s="2"/>
      <c r="AS742"/>
      <c r="AT742"/>
    </row>
    <row r="743" spans="20:46" ht="16.8">
      <c r="T743" s="112"/>
      <c r="U743" s="113"/>
      <c r="AF743" s="2"/>
      <c r="AG743" s="2"/>
      <c r="AS743"/>
      <c r="AT743"/>
    </row>
    <row r="744" spans="20:46" ht="16.8">
      <c r="T744" s="112"/>
      <c r="U744" s="113"/>
      <c r="AF744" s="2"/>
      <c r="AG744" s="2"/>
      <c r="AS744"/>
      <c r="AT744"/>
    </row>
    <row r="745" spans="20:46" ht="16.8">
      <c r="T745" s="112"/>
      <c r="U745" s="113"/>
      <c r="AF745" s="2"/>
      <c r="AG745" s="2"/>
      <c r="AS745"/>
      <c r="AT745"/>
    </row>
    <row r="746" spans="20:46" ht="16.8">
      <c r="T746" s="112"/>
      <c r="U746" s="113"/>
      <c r="AF746" s="2"/>
      <c r="AG746" s="2"/>
      <c r="AS746"/>
      <c r="AT746"/>
    </row>
    <row r="747" spans="20:46" ht="16.8">
      <c r="T747" s="112"/>
      <c r="U747" s="113"/>
      <c r="AF747" s="2"/>
      <c r="AG747" s="2"/>
      <c r="AS747"/>
      <c r="AT747"/>
    </row>
    <row r="748" spans="20:46" ht="16.8">
      <c r="T748" s="112"/>
      <c r="U748" s="113"/>
      <c r="AF748" s="2"/>
      <c r="AG748" s="2"/>
      <c r="AS748"/>
      <c r="AT748"/>
    </row>
    <row r="749" spans="20:46" ht="16.8">
      <c r="T749" s="112"/>
      <c r="U749" s="113"/>
      <c r="AF749" s="2"/>
      <c r="AG749" s="2"/>
      <c r="AS749"/>
      <c r="AT749"/>
    </row>
    <row r="750" spans="20:46" ht="16.8">
      <c r="T750" s="112"/>
      <c r="U750" s="113"/>
      <c r="AF750" s="2"/>
      <c r="AG750" s="2"/>
      <c r="AS750"/>
      <c r="AT750"/>
    </row>
    <row r="751" spans="20:46" ht="16.8">
      <c r="T751" s="112"/>
      <c r="U751" s="113"/>
      <c r="AF751" s="2"/>
      <c r="AG751" s="2"/>
      <c r="AS751"/>
      <c r="AT751"/>
    </row>
    <row r="752" spans="20:46" ht="16.8">
      <c r="T752" s="112"/>
      <c r="U752" s="113"/>
      <c r="AF752" s="2"/>
      <c r="AG752" s="2"/>
      <c r="AS752"/>
      <c r="AT752"/>
    </row>
    <row r="753" spans="20:46" ht="16.8">
      <c r="T753" s="112"/>
      <c r="U753" s="113"/>
      <c r="AF753" s="2"/>
      <c r="AG753" s="2"/>
      <c r="AS753"/>
      <c r="AT753"/>
    </row>
    <row r="754" spans="20:46" ht="16.8">
      <c r="T754" s="112"/>
      <c r="U754" s="113"/>
      <c r="AF754" s="2"/>
      <c r="AG754" s="2"/>
      <c r="AS754"/>
      <c r="AT754"/>
    </row>
    <row r="755" spans="20:46" ht="16.8">
      <c r="T755" s="112"/>
      <c r="U755" s="113"/>
      <c r="AF755" s="2"/>
      <c r="AG755" s="2"/>
      <c r="AS755"/>
      <c r="AT755"/>
    </row>
    <row r="756" spans="20:46" ht="16.8">
      <c r="T756" s="112"/>
      <c r="U756" s="113"/>
      <c r="AF756" s="2"/>
      <c r="AG756" s="2"/>
      <c r="AS756"/>
      <c r="AT756"/>
    </row>
    <row r="757" spans="20:46" ht="16.8">
      <c r="T757" s="112"/>
      <c r="U757" s="113"/>
      <c r="AF757" s="2"/>
      <c r="AG757" s="2"/>
      <c r="AS757"/>
      <c r="AT757"/>
    </row>
    <row r="758" spans="20:46" ht="16.8">
      <c r="T758" s="112"/>
      <c r="U758" s="113"/>
      <c r="AF758" s="2"/>
      <c r="AG758" s="2"/>
      <c r="AS758"/>
      <c r="AT758"/>
    </row>
    <row r="759" spans="20:46" ht="16.8">
      <c r="T759" s="112"/>
      <c r="U759" s="113"/>
      <c r="AF759" s="2"/>
      <c r="AG759" s="2"/>
      <c r="AS759"/>
      <c r="AT759"/>
    </row>
    <row r="760" spans="20:46" ht="16.8">
      <c r="T760" s="112"/>
      <c r="U760" s="113"/>
      <c r="AF760" s="2"/>
      <c r="AG760" s="2"/>
      <c r="AS760"/>
      <c r="AT760"/>
    </row>
    <row r="761" spans="20:46" ht="16.8">
      <c r="T761" s="112"/>
      <c r="U761" s="113"/>
      <c r="AF761" s="2"/>
      <c r="AG761" s="2"/>
      <c r="AS761"/>
      <c r="AT761"/>
    </row>
    <row r="762" spans="20:46" ht="16.8">
      <c r="T762" s="112"/>
      <c r="U762" s="113"/>
      <c r="AF762" s="2"/>
      <c r="AG762" s="2"/>
      <c r="AS762"/>
      <c r="AT762"/>
    </row>
    <row r="763" spans="20:46" ht="16.8">
      <c r="T763" s="112"/>
      <c r="U763" s="113"/>
      <c r="AF763" s="2"/>
      <c r="AG763" s="2"/>
      <c r="AS763"/>
      <c r="AT763"/>
    </row>
    <row r="764" spans="20:46" ht="16.8">
      <c r="T764" s="112"/>
      <c r="U764" s="113"/>
      <c r="AF764" s="2"/>
      <c r="AG764" s="2"/>
      <c r="AS764"/>
      <c r="AT764"/>
    </row>
    <row r="765" spans="20:46" ht="16.8">
      <c r="T765" s="112"/>
      <c r="U765" s="113"/>
      <c r="AF765" s="2"/>
      <c r="AG765" s="2"/>
      <c r="AS765"/>
      <c r="AT765"/>
    </row>
    <row r="766" spans="20:46" ht="16.8">
      <c r="T766" s="112"/>
      <c r="U766" s="113"/>
      <c r="AF766" s="2"/>
      <c r="AG766" s="2"/>
      <c r="AS766"/>
      <c r="AT766"/>
    </row>
    <row r="767" spans="20:46" ht="16.8">
      <c r="T767" s="112"/>
      <c r="U767" s="113"/>
      <c r="AF767" s="2"/>
      <c r="AG767" s="2"/>
      <c r="AS767"/>
      <c r="AT767"/>
    </row>
    <row r="768" spans="20:46" ht="16.8">
      <c r="T768" s="112"/>
      <c r="U768" s="113"/>
      <c r="AF768" s="2"/>
      <c r="AG768" s="2"/>
      <c r="AS768"/>
      <c r="AT768"/>
    </row>
    <row r="769" spans="20:46" ht="16.8">
      <c r="T769" s="112"/>
      <c r="U769" s="113"/>
      <c r="AF769" s="2"/>
      <c r="AG769" s="2"/>
      <c r="AS769"/>
      <c r="AT769"/>
    </row>
    <row r="770" spans="20:46" ht="16.8">
      <c r="T770" s="112"/>
      <c r="U770" s="113"/>
      <c r="AF770" s="2"/>
      <c r="AG770" s="2"/>
      <c r="AS770"/>
      <c r="AT770"/>
    </row>
    <row r="771" spans="20:46" ht="16.8">
      <c r="T771" s="112"/>
      <c r="U771" s="113"/>
      <c r="AF771" s="2"/>
      <c r="AG771" s="2"/>
      <c r="AS771"/>
      <c r="AT771"/>
    </row>
    <row r="772" spans="20:46" ht="16.8">
      <c r="T772" s="112"/>
      <c r="U772" s="113"/>
      <c r="AF772" s="2"/>
      <c r="AG772" s="2"/>
      <c r="AS772"/>
      <c r="AT772"/>
    </row>
    <row r="773" spans="20:46" ht="16.8">
      <c r="T773" s="112"/>
      <c r="U773" s="113"/>
      <c r="AF773" s="2"/>
      <c r="AG773" s="2"/>
      <c r="AS773"/>
      <c r="AT773"/>
    </row>
    <row r="774" spans="20:46" ht="16.8">
      <c r="T774" s="112"/>
      <c r="U774" s="113"/>
      <c r="AF774" s="2"/>
      <c r="AG774" s="2"/>
      <c r="AS774"/>
      <c r="AT774"/>
    </row>
    <row r="775" spans="20:46" ht="16.8">
      <c r="T775" s="112"/>
      <c r="U775" s="113"/>
      <c r="AF775" s="2"/>
      <c r="AG775" s="2"/>
      <c r="AS775"/>
      <c r="AT775"/>
    </row>
    <row r="776" spans="20:46" ht="16.8">
      <c r="T776" s="112"/>
      <c r="U776" s="113"/>
      <c r="AF776" s="2"/>
      <c r="AG776" s="2"/>
      <c r="AS776"/>
      <c r="AT776"/>
    </row>
    <row r="777" spans="20:46" ht="16.8">
      <c r="T777" s="112"/>
      <c r="U777" s="113"/>
      <c r="AF777" s="2"/>
      <c r="AG777" s="2"/>
      <c r="AS777"/>
      <c r="AT777"/>
    </row>
    <row r="778" spans="20:46" ht="16.8">
      <c r="T778" s="112"/>
      <c r="U778" s="113"/>
      <c r="AF778" s="2"/>
      <c r="AG778" s="2"/>
      <c r="AS778"/>
      <c r="AT778"/>
    </row>
    <row r="779" spans="20:46" ht="16.8">
      <c r="T779" s="112"/>
      <c r="U779" s="113"/>
      <c r="AF779" s="2"/>
      <c r="AG779" s="2"/>
      <c r="AS779"/>
      <c r="AT779"/>
    </row>
    <row r="780" spans="20:46" ht="16.8">
      <c r="T780" s="112"/>
      <c r="U780" s="113"/>
      <c r="AF780" s="2"/>
      <c r="AG780" s="2"/>
      <c r="AS780"/>
      <c r="AT780"/>
    </row>
    <row r="781" spans="20:46" ht="16.8">
      <c r="T781" s="112"/>
      <c r="U781" s="113"/>
      <c r="AF781" s="2"/>
      <c r="AG781" s="2"/>
      <c r="AS781"/>
      <c r="AT781"/>
    </row>
    <row r="782" spans="20:46" ht="16.8">
      <c r="T782" s="112"/>
      <c r="U782" s="113"/>
      <c r="AF782" s="2"/>
      <c r="AG782" s="2"/>
      <c r="AS782"/>
      <c r="AT782"/>
    </row>
    <row r="783" spans="20:46" ht="16.8">
      <c r="T783" s="112"/>
      <c r="U783" s="113"/>
      <c r="AF783" s="2"/>
      <c r="AG783" s="2"/>
      <c r="AS783"/>
      <c r="AT783"/>
    </row>
    <row r="784" spans="20:46" ht="16.8">
      <c r="T784" s="112"/>
      <c r="U784" s="113"/>
      <c r="AF784" s="2"/>
      <c r="AG784" s="2"/>
      <c r="AS784"/>
      <c r="AT784"/>
    </row>
    <row r="785" spans="20:46" ht="16.8">
      <c r="T785" s="112"/>
      <c r="U785" s="113"/>
      <c r="AF785" s="2"/>
      <c r="AG785" s="2"/>
      <c r="AS785"/>
      <c r="AT785"/>
    </row>
    <row r="786" spans="20:46" ht="16.8">
      <c r="T786" s="112"/>
      <c r="U786" s="113"/>
      <c r="AF786" s="2"/>
      <c r="AG786" s="2"/>
      <c r="AS786"/>
      <c r="AT786"/>
    </row>
    <row r="787" spans="20:46" ht="16.8">
      <c r="T787" s="112"/>
      <c r="U787" s="113"/>
      <c r="AF787" s="2"/>
      <c r="AG787" s="2"/>
      <c r="AS787"/>
      <c r="AT787"/>
    </row>
    <row r="788" spans="20:46" ht="16.8">
      <c r="T788" s="112"/>
      <c r="U788" s="113"/>
      <c r="AF788" s="2"/>
      <c r="AG788" s="2"/>
      <c r="AS788"/>
      <c r="AT788"/>
    </row>
    <row r="789" spans="20:46" ht="16.8">
      <c r="T789" s="112"/>
      <c r="U789" s="113"/>
      <c r="AF789" s="2"/>
      <c r="AG789" s="2"/>
      <c r="AS789"/>
      <c r="AT789"/>
    </row>
    <row r="790" spans="20:46" ht="16.8">
      <c r="T790" s="112"/>
      <c r="U790" s="113"/>
      <c r="AF790" s="2"/>
      <c r="AG790" s="2"/>
      <c r="AS790"/>
      <c r="AT790"/>
    </row>
    <row r="791" spans="20:46" ht="16.8">
      <c r="T791" s="112"/>
      <c r="U791" s="113"/>
      <c r="AF791" s="2"/>
      <c r="AG791" s="2"/>
      <c r="AS791"/>
      <c r="AT791"/>
    </row>
    <row r="792" spans="20:46" ht="16.8">
      <c r="T792" s="112"/>
      <c r="U792" s="113"/>
      <c r="AF792" s="2"/>
      <c r="AG792" s="2"/>
      <c r="AS792"/>
      <c r="AT792"/>
    </row>
    <row r="793" spans="20:46" ht="16.8">
      <c r="T793" s="112"/>
      <c r="U793" s="113"/>
      <c r="AF793" s="2"/>
      <c r="AG793" s="2"/>
      <c r="AS793"/>
      <c r="AT793"/>
    </row>
    <row r="794" spans="20:46" ht="16.8">
      <c r="T794" s="112"/>
      <c r="U794" s="113"/>
      <c r="AF794" s="2"/>
      <c r="AG794" s="2"/>
      <c r="AS794"/>
      <c r="AT794"/>
    </row>
    <row r="795" spans="20:46" ht="16.8">
      <c r="T795" s="112"/>
      <c r="U795" s="113"/>
      <c r="AF795" s="2"/>
      <c r="AG795" s="2"/>
      <c r="AS795"/>
      <c r="AT795"/>
    </row>
    <row r="796" spans="20:46" ht="16.8">
      <c r="T796" s="112"/>
      <c r="U796" s="113"/>
      <c r="AF796" s="2"/>
      <c r="AG796" s="2"/>
      <c r="AS796"/>
      <c r="AT796"/>
    </row>
    <row r="797" spans="20:46" ht="16.8">
      <c r="T797" s="112"/>
      <c r="U797" s="113"/>
      <c r="AF797" s="2"/>
      <c r="AG797" s="2"/>
      <c r="AS797"/>
      <c r="AT797"/>
    </row>
    <row r="798" spans="20:46" ht="16.8">
      <c r="T798" s="112"/>
      <c r="U798" s="113"/>
      <c r="AF798" s="2"/>
      <c r="AG798" s="2"/>
      <c r="AS798"/>
      <c r="AT798"/>
    </row>
    <row r="799" spans="20:46" ht="16.8">
      <c r="T799" s="112"/>
      <c r="U799" s="113"/>
      <c r="AF799" s="2"/>
      <c r="AG799" s="2"/>
      <c r="AS799"/>
      <c r="AT799"/>
    </row>
    <row r="800" spans="20:46" ht="16.8">
      <c r="T800" s="112"/>
      <c r="U800" s="113"/>
      <c r="AF800" s="2"/>
      <c r="AG800" s="2"/>
      <c r="AS800"/>
      <c r="AT800"/>
    </row>
    <row r="801" spans="20:46" ht="16.8">
      <c r="T801" s="112"/>
      <c r="U801" s="113"/>
      <c r="AF801" s="2"/>
      <c r="AG801" s="2"/>
      <c r="AS801"/>
      <c r="AT801"/>
    </row>
    <row r="802" spans="20:46" ht="16.8">
      <c r="T802" s="112"/>
      <c r="U802" s="113"/>
      <c r="AF802" s="2"/>
      <c r="AG802" s="2"/>
      <c r="AS802"/>
      <c r="AT802"/>
    </row>
    <row r="803" spans="20:46" ht="16.8">
      <c r="T803" s="112"/>
      <c r="U803" s="113"/>
      <c r="AF803" s="2"/>
      <c r="AG803" s="2"/>
      <c r="AS803"/>
      <c r="AT803"/>
    </row>
    <row r="804" spans="20:46" ht="16.8">
      <c r="T804" s="112"/>
      <c r="U804" s="113"/>
      <c r="AF804" s="2"/>
      <c r="AG804" s="2"/>
      <c r="AS804"/>
      <c r="AT804"/>
    </row>
    <row r="805" spans="20:46" ht="16.8">
      <c r="T805" s="112"/>
      <c r="U805" s="113"/>
      <c r="AF805" s="2"/>
      <c r="AG805" s="2"/>
      <c r="AS805"/>
      <c r="AT805"/>
    </row>
    <row r="806" spans="20:46" ht="16.8">
      <c r="T806" s="112"/>
      <c r="U806" s="113"/>
      <c r="AF806" s="2"/>
      <c r="AG806" s="2"/>
      <c r="AS806"/>
      <c r="AT806"/>
    </row>
    <row r="807" spans="20:46" ht="16.8">
      <c r="T807" s="112"/>
      <c r="U807" s="113"/>
      <c r="AF807" s="2"/>
      <c r="AG807" s="2"/>
      <c r="AS807"/>
      <c r="AT807"/>
    </row>
    <row r="808" spans="20:46" ht="16.8">
      <c r="T808" s="112"/>
      <c r="U808" s="113"/>
      <c r="AF808" s="2"/>
      <c r="AG808" s="2"/>
      <c r="AS808"/>
      <c r="AT808"/>
    </row>
    <row r="809" spans="20:46" ht="16.8">
      <c r="T809" s="112"/>
      <c r="U809" s="113"/>
      <c r="AF809" s="2"/>
      <c r="AG809" s="2"/>
      <c r="AS809"/>
      <c r="AT809"/>
    </row>
    <row r="810" spans="20:46" ht="16.8">
      <c r="T810" s="112"/>
      <c r="U810" s="113"/>
      <c r="AF810" s="2"/>
      <c r="AG810" s="2"/>
      <c r="AS810"/>
      <c r="AT810"/>
    </row>
    <row r="811" spans="20:46" ht="16.8">
      <c r="T811" s="112"/>
      <c r="U811" s="113"/>
      <c r="AF811" s="2"/>
      <c r="AG811" s="2"/>
      <c r="AS811"/>
      <c r="AT811"/>
    </row>
    <row r="812" spans="20:46" ht="16.8">
      <c r="T812" s="112"/>
      <c r="U812" s="113"/>
      <c r="AF812" s="2"/>
      <c r="AG812" s="2"/>
      <c r="AS812"/>
      <c r="AT812"/>
    </row>
    <row r="813" spans="20:46" ht="16.8">
      <c r="T813" s="112"/>
      <c r="U813" s="113"/>
      <c r="AF813" s="2"/>
      <c r="AG813" s="2"/>
      <c r="AS813"/>
      <c r="AT813"/>
    </row>
    <row r="814" spans="20:46" ht="16.8">
      <c r="T814" s="112"/>
      <c r="U814" s="113"/>
      <c r="AF814" s="2"/>
      <c r="AG814" s="2"/>
      <c r="AS814"/>
      <c r="AT814"/>
    </row>
    <row r="815" spans="20:46" ht="16.8">
      <c r="T815" s="112"/>
      <c r="U815" s="113"/>
      <c r="AF815" s="2"/>
      <c r="AG815" s="2"/>
      <c r="AS815"/>
      <c r="AT815"/>
    </row>
    <row r="816" spans="20:46" ht="16.8">
      <c r="T816" s="112"/>
      <c r="U816" s="113"/>
      <c r="AF816" s="2"/>
      <c r="AG816" s="2"/>
      <c r="AS816"/>
      <c r="AT816"/>
    </row>
    <row r="817" spans="20:46" ht="16.8">
      <c r="T817" s="112"/>
      <c r="U817" s="113"/>
      <c r="AF817" s="2"/>
      <c r="AG817" s="2"/>
      <c r="AS817"/>
      <c r="AT817"/>
    </row>
    <row r="818" spans="20:46" ht="16.8">
      <c r="T818" s="112"/>
      <c r="U818" s="113"/>
      <c r="AF818" s="2"/>
      <c r="AG818" s="2"/>
      <c r="AS818"/>
      <c r="AT818"/>
    </row>
    <row r="819" spans="20:46" ht="16.8">
      <c r="T819" s="112"/>
      <c r="U819" s="113"/>
      <c r="AF819" s="2"/>
      <c r="AG819" s="2"/>
      <c r="AS819"/>
      <c r="AT819"/>
    </row>
    <row r="820" spans="20:46" ht="16.8">
      <c r="T820" s="112"/>
      <c r="U820" s="113"/>
      <c r="AF820" s="2"/>
      <c r="AG820" s="2"/>
      <c r="AS820"/>
      <c r="AT820"/>
    </row>
    <row r="821" spans="20:46" ht="16.8">
      <c r="T821" s="112"/>
      <c r="U821" s="113"/>
      <c r="AF821" s="2"/>
      <c r="AG821" s="2"/>
      <c r="AS821"/>
      <c r="AT821"/>
    </row>
    <row r="822" spans="20:46" ht="16.8">
      <c r="T822" s="112"/>
      <c r="U822" s="113"/>
      <c r="AF822" s="2"/>
      <c r="AG822" s="2"/>
      <c r="AS822"/>
      <c r="AT822"/>
    </row>
    <row r="823" spans="20:46" ht="16.8">
      <c r="T823" s="112"/>
      <c r="U823" s="113"/>
      <c r="AF823" s="2"/>
      <c r="AG823" s="2"/>
      <c r="AS823"/>
      <c r="AT823"/>
    </row>
    <row r="824" spans="20:46" ht="16.8">
      <c r="T824" s="112"/>
      <c r="U824" s="113"/>
      <c r="AF824" s="2"/>
      <c r="AG824" s="2"/>
      <c r="AS824"/>
      <c r="AT824"/>
    </row>
    <row r="825" spans="20:46" ht="16.8">
      <c r="T825" s="112"/>
      <c r="U825" s="113"/>
      <c r="AF825" s="2"/>
      <c r="AG825" s="2"/>
      <c r="AS825"/>
      <c r="AT825"/>
    </row>
    <row r="826" spans="20:46" ht="16.8">
      <c r="T826" s="112"/>
      <c r="U826" s="113"/>
      <c r="AF826" s="2"/>
      <c r="AG826" s="2"/>
      <c r="AS826"/>
      <c r="AT826"/>
    </row>
    <row r="827" spans="20:46" ht="16.8">
      <c r="T827" s="112"/>
      <c r="U827" s="113"/>
      <c r="AF827" s="2"/>
      <c r="AG827" s="2"/>
      <c r="AS827"/>
      <c r="AT827"/>
    </row>
    <row r="828" spans="20:46" ht="16.8">
      <c r="T828" s="112"/>
      <c r="U828" s="113"/>
      <c r="AF828" s="2"/>
      <c r="AG828" s="2"/>
      <c r="AS828"/>
      <c r="AT828"/>
    </row>
    <row r="829" spans="20:46" ht="16.8">
      <c r="T829" s="112"/>
      <c r="U829" s="113"/>
      <c r="AF829" s="2"/>
      <c r="AG829" s="2"/>
      <c r="AS829"/>
      <c r="AT829"/>
    </row>
    <row r="830" spans="20:46" ht="16.8">
      <c r="T830" s="112"/>
      <c r="U830" s="113"/>
      <c r="AF830" s="2"/>
      <c r="AG830" s="2"/>
      <c r="AS830"/>
      <c r="AT830"/>
    </row>
    <row r="831" spans="20:46" ht="16.8">
      <c r="T831" s="112"/>
      <c r="U831" s="113"/>
      <c r="AF831" s="2"/>
      <c r="AG831" s="2"/>
      <c r="AS831"/>
      <c r="AT831"/>
    </row>
    <row r="832" spans="20:46" ht="16.8">
      <c r="T832" s="112"/>
      <c r="U832" s="113"/>
      <c r="AF832" s="2"/>
      <c r="AG832" s="2"/>
      <c r="AS832"/>
      <c r="AT832"/>
    </row>
    <row r="833" spans="20:46" ht="16.8">
      <c r="T833" s="112"/>
      <c r="U833" s="113"/>
      <c r="AF833" s="2"/>
      <c r="AG833" s="2"/>
      <c r="AS833"/>
      <c r="AT833"/>
    </row>
    <row r="834" spans="20:46" ht="16.8">
      <c r="T834" s="112"/>
      <c r="U834" s="113"/>
      <c r="AF834" s="2"/>
      <c r="AG834" s="2"/>
      <c r="AS834"/>
      <c r="AT834"/>
    </row>
    <row r="835" spans="20:46" ht="16.8">
      <c r="T835" s="112"/>
      <c r="U835" s="113"/>
      <c r="AF835" s="2"/>
      <c r="AG835" s="2"/>
      <c r="AS835"/>
      <c r="AT835"/>
    </row>
    <row r="836" spans="20:46" ht="16.8">
      <c r="T836" s="112"/>
      <c r="U836" s="113"/>
      <c r="AF836" s="2"/>
      <c r="AG836" s="2"/>
      <c r="AS836"/>
      <c r="AT836"/>
    </row>
    <row r="837" spans="20:46" ht="16.8">
      <c r="T837" s="112"/>
      <c r="U837" s="113"/>
      <c r="AF837" s="2"/>
      <c r="AG837" s="2"/>
      <c r="AS837"/>
      <c r="AT837"/>
    </row>
    <row r="838" spans="20:46" ht="16.8">
      <c r="T838" s="112"/>
      <c r="U838" s="113"/>
      <c r="AF838" s="2"/>
      <c r="AG838" s="2"/>
      <c r="AS838"/>
      <c r="AT838"/>
    </row>
    <row r="839" spans="20:46" ht="16.8">
      <c r="T839" s="112"/>
      <c r="U839" s="113"/>
      <c r="AF839" s="2"/>
      <c r="AG839" s="2"/>
      <c r="AS839"/>
      <c r="AT839"/>
    </row>
    <row r="840" spans="20:46" ht="16.8">
      <c r="T840" s="112"/>
      <c r="U840" s="113"/>
      <c r="AF840" s="2"/>
      <c r="AG840" s="2"/>
      <c r="AS840"/>
      <c r="AT840"/>
    </row>
    <row r="841" spans="20:46" ht="16.8">
      <c r="T841" s="112"/>
      <c r="U841" s="113"/>
      <c r="AF841" s="2"/>
      <c r="AG841" s="2"/>
      <c r="AS841"/>
      <c r="AT841"/>
    </row>
    <row r="842" spans="20:46" ht="16.8">
      <c r="T842" s="112"/>
      <c r="U842" s="113"/>
      <c r="AF842" s="2"/>
      <c r="AG842" s="2"/>
      <c r="AS842"/>
      <c r="AT842"/>
    </row>
    <row r="843" spans="20:46" ht="16.8">
      <c r="T843" s="112"/>
      <c r="U843" s="113"/>
      <c r="AF843" s="2"/>
      <c r="AG843" s="2"/>
      <c r="AS843"/>
      <c r="AT843"/>
    </row>
    <row r="844" spans="20:46" ht="16.8">
      <c r="T844" s="112"/>
      <c r="U844" s="113"/>
      <c r="AF844" s="2"/>
      <c r="AG844" s="2"/>
      <c r="AS844"/>
      <c r="AT844"/>
    </row>
    <row r="845" spans="20:46" ht="16.8">
      <c r="T845" s="112"/>
      <c r="U845" s="113"/>
      <c r="AF845" s="2"/>
      <c r="AG845" s="2"/>
      <c r="AS845"/>
      <c r="AT845"/>
    </row>
    <row r="846" spans="20:46" ht="16.8">
      <c r="T846" s="112"/>
      <c r="U846" s="113"/>
      <c r="AF846" s="2"/>
      <c r="AG846" s="2"/>
      <c r="AS846"/>
      <c r="AT846"/>
    </row>
    <row r="847" spans="20:46" ht="16.8">
      <c r="T847" s="112"/>
      <c r="U847" s="113"/>
      <c r="AF847" s="2"/>
      <c r="AG847" s="2"/>
      <c r="AS847"/>
      <c r="AT847"/>
    </row>
    <row r="848" spans="20:46" ht="16.8">
      <c r="T848" s="112"/>
      <c r="U848" s="113"/>
      <c r="AF848" s="2"/>
      <c r="AG848" s="2"/>
      <c r="AS848"/>
      <c r="AT848"/>
    </row>
    <row r="849" spans="20:46" ht="16.8">
      <c r="T849" s="112"/>
      <c r="U849" s="113"/>
      <c r="AF849" s="2"/>
      <c r="AG849" s="2"/>
      <c r="AS849"/>
      <c r="AT849"/>
    </row>
    <row r="850" spans="20:46" ht="16.8">
      <c r="T850" s="112"/>
      <c r="U850" s="113"/>
      <c r="AF850" s="2"/>
      <c r="AG850" s="2"/>
      <c r="AS850"/>
      <c r="AT850"/>
    </row>
    <row r="851" spans="20:46" ht="16.8">
      <c r="T851" s="112"/>
      <c r="U851" s="113"/>
      <c r="AF851" s="2"/>
      <c r="AG851" s="2"/>
      <c r="AS851"/>
      <c r="AT851"/>
    </row>
    <row r="852" spans="20:46" ht="16.8">
      <c r="T852" s="112"/>
      <c r="U852" s="113"/>
      <c r="AF852" s="2"/>
      <c r="AG852" s="2"/>
      <c r="AS852"/>
      <c r="AT852"/>
    </row>
    <row r="853" spans="20:46" ht="16.8">
      <c r="T853" s="112"/>
      <c r="U853" s="113"/>
      <c r="AF853" s="2"/>
      <c r="AG853" s="2"/>
      <c r="AS853"/>
      <c r="AT853"/>
    </row>
    <row r="854" spans="20:46" ht="16.8">
      <c r="T854" s="112"/>
      <c r="U854" s="113"/>
      <c r="AF854" s="2"/>
      <c r="AG854" s="2"/>
      <c r="AS854"/>
      <c r="AT854"/>
    </row>
    <row r="855" spans="20:46" ht="16.8">
      <c r="T855" s="112"/>
      <c r="U855" s="113"/>
      <c r="AF855" s="2"/>
      <c r="AG855" s="2"/>
      <c r="AS855"/>
      <c r="AT855"/>
    </row>
    <row r="856" spans="20:46" ht="16.8">
      <c r="T856" s="112"/>
      <c r="U856" s="113"/>
      <c r="AF856" s="2"/>
      <c r="AG856" s="2"/>
      <c r="AS856"/>
      <c r="AT856"/>
    </row>
    <row r="857" spans="20:46" ht="16.8">
      <c r="T857" s="112"/>
      <c r="U857" s="113"/>
      <c r="AF857" s="2"/>
      <c r="AG857" s="2"/>
      <c r="AS857"/>
      <c r="AT857"/>
    </row>
    <row r="858" spans="20:46" ht="16.8">
      <c r="T858" s="112"/>
      <c r="U858" s="113"/>
      <c r="AF858" s="2"/>
      <c r="AG858" s="2"/>
      <c r="AS858"/>
      <c r="AT858"/>
    </row>
    <row r="859" spans="20:46" ht="16.8">
      <c r="T859" s="112"/>
      <c r="U859" s="113"/>
      <c r="AF859" s="2"/>
      <c r="AG859" s="2"/>
      <c r="AS859"/>
      <c r="AT859"/>
    </row>
    <row r="860" spans="20:46" ht="16.8">
      <c r="T860" s="112"/>
      <c r="U860" s="113"/>
      <c r="AF860" s="2"/>
      <c r="AG860" s="2"/>
      <c r="AS860"/>
      <c r="AT860"/>
    </row>
    <row r="861" spans="20:46" ht="16.8">
      <c r="T861" s="112"/>
      <c r="U861" s="113"/>
      <c r="AF861" s="2"/>
      <c r="AG861" s="2"/>
      <c r="AS861"/>
      <c r="AT861"/>
    </row>
    <row r="862" spans="20:46" ht="16.8">
      <c r="T862" s="112"/>
      <c r="U862" s="113"/>
      <c r="AF862" s="2"/>
      <c r="AG862" s="2"/>
      <c r="AS862"/>
      <c r="AT862"/>
    </row>
    <row r="863" spans="20:46" ht="16.8">
      <c r="T863" s="112"/>
      <c r="U863" s="113"/>
      <c r="AF863" s="2"/>
      <c r="AG863" s="2"/>
      <c r="AS863"/>
      <c r="AT863"/>
    </row>
    <row r="864" spans="20:46" ht="16.8">
      <c r="T864" s="112"/>
      <c r="U864" s="113"/>
      <c r="AF864" s="2"/>
      <c r="AG864" s="2"/>
      <c r="AS864"/>
      <c r="AT864"/>
    </row>
    <row r="865" spans="20:46" ht="16.8">
      <c r="T865" s="112"/>
      <c r="U865" s="113"/>
      <c r="AF865" s="2"/>
      <c r="AG865" s="2"/>
      <c r="AS865"/>
      <c r="AT865"/>
    </row>
    <row r="866" spans="20:46" ht="16.8">
      <c r="T866" s="112"/>
      <c r="U866" s="113"/>
      <c r="AF866" s="2"/>
      <c r="AG866" s="2"/>
      <c r="AS866"/>
      <c r="AT866"/>
    </row>
    <row r="867" spans="20:46" ht="16.8">
      <c r="T867" s="112"/>
      <c r="U867" s="113"/>
      <c r="AF867" s="2"/>
      <c r="AG867" s="2"/>
      <c r="AS867"/>
      <c r="AT867"/>
    </row>
    <row r="868" spans="20:46" ht="16.8">
      <c r="T868" s="112"/>
      <c r="U868" s="113"/>
      <c r="AF868" s="2"/>
      <c r="AG868" s="2"/>
      <c r="AS868"/>
      <c r="AT868"/>
    </row>
    <row r="869" spans="20:46" ht="16.8">
      <c r="T869" s="112"/>
      <c r="U869" s="113"/>
      <c r="AF869" s="2"/>
      <c r="AG869" s="2"/>
      <c r="AS869"/>
      <c r="AT869"/>
    </row>
    <row r="870" spans="20:46" ht="16.8">
      <c r="T870" s="112"/>
      <c r="U870" s="113"/>
      <c r="AF870" s="2"/>
      <c r="AG870" s="2"/>
      <c r="AS870"/>
      <c r="AT870"/>
    </row>
    <row r="871" spans="20:46" ht="16.8">
      <c r="T871" s="112"/>
      <c r="U871" s="113"/>
      <c r="AF871" s="2"/>
      <c r="AG871" s="2"/>
      <c r="AS871"/>
      <c r="AT871"/>
    </row>
    <row r="872" spans="20:46" ht="16.8">
      <c r="T872" s="112"/>
      <c r="U872" s="113"/>
      <c r="AF872" s="2"/>
      <c r="AG872" s="2"/>
      <c r="AS872"/>
      <c r="AT872"/>
    </row>
    <row r="873" spans="20:46" ht="16.8">
      <c r="T873" s="112"/>
      <c r="U873" s="113"/>
      <c r="AF873" s="2"/>
      <c r="AG873" s="2"/>
      <c r="AS873"/>
      <c r="AT873"/>
    </row>
    <row r="874" spans="20:46" ht="16.8">
      <c r="T874" s="112"/>
      <c r="U874" s="113"/>
      <c r="AF874" s="2"/>
      <c r="AG874" s="2"/>
      <c r="AS874"/>
      <c r="AT874"/>
    </row>
    <row r="875" spans="20:46" ht="16.8">
      <c r="T875" s="112"/>
      <c r="U875" s="113"/>
      <c r="AF875" s="2"/>
      <c r="AG875" s="2"/>
      <c r="AS875"/>
      <c r="AT875"/>
    </row>
    <row r="876" spans="20:46" ht="16.8">
      <c r="T876" s="112"/>
      <c r="U876" s="113"/>
      <c r="AF876" s="2"/>
      <c r="AG876" s="2"/>
      <c r="AS876"/>
      <c r="AT876"/>
    </row>
    <row r="877" spans="20:46" ht="16.8">
      <c r="T877" s="112"/>
      <c r="U877" s="113"/>
      <c r="AF877" s="2"/>
      <c r="AG877" s="2"/>
      <c r="AS877"/>
      <c r="AT877"/>
    </row>
    <row r="878" spans="20:46" ht="16.8">
      <c r="T878" s="112"/>
      <c r="U878" s="113"/>
      <c r="AF878" s="2"/>
      <c r="AG878" s="2"/>
      <c r="AS878"/>
      <c r="AT878"/>
    </row>
    <row r="879" spans="20:46" ht="16.8">
      <c r="T879" s="112"/>
      <c r="U879" s="113"/>
      <c r="AF879" s="2"/>
      <c r="AG879" s="2"/>
      <c r="AS879"/>
      <c r="AT879"/>
    </row>
    <row r="880" spans="20:46" ht="16.8">
      <c r="T880" s="112"/>
      <c r="U880" s="113"/>
      <c r="AF880" s="2"/>
      <c r="AG880" s="2"/>
      <c r="AS880"/>
      <c r="AT880"/>
    </row>
    <row r="881" spans="20:46" ht="16.8">
      <c r="T881" s="112"/>
      <c r="U881" s="113"/>
      <c r="AF881" s="2"/>
      <c r="AG881" s="2"/>
      <c r="AS881"/>
      <c r="AT881"/>
    </row>
    <row r="882" spans="20:46" ht="16.8">
      <c r="T882" s="112"/>
      <c r="U882" s="113"/>
      <c r="AF882" s="2"/>
      <c r="AG882" s="2"/>
      <c r="AS882"/>
      <c r="AT882"/>
    </row>
    <row r="883" spans="20:46" ht="16.8">
      <c r="T883" s="112"/>
      <c r="U883" s="113"/>
      <c r="AF883" s="2"/>
      <c r="AG883" s="2"/>
      <c r="AS883"/>
      <c r="AT883"/>
    </row>
    <row r="884" spans="20:46" ht="16.8">
      <c r="T884" s="112"/>
      <c r="U884" s="113"/>
      <c r="AF884" s="2"/>
      <c r="AG884" s="2"/>
      <c r="AS884"/>
      <c r="AT884"/>
    </row>
    <row r="885" spans="20:46" ht="16.8">
      <c r="T885" s="112"/>
      <c r="U885" s="113"/>
      <c r="AF885" s="2"/>
      <c r="AG885" s="2"/>
      <c r="AS885"/>
      <c r="AT885"/>
    </row>
    <row r="886" spans="20:46" ht="16.8">
      <c r="T886" s="112"/>
      <c r="U886" s="113"/>
      <c r="AF886" s="2"/>
      <c r="AG886" s="2"/>
      <c r="AS886"/>
      <c r="AT886"/>
    </row>
    <row r="887" spans="20:46" ht="16.8">
      <c r="T887" s="112"/>
      <c r="U887" s="113"/>
      <c r="AF887" s="2"/>
      <c r="AG887" s="2"/>
      <c r="AS887"/>
      <c r="AT887"/>
    </row>
    <row r="888" spans="20:46" ht="16.8">
      <c r="T888" s="112"/>
      <c r="U888" s="113"/>
      <c r="AF888" s="2"/>
      <c r="AG888" s="2"/>
      <c r="AS888"/>
      <c r="AT888"/>
    </row>
    <row r="889" spans="20:46" ht="16.8">
      <c r="T889" s="112"/>
      <c r="U889" s="113"/>
      <c r="AF889" s="2"/>
      <c r="AG889" s="2"/>
      <c r="AS889"/>
      <c r="AT889"/>
    </row>
    <row r="890" spans="20:46" ht="16.8">
      <c r="T890" s="112"/>
      <c r="U890" s="113"/>
      <c r="AF890" s="2"/>
      <c r="AG890" s="2"/>
      <c r="AS890"/>
      <c r="AT890"/>
    </row>
    <row r="891" spans="20:46" ht="16.8">
      <c r="T891" s="112"/>
      <c r="U891" s="113"/>
      <c r="AF891" s="2"/>
      <c r="AG891" s="2"/>
      <c r="AS891"/>
      <c r="AT891"/>
    </row>
    <row r="892" spans="20:46" ht="16.8">
      <c r="T892" s="112"/>
      <c r="U892" s="113"/>
      <c r="AF892" s="2"/>
      <c r="AG892" s="2"/>
      <c r="AS892"/>
      <c r="AT892"/>
    </row>
    <row r="893" spans="20:46" ht="16.8">
      <c r="T893" s="112"/>
      <c r="U893" s="113"/>
      <c r="AF893" s="2"/>
      <c r="AG893" s="2"/>
      <c r="AS893"/>
      <c r="AT893"/>
    </row>
    <row r="894" spans="20:46" ht="16.8">
      <c r="T894" s="112"/>
      <c r="U894" s="113"/>
      <c r="AF894" s="2"/>
      <c r="AG894" s="2"/>
      <c r="AS894"/>
      <c r="AT894"/>
    </row>
    <row r="895" spans="20:46" ht="16.8">
      <c r="T895" s="112"/>
      <c r="U895" s="113"/>
      <c r="AF895" s="2"/>
      <c r="AG895" s="2"/>
      <c r="AS895"/>
      <c r="AT895"/>
    </row>
    <row r="896" spans="20:46" ht="16.8">
      <c r="T896" s="112"/>
      <c r="U896" s="113"/>
      <c r="AF896" s="2"/>
      <c r="AG896" s="2"/>
      <c r="AS896"/>
      <c r="AT896"/>
    </row>
    <row r="897" spans="20:46" ht="16.8">
      <c r="T897" s="112"/>
      <c r="U897" s="113"/>
      <c r="AF897" s="2"/>
      <c r="AG897" s="2"/>
      <c r="AS897"/>
      <c r="AT897"/>
    </row>
    <row r="898" spans="20:46" ht="16.8">
      <c r="T898" s="112"/>
      <c r="U898" s="113"/>
      <c r="AF898" s="2"/>
      <c r="AG898" s="2"/>
      <c r="AS898"/>
      <c r="AT898"/>
    </row>
    <row r="899" spans="20:46" ht="16.8">
      <c r="T899" s="112"/>
      <c r="U899" s="113"/>
      <c r="AF899" s="2"/>
      <c r="AG899" s="2"/>
      <c r="AS899"/>
      <c r="AT899"/>
    </row>
    <row r="900" spans="20:46" ht="16.8">
      <c r="T900" s="112"/>
      <c r="U900" s="113"/>
      <c r="AF900" s="2"/>
      <c r="AG900" s="2"/>
      <c r="AS900"/>
      <c r="AT900"/>
    </row>
    <row r="901" spans="20:46" ht="16.8">
      <c r="T901" s="112"/>
      <c r="U901" s="113"/>
      <c r="AF901" s="2"/>
      <c r="AG901" s="2"/>
      <c r="AS901"/>
      <c r="AT901"/>
    </row>
    <row r="902" spans="20:46" ht="16.8">
      <c r="T902" s="112"/>
      <c r="U902" s="113"/>
      <c r="AF902" s="2"/>
      <c r="AG902" s="2"/>
      <c r="AS902"/>
      <c r="AT902"/>
    </row>
    <row r="903" spans="20:46" ht="16.8">
      <c r="T903" s="112"/>
      <c r="U903" s="113"/>
      <c r="AF903" s="2"/>
      <c r="AG903" s="2"/>
      <c r="AS903"/>
      <c r="AT903"/>
    </row>
    <row r="904" spans="20:46" ht="16.8">
      <c r="T904" s="112"/>
      <c r="U904" s="113"/>
      <c r="AF904" s="2"/>
      <c r="AG904" s="2"/>
      <c r="AS904"/>
      <c r="AT904"/>
    </row>
    <row r="905" spans="20:46" ht="16.8">
      <c r="T905" s="112"/>
      <c r="U905" s="113"/>
      <c r="AF905" s="2"/>
      <c r="AG905" s="2"/>
      <c r="AS905"/>
      <c r="AT905"/>
    </row>
    <row r="906" spans="20:46" ht="16.8">
      <c r="T906" s="112"/>
      <c r="U906" s="113"/>
      <c r="AF906" s="2"/>
      <c r="AG906" s="2"/>
      <c r="AS906"/>
      <c r="AT906"/>
    </row>
    <row r="907" spans="20:46" ht="16.8">
      <c r="T907" s="112"/>
      <c r="U907" s="113"/>
      <c r="AF907" s="2"/>
      <c r="AG907" s="2"/>
      <c r="AS907"/>
      <c r="AT907"/>
    </row>
    <row r="908" spans="20:46" ht="16.8">
      <c r="T908" s="112"/>
      <c r="U908" s="113"/>
      <c r="AF908" s="2"/>
      <c r="AG908" s="2"/>
      <c r="AS908"/>
      <c r="AT908"/>
    </row>
    <row r="909" spans="20:46" ht="16.8">
      <c r="T909" s="112"/>
      <c r="U909" s="113"/>
      <c r="AF909" s="2"/>
      <c r="AG909" s="2"/>
      <c r="AS909"/>
      <c r="AT909"/>
    </row>
    <row r="910" spans="20:46" ht="16.8">
      <c r="T910" s="112"/>
      <c r="U910" s="113"/>
      <c r="AF910" s="2"/>
      <c r="AG910" s="2"/>
      <c r="AS910"/>
      <c r="AT910"/>
    </row>
    <row r="911" spans="20:46" ht="16.8">
      <c r="T911" s="112"/>
      <c r="U911" s="113"/>
      <c r="AF911" s="2"/>
      <c r="AG911" s="2"/>
      <c r="AS911"/>
      <c r="AT911"/>
    </row>
    <row r="912" spans="20:46" ht="16.8">
      <c r="T912" s="112"/>
      <c r="U912" s="113"/>
      <c r="AF912" s="2"/>
      <c r="AG912" s="2"/>
      <c r="AS912"/>
      <c r="AT912"/>
    </row>
    <row r="913" spans="20:46" ht="16.8">
      <c r="T913" s="112"/>
      <c r="U913" s="113"/>
      <c r="AF913" s="2"/>
      <c r="AG913" s="2"/>
      <c r="AS913"/>
      <c r="AT913"/>
    </row>
    <row r="914" spans="20:46" ht="16.8">
      <c r="T914" s="112"/>
      <c r="U914" s="113"/>
      <c r="AF914" s="2"/>
      <c r="AG914" s="2"/>
      <c r="AS914"/>
      <c r="AT914"/>
    </row>
    <row r="915" spans="20:46" ht="16.8">
      <c r="T915" s="112"/>
      <c r="U915" s="113"/>
      <c r="AF915" s="2"/>
      <c r="AG915" s="2"/>
      <c r="AS915"/>
      <c r="AT915"/>
    </row>
    <row r="916" spans="20:46" ht="16.8">
      <c r="T916" s="112"/>
      <c r="U916" s="113"/>
      <c r="AF916" s="2"/>
      <c r="AG916" s="2"/>
      <c r="AS916"/>
      <c r="AT916"/>
    </row>
    <row r="917" spans="20:46" ht="16.8">
      <c r="T917" s="112"/>
      <c r="U917" s="113"/>
      <c r="AF917" s="2"/>
      <c r="AG917" s="2"/>
      <c r="AS917"/>
      <c r="AT917"/>
    </row>
    <row r="918" spans="20:46" ht="16.8">
      <c r="T918" s="112"/>
      <c r="U918" s="113"/>
      <c r="AF918" s="2"/>
      <c r="AG918" s="2"/>
      <c r="AS918"/>
      <c r="AT918"/>
    </row>
    <row r="919" spans="20:46" ht="16.8">
      <c r="T919" s="112"/>
      <c r="U919" s="113"/>
      <c r="AF919" s="2"/>
      <c r="AG919" s="2"/>
      <c r="AS919"/>
      <c r="AT919"/>
    </row>
    <row r="920" spans="20:46" ht="16.8">
      <c r="T920" s="112"/>
      <c r="U920" s="113"/>
      <c r="AF920" s="2"/>
      <c r="AG920" s="2"/>
      <c r="AS920"/>
      <c r="AT920"/>
    </row>
    <row r="921" spans="20:46" ht="16.8">
      <c r="T921" s="112"/>
      <c r="U921" s="113"/>
      <c r="AF921" s="2"/>
      <c r="AG921" s="2"/>
      <c r="AS921"/>
      <c r="AT921"/>
    </row>
    <row r="922" spans="20:46" ht="16.8">
      <c r="T922" s="112"/>
      <c r="U922" s="113"/>
      <c r="AF922" s="2"/>
      <c r="AG922" s="2"/>
      <c r="AS922"/>
      <c r="AT922"/>
    </row>
    <row r="923" spans="20:46" ht="16.8">
      <c r="T923" s="112"/>
      <c r="U923" s="113"/>
      <c r="AF923" s="2"/>
      <c r="AG923" s="2"/>
      <c r="AS923"/>
      <c r="AT923"/>
    </row>
    <row r="924" spans="20:46" ht="16.8">
      <c r="T924" s="112"/>
      <c r="U924" s="113"/>
      <c r="AF924" s="2"/>
      <c r="AG924" s="2"/>
      <c r="AS924"/>
      <c r="AT924"/>
    </row>
    <row r="925" spans="20:46" ht="16.8">
      <c r="T925" s="112"/>
      <c r="U925" s="113"/>
      <c r="AF925" s="2"/>
      <c r="AG925" s="2"/>
      <c r="AS925"/>
      <c r="AT925"/>
    </row>
    <row r="926" spans="20:46" ht="16.8">
      <c r="T926" s="112"/>
      <c r="U926" s="113"/>
      <c r="AF926" s="2"/>
      <c r="AG926" s="2"/>
      <c r="AS926"/>
      <c r="AT926"/>
    </row>
    <row r="927" spans="20:46" ht="16.8">
      <c r="T927" s="112"/>
      <c r="U927" s="113"/>
      <c r="AF927" s="2"/>
      <c r="AG927" s="2"/>
      <c r="AS927"/>
      <c r="AT927"/>
    </row>
    <row r="928" spans="20:46" ht="16.8">
      <c r="T928" s="112"/>
      <c r="U928" s="113"/>
      <c r="AF928" s="2"/>
      <c r="AG928" s="2"/>
      <c r="AS928"/>
      <c r="AT928"/>
    </row>
    <row r="929" spans="20:46" ht="16.8">
      <c r="T929" s="112"/>
      <c r="U929" s="113"/>
      <c r="AF929" s="2"/>
      <c r="AG929" s="2"/>
      <c r="AS929"/>
      <c r="AT929"/>
    </row>
    <row r="930" spans="20:46" ht="16.8">
      <c r="T930" s="112"/>
      <c r="U930" s="113"/>
      <c r="AF930" s="2"/>
      <c r="AG930" s="2"/>
      <c r="AS930"/>
      <c r="AT930"/>
    </row>
    <row r="931" spans="20:46" ht="16.8">
      <c r="T931" s="112"/>
      <c r="U931" s="113"/>
      <c r="AF931" s="2"/>
      <c r="AG931" s="2"/>
      <c r="AS931"/>
      <c r="AT931"/>
    </row>
    <row r="932" spans="20:46" ht="16.8">
      <c r="T932" s="112"/>
      <c r="U932" s="113"/>
      <c r="AF932" s="2"/>
      <c r="AG932" s="2"/>
      <c r="AS932"/>
      <c r="AT932"/>
    </row>
    <row r="933" spans="20:46" ht="16.8">
      <c r="T933" s="112"/>
      <c r="U933" s="113"/>
      <c r="AF933" s="2"/>
      <c r="AG933" s="2"/>
      <c r="AS933"/>
      <c r="AT933"/>
    </row>
    <row r="934" spans="20:46" ht="16.8">
      <c r="T934" s="112"/>
      <c r="U934" s="113"/>
      <c r="AF934" s="2"/>
      <c r="AG934" s="2"/>
      <c r="AS934"/>
      <c r="AT934"/>
    </row>
    <row r="935" spans="20:46" ht="16.8">
      <c r="T935" s="112"/>
      <c r="U935" s="113"/>
      <c r="AF935" s="2"/>
      <c r="AG935" s="2"/>
      <c r="AS935"/>
      <c r="AT935"/>
    </row>
    <row r="936" spans="20:46" ht="16.8">
      <c r="T936" s="112"/>
      <c r="U936" s="113"/>
      <c r="AF936" s="2"/>
      <c r="AG936" s="2"/>
      <c r="AS936"/>
      <c r="AT936"/>
    </row>
    <row r="937" spans="20:46" ht="16.8">
      <c r="T937" s="112"/>
      <c r="U937" s="113"/>
      <c r="AF937" s="2"/>
      <c r="AG937" s="2"/>
      <c r="AS937"/>
      <c r="AT937"/>
    </row>
    <row r="938" spans="20:46" ht="16.8">
      <c r="T938" s="112"/>
      <c r="U938" s="113"/>
      <c r="AF938" s="2"/>
      <c r="AG938" s="2"/>
      <c r="AS938"/>
      <c r="AT938"/>
    </row>
    <row r="939" spans="20:46" ht="16.8">
      <c r="T939" s="112"/>
      <c r="U939" s="113"/>
      <c r="AF939" s="2"/>
      <c r="AG939" s="2"/>
      <c r="AS939"/>
      <c r="AT939"/>
    </row>
    <row r="940" spans="20:46" ht="16.8">
      <c r="T940" s="112"/>
      <c r="U940" s="113"/>
      <c r="AF940" s="2"/>
      <c r="AG940" s="2"/>
      <c r="AS940"/>
      <c r="AT940"/>
    </row>
    <row r="941" spans="20:46" ht="16.8">
      <c r="T941" s="112"/>
      <c r="U941" s="113"/>
      <c r="AF941" s="2"/>
      <c r="AG941" s="2"/>
      <c r="AS941"/>
      <c r="AT941"/>
    </row>
    <row r="942" spans="20:46" ht="16.8">
      <c r="T942" s="112"/>
      <c r="U942" s="113"/>
      <c r="AF942" s="2"/>
      <c r="AG942" s="2"/>
      <c r="AS942"/>
      <c r="AT942"/>
    </row>
    <row r="943" spans="20:46" ht="16.8">
      <c r="T943" s="112"/>
      <c r="U943" s="113"/>
      <c r="AF943" s="2"/>
      <c r="AG943" s="2"/>
      <c r="AS943"/>
      <c r="AT943"/>
    </row>
    <row r="944" spans="20:46" ht="16.8">
      <c r="T944" s="112"/>
      <c r="U944" s="113"/>
      <c r="AF944" s="2"/>
      <c r="AG944" s="2"/>
      <c r="AS944"/>
      <c r="AT944"/>
    </row>
    <row r="945" spans="20:46" ht="16.8">
      <c r="T945" s="112"/>
      <c r="U945" s="113"/>
      <c r="AF945" s="2"/>
      <c r="AG945" s="2"/>
      <c r="AS945"/>
      <c r="AT945"/>
    </row>
    <row r="946" spans="20:46" ht="16.8">
      <c r="T946" s="112"/>
      <c r="U946" s="113"/>
      <c r="AF946" s="2"/>
      <c r="AG946" s="2"/>
      <c r="AS946"/>
      <c r="AT946"/>
    </row>
    <row r="947" spans="20:46" ht="16.8">
      <c r="T947" s="112"/>
      <c r="U947" s="113"/>
      <c r="AF947" s="2"/>
      <c r="AG947" s="2"/>
      <c r="AS947"/>
      <c r="AT947"/>
    </row>
    <row r="948" spans="20:46" ht="16.8">
      <c r="T948" s="112"/>
      <c r="U948" s="113"/>
      <c r="AF948" s="2"/>
      <c r="AG948" s="2"/>
      <c r="AS948"/>
      <c r="AT948"/>
    </row>
    <row r="949" spans="20:46" ht="16.8">
      <c r="T949" s="112"/>
      <c r="U949" s="113"/>
      <c r="AF949" s="2"/>
      <c r="AG949" s="2"/>
      <c r="AS949"/>
      <c r="AT949"/>
    </row>
    <row r="950" spans="20:46" ht="16.8">
      <c r="T950" s="112"/>
      <c r="U950" s="113"/>
      <c r="AF950" s="2"/>
      <c r="AG950" s="2"/>
      <c r="AS950"/>
      <c r="AT950"/>
    </row>
    <row r="951" spans="20:46" ht="16.8">
      <c r="T951" s="112"/>
      <c r="U951" s="113"/>
      <c r="AF951" s="2"/>
      <c r="AG951" s="2"/>
      <c r="AS951"/>
      <c r="AT951"/>
    </row>
    <row r="952" spans="20:46" ht="16.8">
      <c r="T952" s="112"/>
      <c r="U952" s="113"/>
      <c r="AF952" s="2"/>
      <c r="AG952" s="2"/>
      <c r="AS952"/>
      <c r="AT952"/>
    </row>
    <row r="953" spans="20:46" ht="16.8">
      <c r="T953" s="112"/>
      <c r="U953" s="113"/>
      <c r="AF953" s="2"/>
      <c r="AG953" s="2"/>
      <c r="AS953"/>
      <c r="AT953"/>
    </row>
    <row r="954" spans="20:46" ht="16.8">
      <c r="T954" s="112"/>
      <c r="U954" s="113"/>
      <c r="AF954" s="2"/>
      <c r="AG954" s="2"/>
      <c r="AS954"/>
      <c r="AT954"/>
    </row>
    <row r="955" spans="20:46" ht="16.8">
      <c r="T955" s="112"/>
      <c r="U955" s="113"/>
      <c r="AF955" s="2"/>
      <c r="AG955" s="2"/>
      <c r="AS955"/>
      <c r="AT955"/>
    </row>
    <row r="956" spans="20:46" ht="16.8">
      <c r="T956" s="112"/>
      <c r="U956" s="113"/>
      <c r="AF956" s="2"/>
      <c r="AG956" s="2"/>
      <c r="AS956"/>
      <c r="AT956"/>
    </row>
    <row r="957" spans="20:46" ht="16.8">
      <c r="T957" s="112"/>
      <c r="U957" s="113"/>
      <c r="AF957" s="2"/>
      <c r="AG957" s="2"/>
      <c r="AS957"/>
      <c r="AT957"/>
    </row>
    <row r="958" spans="20:46" ht="16.8">
      <c r="T958" s="112"/>
      <c r="U958" s="113"/>
      <c r="AF958" s="2"/>
      <c r="AG958" s="2"/>
      <c r="AS958"/>
      <c r="AT958"/>
    </row>
    <row r="959" spans="20:46" ht="16.8">
      <c r="T959" s="112"/>
      <c r="U959" s="113"/>
      <c r="AF959" s="2"/>
      <c r="AG959" s="2"/>
      <c r="AS959"/>
      <c r="AT959"/>
    </row>
    <row r="960" spans="20:46" ht="16.8">
      <c r="T960" s="112"/>
      <c r="U960" s="113"/>
      <c r="AF960" s="2"/>
      <c r="AG960" s="2"/>
      <c r="AS960"/>
      <c r="AT960"/>
    </row>
    <row r="961" spans="20:46" ht="16.8">
      <c r="T961" s="112"/>
      <c r="U961" s="113"/>
      <c r="AF961" s="2"/>
      <c r="AG961" s="2"/>
      <c r="AS961"/>
      <c r="AT961"/>
    </row>
    <row r="962" spans="20:46" ht="16.8">
      <c r="T962" s="112"/>
      <c r="U962" s="113"/>
      <c r="AF962" s="2"/>
      <c r="AG962" s="2"/>
      <c r="AS962"/>
      <c r="AT962"/>
    </row>
    <row r="963" spans="20:46" ht="16.8">
      <c r="T963" s="112"/>
      <c r="U963" s="113"/>
      <c r="AF963" s="2"/>
      <c r="AG963" s="2"/>
      <c r="AS963"/>
      <c r="AT963"/>
    </row>
    <row r="964" spans="20:46" ht="16.8">
      <c r="T964" s="112"/>
      <c r="U964" s="113"/>
      <c r="AF964" s="2"/>
      <c r="AG964" s="2"/>
      <c r="AS964"/>
      <c r="AT964"/>
    </row>
    <row r="965" spans="20:46" ht="16.8">
      <c r="T965" s="112"/>
      <c r="U965" s="113"/>
      <c r="AF965" s="2"/>
      <c r="AG965" s="2"/>
      <c r="AS965"/>
      <c r="AT965"/>
    </row>
    <row r="966" spans="20:46" ht="16.8">
      <c r="T966" s="112"/>
      <c r="U966" s="113"/>
      <c r="AF966" s="2"/>
      <c r="AG966" s="2"/>
      <c r="AS966"/>
      <c r="AT966"/>
    </row>
    <row r="967" spans="20:46" ht="16.8">
      <c r="T967" s="112"/>
      <c r="U967" s="113"/>
      <c r="AF967" s="2"/>
      <c r="AG967" s="2"/>
      <c r="AS967"/>
      <c r="AT967"/>
    </row>
    <row r="968" spans="20:46" ht="16.8">
      <c r="T968" s="112"/>
      <c r="U968" s="113"/>
      <c r="AF968" s="2"/>
      <c r="AG968" s="2"/>
      <c r="AS968"/>
      <c r="AT968"/>
    </row>
    <row r="969" spans="20:46" ht="16.8">
      <c r="T969" s="112"/>
      <c r="U969" s="113"/>
      <c r="AF969" s="2"/>
      <c r="AG969" s="2"/>
      <c r="AS969"/>
      <c r="AT969"/>
    </row>
    <row r="970" spans="20:46" ht="16.8">
      <c r="T970" s="112"/>
      <c r="U970" s="113"/>
      <c r="AF970" s="2"/>
      <c r="AG970" s="2"/>
      <c r="AS970"/>
      <c r="AT970"/>
    </row>
    <row r="971" spans="20:46" ht="16.8">
      <c r="T971" s="112"/>
      <c r="U971" s="113"/>
      <c r="AF971" s="2"/>
      <c r="AG971" s="2"/>
      <c r="AS971"/>
      <c r="AT971"/>
    </row>
    <row r="972" spans="20:46" ht="16.8">
      <c r="T972" s="112"/>
      <c r="U972" s="113"/>
      <c r="AF972" s="2"/>
      <c r="AG972" s="2"/>
      <c r="AS972"/>
      <c r="AT972"/>
    </row>
    <row r="973" spans="20:46" ht="16.8">
      <c r="T973" s="112"/>
      <c r="U973" s="113"/>
      <c r="AF973" s="2"/>
      <c r="AG973" s="2"/>
      <c r="AS973"/>
      <c r="AT973"/>
    </row>
    <row r="974" spans="20:46" ht="16.8">
      <c r="T974" s="112"/>
      <c r="U974" s="113"/>
      <c r="AF974" s="2"/>
      <c r="AG974" s="2"/>
      <c r="AS974"/>
      <c r="AT974"/>
    </row>
    <row r="975" spans="20:46" ht="16.8">
      <c r="T975" s="112"/>
      <c r="U975" s="113"/>
      <c r="AF975" s="2"/>
      <c r="AG975" s="2"/>
      <c r="AS975"/>
      <c r="AT975"/>
    </row>
    <row r="976" spans="20:46" ht="16.8">
      <c r="T976" s="112"/>
      <c r="U976" s="113"/>
      <c r="AF976" s="2"/>
      <c r="AG976" s="2"/>
      <c r="AS976"/>
      <c r="AT976"/>
    </row>
    <row r="977" spans="20:46" ht="16.8">
      <c r="T977" s="112"/>
      <c r="U977" s="113"/>
      <c r="AF977" s="2"/>
      <c r="AG977" s="2"/>
      <c r="AS977"/>
      <c r="AT977"/>
    </row>
    <row r="978" spans="20:46" ht="16.8">
      <c r="T978" s="112"/>
      <c r="U978" s="113"/>
      <c r="AF978" s="2"/>
      <c r="AG978" s="2"/>
      <c r="AS978"/>
      <c r="AT978"/>
    </row>
    <row r="979" spans="20:46" ht="16.8">
      <c r="T979" s="112"/>
      <c r="U979" s="113"/>
      <c r="AF979" s="2"/>
      <c r="AG979" s="2"/>
      <c r="AS979"/>
      <c r="AT979"/>
    </row>
    <row r="980" spans="20:46" ht="16.8">
      <c r="T980" s="112"/>
      <c r="U980" s="113"/>
      <c r="AF980" s="2"/>
      <c r="AG980" s="2"/>
      <c r="AS980"/>
      <c r="AT980"/>
    </row>
    <row r="981" spans="20:46" ht="16.8">
      <c r="T981" s="112"/>
      <c r="U981" s="113"/>
      <c r="AF981" s="2"/>
      <c r="AG981" s="2"/>
      <c r="AS981"/>
      <c r="AT981"/>
    </row>
    <row r="982" spans="20:46" ht="16.8">
      <c r="T982" s="112"/>
      <c r="U982" s="113"/>
      <c r="AF982" s="2"/>
      <c r="AG982" s="2"/>
      <c r="AS982"/>
      <c r="AT982"/>
    </row>
    <row r="983" spans="20:46" ht="16.8">
      <c r="T983" s="112"/>
      <c r="U983" s="113"/>
      <c r="AF983" s="2"/>
      <c r="AG983" s="2"/>
      <c r="AS983"/>
      <c r="AT983"/>
    </row>
    <row r="984" spans="20:46" ht="16.8">
      <c r="T984" s="112"/>
      <c r="U984" s="113"/>
      <c r="AF984" s="2"/>
      <c r="AG984" s="2"/>
      <c r="AS984"/>
      <c r="AT984"/>
    </row>
    <row r="985" spans="20:46" ht="16.8">
      <c r="T985" s="112"/>
      <c r="U985" s="113"/>
      <c r="AF985" s="2"/>
      <c r="AG985" s="2"/>
      <c r="AS985"/>
      <c r="AT985"/>
    </row>
    <row r="986" spans="20:46" ht="16.8">
      <c r="T986" s="112"/>
      <c r="U986" s="113"/>
      <c r="AF986" s="2"/>
      <c r="AG986" s="2"/>
      <c r="AS986"/>
      <c r="AT986"/>
    </row>
    <row r="987" spans="20:46" ht="16.8">
      <c r="T987" s="112"/>
      <c r="U987" s="113"/>
      <c r="AF987" s="2"/>
      <c r="AG987" s="2"/>
      <c r="AS987"/>
      <c r="AT987"/>
    </row>
    <row r="988" spans="20:46" ht="16.8">
      <c r="T988" s="112"/>
      <c r="U988" s="113"/>
      <c r="AF988" s="2"/>
      <c r="AG988" s="2"/>
      <c r="AS988"/>
      <c r="AT988"/>
    </row>
    <row r="989" spans="20:46" ht="16.8">
      <c r="T989" s="112"/>
      <c r="U989" s="113"/>
      <c r="AF989" s="2"/>
      <c r="AG989" s="2"/>
      <c r="AS989"/>
      <c r="AT989"/>
    </row>
    <row r="990" spans="20:46" ht="16.8">
      <c r="T990" s="112"/>
      <c r="U990" s="113"/>
      <c r="AF990" s="2"/>
      <c r="AG990" s="2"/>
      <c r="AS990"/>
      <c r="AT990"/>
    </row>
    <row r="991" spans="20:46" ht="16.8">
      <c r="T991" s="112"/>
      <c r="U991" s="113"/>
      <c r="AF991" s="2"/>
      <c r="AG991" s="2"/>
      <c r="AS991"/>
      <c r="AT991"/>
    </row>
    <row r="992" spans="20:46" ht="16.8">
      <c r="T992" s="112"/>
      <c r="U992" s="113"/>
      <c r="AF992" s="2"/>
      <c r="AG992" s="2"/>
      <c r="AS992"/>
      <c r="AT992"/>
    </row>
    <row r="993" spans="20:46" ht="16.8">
      <c r="T993" s="112"/>
      <c r="U993" s="113"/>
      <c r="AF993" s="2"/>
      <c r="AG993" s="2"/>
      <c r="AS993"/>
      <c r="AT993"/>
    </row>
    <row r="994" spans="20:46" ht="16.8">
      <c r="T994" s="112"/>
      <c r="U994" s="113"/>
      <c r="AF994" s="2"/>
      <c r="AG994" s="2"/>
      <c r="AS994"/>
      <c r="AT994"/>
    </row>
    <row r="995" spans="20:46" ht="16.8">
      <c r="T995" s="112"/>
      <c r="U995" s="113"/>
      <c r="AF995" s="2"/>
      <c r="AG995" s="2"/>
      <c r="AS995"/>
      <c r="AT995"/>
    </row>
    <row r="996" spans="20:46" ht="16.8">
      <c r="T996" s="112"/>
      <c r="U996" s="113"/>
      <c r="AF996" s="2"/>
      <c r="AG996" s="2"/>
      <c r="AS996"/>
      <c r="AT996"/>
    </row>
    <row r="997" spans="20:46" ht="16.8">
      <c r="T997" s="112"/>
      <c r="U997" s="113"/>
      <c r="AF997" s="2"/>
      <c r="AG997" s="2"/>
      <c r="AS997"/>
      <c r="AT997"/>
    </row>
    <row r="998" spans="20:46" ht="16.8">
      <c r="T998" s="112"/>
      <c r="U998" s="113"/>
      <c r="AF998" s="2"/>
      <c r="AG998" s="2"/>
      <c r="AS998"/>
      <c r="AT998"/>
    </row>
    <row r="999" spans="20:46" ht="16.8">
      <c r="T999" s="112"/>
      <c r="U999" s="113"/>
      <c r="AF999" s="2"/>
      <c r="AG999" s="2"/>
      <c r="AS999"/>
      <c r="AT999"/>
    </row>
    <row r="1000" spans="20:46" ht="16.8">
      <c r="T1000" s="112"/>
      <c r="U1000" s="113"/>
      <c r="AF1000" s="2"/>
      <c r="AG1000" s="2"/>
      <c r="AS1000"/>
      <c r="AT1000"/>
    </row>
    <row r="1001" spans="20:46" ht="16.8">
      <c r="T1001" s="112"/>
      <c r="U1001" s="113"/>
      <c r="AF1001" s="2"/>
      <c r="AG1001" s="2"/>
      <c r="AS1001"/>
      <c r="AT1001"/>
    </row>
    <row r="1002" spans="20:46" ht="16.8">
      <c r="T1002" s="112"/>
      <c r="U1002" s="113"/>
      <c r="AF1002" s="2"/>
      <c r="AG1002" s="2"/>
      <c r="AS1002"/>
      <c r="AT1002"/>
    </row>
    <row r="1003" spans="20:46" ht="16.8">
      <c r="T1003" s="112"/>
      <c r="U1003" s="113"/>
      <c r="AF1003" s="2"/>
      <c r="AG1003" s="2"/>
      <c r="AS1003"/>
      <c r="AT1003"/>
    </row>
    <row r="1004" spans="20:46" ht="16.8">
      <c r="T1004" s="112"/>
      <c r="U1004" s="113"/>
      <c r="AF1004" s="2"/>
      <c r="AG1004" s="2"/>
      <c r="AS1004"/>
      <c r="AT1004"/>
    </row>
    <row r="1005" spans="20:46" ht="16.8">
      <c r="T1005" s="112"/>
      <c r="U1005" s="113"/>
      <c r="AF1005" s="2"/>
      <c r="AG1005" s="2"/>
      <c r="AS1005"/>
      <c r="AT1005"/>
    </row>
    <row r="1006" spans="20:46" ht="16.8">
      <c r="T1006" s="112"/>
      <c r="U1006" s="113"/>
      <c r="AF1006" s="2"/>
      <c r="AG1006" s="2"/>
      <c r="AS1006"/>
      <c r="AT1006"/>
    </row>
    <row r="1007" spans="20:46" ht="16.8">
      <c r="T1007" s="112"/>
      <c r="U1007" s="113"/>
      <c r="AF1007" s="2"/>
      <c r="AG1007" s="2"/>
      <c r="AS1007"/>
      <c r="AT1007"/>
    </row>
    <row r="1008" spans="20:46" ht="16.8">
      <c r="T1008" s="112"/>
      <c r="U1008" s="113"/>
      <c r="AF1008" s="2"/>
      <c r="AG1008" s="2"/>
      <c r="AS1008"/>
      <c r="AT1008"/>
    </row>
    <row r="1009" spans="20:46" ht="16.8">
      <c r="T1009" s="112"/>
      <c r="U1009" s="113"/>
      <c r="AF1009" s="2"/>
      <c r="AG1009" s="2"/>
      <c r="AS1009"/>
      <c r="AT1009"/>
    </row>
    <row r="1010" spans="20:46" ht="16.8">
      <c r="T1010" s="112"/>
      <c r="U1010" s="113"/>
      <c r="AF1010" s="2"/>
      <c r="AG1010" s="2"/>
      <c r="AS1010"/>
      <c r="AT1010"/>
    </row>
    <row r="1011" spans="20:46" ht="16.8">
      <c r="T1011" s="112"/>
      <c r="U1011" s="113"/>
      <c r="AF1011" s="2"/>
      <c r="AG1011" s="2"/>
      <c r="AS1011"/>
      <c r="AT1011"/>
    </row>
    <row r="1012" spans="20:46" ht="16.8">
      <c r="T1012" s="112"/>
      <c r="U1012" s="113"/>
      <c r="AF1012" s="2"/>
      <c r="AG1012" s="2"/>
      <c r="AS1012"/>
      <c r="AT1012"/>
    </row>
    <row r="1013" spans="20:46" ht="16.8">
      <c r="T1013" s="112"/>
      <c r="U1013" s="113"/>
      <c r="AF1013" s="2"/>
      <c r="AG1013" s="2"/>
      <c r="AS1013"/>
      <c r="AT1013"/>
    </row>
    <row r="1014" spans="20:46" ht="16.8">
      <c r="T1014" s="112"/>
      <c r="U1014" s="113"/>
      <c r="AF1014" s="2"/>
      <c r="AG1014" s="2"/>
      <c r="AS1014"/>
      <c r="AT1014"/>
    </row>
    <row r="1015" spans="20:46" ht="16.8">
      <c r="T1015" s="112"/>
      <c r="U1015" s="113"/>
      <c r="AF1015" s="2"/>
      <c r="AG1015" s="2"/>
      <c r="AS1015"/>
      <c r="AT1015"/>
    </row>
    <row r="1016" spans="20:46" ht="16.8">
      <c r="T1016" s="112"/>
      <c r="U1016" s="113"/>
      <c r="AF1016" s="2"/>
      <c r="AG1016" s="2"/>
      <c r="AS1016"/>
      <c r="AT1016"/>
    </row>
    <row r="1017" spans="20:46" ht="16.8">
      <c r="T1017" s="112"/>
      <c r="U1017" s="113"/>
      <c r="AF1017" s="2"/>
      <c r="AG1017" s="2"/>
      <c r="AS1017"/>
      <c r="AT1017"/>
    </row>
    <row r="1018" spans="20:46" ht="16.8">
      <c r="T1018" s="112"/>
      <c r="U1018" s="113"/>
      <c r="AF1018" s="2"/>
      <c r="AG1018" s="2"/>
      <c r="AS1018"/>
      <c r="AT1018"/>
    </row>
    <row r="1019" spans="20:46" ht="16.8">
      <c r="T1019" s="112"/>
      <c r="U1019" s="113"/>
      <c r="AF1019" s="2"/>
      <c r="AG1019" s="2"/>
      <c r="AS1019"/>
      <c r="AT1019"/>
    </row>
    <row r="1020" spans="20:46" ht="16.8">
      <c r="T1020" s="112"/>
      <c r="U1020" s="113"/>
      <c r="AF1020" s="2"/>
      <c r="AG1020" s="2"/>
      <c r="AS1020"/>
      <c r="AT1020"/>
    </row>
    <row r="1021" spans="20:46" ht="16.8">
      <c r="T1021" s="112"/>
      <c r="U1021" s="113"/>
      <c r="AF1021" s="2"/>
      <c r="AG1021" s="2"/>
      <c r="AS1021"/>
      <c r="AT1021"/>
    </row>
    <row r="1022" spans="20:46" ht="16.8">
      <c r="T1022" s="112"/>
      <c r="U1022" s="113"/>
      <c r="AF1022" s="2"/>
      <c r="AG1022" s="2"/>
      <c r="AS1022"/>
      <c r="AT1022"/>
    </row>
    <row r="1023" spans="20:46" ht="16.8">
      <c r="T1023" s="112"/>
      <c r="U1023" s="113"/>
      <c r="AF1023" s="2"/>
      <c r="AG1023" s="2"/>
      <c r="AS1023"/>
      <c r="AT1023"/>
    </row>
    <row r="1024" spans="20:46" ht="16.8">
      <c r="T1024" s="112"/>
      <c r="U1024" s="113"/>
      <c r="AF1024" s="2"/>
      <c r="AG1024" s="2"/>
      <c r="AS1024"/>
      <c r="AT1024"/>
    </row>
    <row r="1025" spans="20:46" ht="16.8">
      <c r="T1025" s="112"/>
      <c r="U1025" s="113"/>
      <c r="AF1025" s="2"/>
      <c r="AG1025" s="2"/>
      <c r="AS1025"/>
      <c r="AT1025"/>
    </row>
    <row r="1026" spans="20:46" ht="16.8">
      <c r="T1026" s="112"/>
      <c r="U1026" s="113"/>
      <c r="AF1026" s="2"/>
      <c r="AG1026" s="2"/>
      <c r="AS1026"/>
      <c r="AT1026"/>
    </row>
    <row r="1027" spans="20:46" ht="16.8">
      <c r="T1027" s="112"/>
      <c r="U1027" s="113"/>
      <c r="AF1027" s="2"/>
      <c r="AG1027" s="2"/>
      <c r="AS1027"/>
      <c r="AT1027"/>
    </row>
    <row r="1028" spans="20:46" ht="16.8">
      <c r="T1028" s="112"/>
      <c r="U1028" s="113"/>
      <c r="AF1028" s="2"/>
      <c r="AG1028" s="2"/>
      <c r="AS1028"/>
      <c r="AT1028"/>
    </row>
    <row r="1029" spans="20:46" ht="16.8">
      <c r="T1029" s="112"/>
      <c r="U1029" s="113"/>
      <c r="AF1029" s="2"/>
      <c r="AG1029" s="2"/>
      <c r="AS1029"/>
      <c r="AT1029"/>
    </row>
    <row r="1030" spans="20:46" ht="16.8">
      <c r="T1030" s="112"/>
      <c r="U1030" s="113"/>
      <c r="AF1030" s="2"/>
      <c r="AG1030" s="2"/>
      <c r="AS1030"/>
      <c r="AT1030"/>
    </row>
    <row r="1031" spans="20:46" ht="16.8">
      <c r="T1031" s="112"/>
      <c r="U1031" s="113"/>
      <c r="AF1031" s="2"/>
      <c r="AG1031" s="2"/>
      <c r="AS1031"/>
      <c r="AT1031"/>
    </row>
    <row r="1032" spans="20:46" ht="16.8">
      <c r="T1032" s="112"/>
      <c r="U1032" s="113"/>
      <c r="AF1032" s="2"/>
      <c r="AG1032" s="2"/>
      <c r="AS1032"/>
      <c r="AT1032"/>
    </row>
    <row r="1033" spans="20:46" ht="16.8">
      <c r="T1033" s="112"/>
      <c r="U1033" s="113"/>
      <c r="AF1033" s="2"/>
      <c r="AG1033" s="2"/>
      <c r="AS1033"/>
      <c r="AT1033"/>
    </row>
    <row r="1034" spans="20:46" ht="16.8">
      <c r="T1034" s="112"/>
      <c r="U1034" s="113"/>
      <c r="AF1034" s="2"/>
      <c r="AG1034" s="2"/>
      <c r="AS1034"/>
      <c r="AT1034"/>
    </row>
    <row r="1035" spans="20:46" ht="16.8">
      <c r="T1035" s="112"/>
      <c r="U1035" s="113"/>
      <c r="AF1035" s="2"/>
      <c r="AG1035" s="2"/>
      <c r="AS1035"/>
      <c r="AT1035"/>
    </row>
    <row r="1036" spans="20:46" ht="16.8">
      <c r="T1036" s="112"/>
      <c r="U1036" s="113"/>
      <c r="AF1036" s="2"/>
      <c r="AG1036" s="2"/>
      <c r="AS1036"/>
      <c r="AT1036"/>
    </row>
    <row r="1037" spans="20:46" ht="16.8">
      <c r="T1037" s="112"/>
      <c r="U1037" s="113"/>
      <c r="AF1037" s="2"/>
      <c r="AG1037" s="2"/>
      <c r="AS1037"/>
      <c r="AT1037"/>
    </row>
    <row r="1038" spans="20:46" ht="16.8">
      <c r="T1038" s="112"/>
      <c r="U1038" s="113"/>
      <c r="AF1038" s="2"/>
      <c r="AG1038" s="2"/>
      <c r="AS1038"/>
      <c r="AT1038"/>
    </row>
    <row r="1039" spans="20:46" ht="16.8">
      <c r="T1039" s="112"/>
      <c r="U1039" s="113"/>
      <c r="AF1039" s="2"/>
      <c r="AG1039" s="2"/>
      <c r="AS1039"/>
      <c r="AT1039"/>
    </row>
    <row r="1040" spans="20:46" ht="16.8">
      <c r="T1040" s="112"/>
      <c r="U1040" s="113"/>
      <c r="AF1040" s="2"/>
      <c r="AG1040" s="2"/>
      <c r="AS1040"/>
      <c r="AT1040"/>
    </row>
    <row r="1041" spans="20:46" ht="16.8">
      <c r="T1041" s="112"/>
      <c r="U1041" s="113"/>
      <c r="AF1041" s="2"/>
      <c r="AG1041" s="2"/>
      <c r="AS1041"/>
      <c r="AT1041"/>
    </row>
    <row r="1042" spans="20:46" ht="16.8">
      <c r="T1042" s="112"/>
      <c r="U1042" s="113"/>
      <c r="AF1042" s="2"/>
      <c r="AG1042" s="2"/>
      <c r="AS1042"/>
      <c r="AT1042"/>
    </row>
    <row r="1043" spans="20:46" ht="16.8">
      <c r="T1043" s="112"/>
      <c r="U1043" s="113"/>
      <c r="AF1043" s="2"/>
      <c r="AG1043" s="2"/>
      <c r="AS1043"/>
      <c r="AT1043"/>
    </row>
    <row r="1044" spans="20:46" ht="16.8">
      <c r="T1044" s="112"/>
      <c r="U1044" s="113"/>
      <c r="AF1044" s="2"/>
      <c r="AG1044" s="2"/>
      <c r="AS1044"/>
      <c r="AT1044"/>
    </row>
    <row r="1045" spans="20:46" ht="16.8">
      <c r="T1045" s="112"/>
      <c r="U1045" s="113"/>
      <c r="AF1045" s="2"/>
      <c r="AG1045" s="2"/>
      <c r="AS1045"/>
      <c r="AT1045"/>
    </row>
    <row r="1046" spans="20:46" ht="16.8">
      <c r="T1046" s="112"/>
      <c r="U1046" s="113"/>
      <c r="AF1046" s="2"/>
      <c r="AG1046" s="2"/>
      <c r="AS1046"/>
      <c r="AT1046"/>
    </row>
    <row r="1047" spans="20:46" ht="16.8">
      <c r="T1047" s="112"/>
      <c r="U1047" s="113"/>
      <c r="AF1047" s="2"/>
      <c r="AG1047" s="2"/>
      <c r="AS1047"/>
      <c r="AT1047"/>
    </row>
    <row r="1048" spans="20:46" ht="16.8">
      <c r="T1048" s="112"/>
      <c r="U1048" s="113"/>
      <c r="AF1048" s="2"/>
      <c r="AG1048" s="2"/>
      <c r="AS1048"/>
      <c r="AT1048"/>
    </row>
    <row r="1049" spans="20:46" ht="16.8">
      <c r="T1049" s="112"/>
      <c r="U1049" s="113"/>
      <c r="AF1049" s="2"/>
      <c r="AG1049" s="2"/>
      <c r="AS1049"/>
      <c r="AT1049"/>
    </row>
    <row r="1050" spans="20:46" ht="16.8">
      <c r="T1050" s="112"/>
      <c r="U1050" s="113"/>
      <c r="AF1050" s="2"/>
      <c r="AG1050" s="2"/>
      <c r="AS1050"/>
      <c r="AT1050"/>
    </row>
    <row r="1051" spans="20:46" ht="16.8">
      <c r="T1051" s="112"/>
      <c r="U1051" s="113"/>
      <c r="AF1051" s="2"/>
      <c r="AG1051" s="2"/>
      <c r="AS1051"/>
      <c r="AT1051"/>
    </row>
    <row r="1052" spans="20:46" ht="16.8">
      <c r="T1052" s="112"/>
      <c r="U1052" s="113"/>
      <c r="AF1052" s="2"/>
      <c r="AG1052" s="2"/>
      <c r="AS1052"/>
      <c r="AT1052"/>
    </row>
    <row r="1053" spans="20:46" ht="16.8">
      <c r="T1053" s="112"/>
      <c r="U1053" s="113"/>
      <c r="AF1053" s="2"/>
      <c r="AG1053" s="2"/>
      <c r="AS1053"/>
      <c r="AT1053"/>
    </row>
    <row r="1054" spans="20:46" ht="16.8">
      <c r="T1054" s="112"/>
      <c r="U1054" s="113"/>
      <c r="AF1054" s="2"/>
      <c r="AG1054" s="2"/>
      <c r="AS1054"/>
      <c r="AT1054"/>
    </row>
    <row r="1055" spans="20:46" ht="16.8">
      <c r="T1055" s="112"/>
      <c r="U1055" s="113"/>
      <c r="AF1055" s="2"/>
      <c r="AG1055" s="2"/>
      <c r="AS1055"/>
      <c r="AT1055"/>
    </row>
    <row r="1056" spans="20:46" ht="16.8">
      <c r="T1056" s="112"/>
      <c r="U1056" s="113"/>
      <c r="AF1056" s="2"/>
      <c r="AG1056" s="2"/>
      <c r="AS1056"/>
      <c r="AT1056"/>
    </row>
    <row r="1057" spans="20:46" ht="16.8">
      <c r="T1057" s="112"/>
      <c r="U1057" s="113"/>
      <c r="AF1057" s="2"/>
      <c r="AG1057" s="2"/>
      <c r="AS1057"/>
      <c r="AT1057"/>
    </row>
    <row r="1058" spans="20:46" ht="16.8">
      <c r="T1058" s="112"/>
      <c r="U1058" s="113"/>
      <c r="AF1058" s="2"/>
      <c r="AG1058" s="2"/>
      <c r="AS1058"/>
      <c r="AT1058"/>
    </row>
    <row r="1059" spans="20:46" ht="16.8">
      <c r="T1059" s="112"/>
      <c r="U1059" s="113"/>
      <c r="AF1059" s="2"/>
      <c r="AG1059" s="2"/>
      <c r="AS1059"/>
      <c r="AT1059"/>
    </row>
    <row r="1060" spans="20:46" ht="16.8">
      <c r="T1060" s="112"/>
      <c r="U1060" s="113"/>
      <c r="AF1060" s="2"/>
      <c r="AG1060" s="2"/>
      <c r="AS1060"/>
      <c r="AT1060"/>
    </row>
    <row r="1061" spans="20:46" ht="16.8">
      <c r="T1061" s="112"/>
      <c r="U1061" s="113"/>
      <c r="AF1061" s="2"/>
      <c r="AG1061" s="2"/>
      <c r="AS1061"/>
      <c r="AT1061"/>
    </row>
    <row r="1062" spans="20:46" ht="16.8">
      <c r="T1062" s="112"/>
      <c r="U1062" s="113"/>
      <c r="AF1062" s="2"/>
      <c r="AG1062" s="2"/>
      <c r="AS1062"/>
      <c r="AT1062"/>
    </row>
    <row r="1063" spans="20:46" ht="16.8">
      <c r="T1063" s="112"/>
      <c r="U1063" s="113"/>
      <c r="AF1063" s="2"/>
      <c r="AG1063" s="2"/>
      <c r="AS1063"/>
      <c r="AT1063"/>
    </row>
    <row r="1064" spans="20:46" ht="16.8">
      <c r="T1064" s="112"/>
      <c r="U1064" s="113"/>
      <c r="AF1064" s="2"/>
      <c r="AG1064" s="2"/>
      <c r="AS1064"/>
      <c r="AT1064"/>
    </row>
    <row r="1065" spans="20:46" ht="16.8">
      <c r="T1065" s="112"/>
      <c r="U1065" s="113"/>
      <c r="AF1065" s="2"/>
      <c r="AG1065" s="2"/>
      <c r="AS1065"/>
      <c r="AT1065"/>
    </row>
    <row r="1066" spans="20:46" ht="16.8">
      <c r="T1066" s="112"/>
      <c r="U1066" s="113"/>
      <c r="AF1066" s="2"/>
      <c r="AG1066" s="2"/>
      <c r="AS1066"/>
      <c r="AT1066"/>
    </row>
    <row r="1067" spans="20:46" ht="16.8">
      <c r="T1067" s="112"/>
      <c r="U1067" s="113"/>
      <c r="AF1067" s="2"/>
      <c r="AG1067" s="2"/>
      <c r="AS1067"/>
      <c r="AT1067"/>
    </row>
    <row r="1068" spans="20:46" ht="16.8">
      <c r="T1068" s="112"/>
      <c r="U1068" s="113"/>
      <c r="AF1068" s="2"/>
      <c r="AG1068" s="2"/>
      <c r="AS1068"/>
      <c r="AT1068"/>
    </row>
    <row r="1069" spans="20:46" ht="16.8">
      <c r="T1069" s="112"/>
      <c r="U1069" s="113"/>
      <c r="AF1069" s="2"/>
      <c r="AG1069" s="2"/>
      <c r="AS1069"/>
      <c r="AT1069"/>
    </row>
    <row r="1070" spans="20:46" ht="16.8">
      <c r="T1070" s="112"/>
      <c r="U1070" s="113"/>
      <c r="AF1070" s="2"/>
      <c r="AG1070" s="2"/>
      <c r="AS1070"/>
      <c r="AT1070"/>
    </row>
    <row r="1071" spans="20:46" ht="16.8">
      <c r="T1071" s="112"/>
      <c r="U1071" s="113"/>
      <c r="AF1071" s="2"/>
      <c r="AG1071" s="2"/>
      <c r="AS1071"/>
      <c r="AT1071"/>
    </row>
    <row r="1072" spans="20:46" ht="16.8">
      <c r="T1072" s="112"/>
      <c r="U1072" s="113"/>
      <c r="AF1072" s="2"/>
      <c r="AG1072" s="2"/>
      <c r="AS1072"/>
      <c r="AT1072"/>
    </row>
    <row r="1073" spans="20:46" ht="16.8">
      <c r="T1073" s="112"/>
      <c r="U1073" s="113"/>
      <c r="AF1073" s="2"/>
      <c r="AG1073" s="2"/>
      <c r="AS1073"/>
      <c r="AT1073"/>
    </row>
    <row r="1074" spans="20:46" ht="16.8">
      <c r="T1074" s="112"/>
      <c r="U1074" s="113"/>
      <c r="AF1074" s="2"/>
      <c r="AG1074" s="2"/>
      <c r="AS1074"/>
      <c r="AT1074"/>
    </row>
    <row r="1075" spans="20:46" ht="16.8">
      <c r="T1075" s="112"/>
      <c r="U1075" s="113"/>
      <c r="AF1075" s="2"/>
      <c r="AG1075" s="2"/>
      <c r="AS1075"/>
      <c r="AT1075"/>
    </row>
    <row r="1076" spans="20:46" ht="16.8">
      <c r="T1076" s="112"/>
      <c r="U1076" s="113"/>
      <c r="AF1076" s="2"/>
      <c r="AG1076" s="2"/>
      <c r="AS1076"/>
      <c r="AT1076"/>
    </row>
    <row r="1077" spans="20:46" ht="16.8">
      <c r="T1077" s="112"/>
      <c r="U1077" s="113"/>
      <c r="AF1077" s="2"/>
      <c r="AG1077" s="2"/>
      <c r="AS1077"/>
      <c r="AT1077"/>
    </row>
    <row r="1078" spans="20:46" ht="16.8">
      <c r="T1078" s="112"/>
      <c r="U1078" s="113"/>
      <c r="AF1078" s="2"/>
      <c r="AG1078" s="2"/>
      <c r="AS1078"/>
      <c r="AT1078"/>
    </row>
    <row r="1079" spans="20:46" ht="16.8">
      <c r="T1079" s="112"/>
      <c r="U1079" s="113"/>
      <c r="AF1079" s="2"/>
      <c r="AG1079" s="2"/>
      <c r="AS1079"/>
      <c r="AT1079"/>
    </row>
    <row r="1080" spans="20:46" ht="16.8">
      <c r="T1080" s="112"/>
      <c r="U1080" s="113"/>
      <c r="AF1080" s="2"/>
      <c r="AG1080" s="2"/>
      <c r="AS1080"/>
      <c r="AT1080"/>
    </row>
    <row r="1081" spans="20:46" ht="16.8">
      <c r="T1081" s="112"/>
      <c r="U1081" s="113"/>
      <c r="AF1081" s="2"/>
      <c r="AG1081" s="2"/>
      <c r="AS1081"/>
      <c r="AT1081"/>
    </row>
    <row r="1082" spans="20:46" ht="16.8">
      <c r="T1082" s="112"/>
      <c r="U1082" s="113"/>
      <c r="AF1082" s="2"/>
      <c r="AG1082" s="2"/>
      <c r="AS1082"/>
      <c r="AT1082"/>
    </row>
    <row r="1083" spans="20:46" ht="16.8">
      <c r="T1083" s="112"/>
      <c r="U1083" s="113"/>
      <c r="AF1083" s="2"/>
      <c r="AG1083" s="2"/>
      <c r="AS1083"/>
      <c r="AT1083"/>
    </row>
    <row r="1084" spans="20:46" ht="16.8">
      <c r="T1084" s="112"/>
      <c r="U1084" s="113"/>
      <c r="AF1084" s="2"/>
      <c r="AG1084" s="2"/>
      <c r="AS1084"/>
      <c r="AT1084"/>
    </row>
    <row r="1085" spans="20:46" ht="16.8">
      <c r="T1085" s="112"/>
      <c r="U1085" s="113"/>
      <c r="AF1085" s="2"/>
      <c r="AG1085" s="2"/>
      <c r="AS1085"/>
      <c r="AT1085"/>
    </row>
    <row r="1086" spans="20:46" ht="16.8">
      <c r="T1086" s="112"/>
      <c r="U1086" s="113"/>
      <c r="AF1086" s="2"/>
      <c r="AG1086" s="2"/>
      <c r="AS1086"/>
      <c r="AT1086"/>
    </row>
    <row r="1087" spans="20:46" ht="16.8">
      <c r="T1087" s="112"/>
      <c r="U1087" s="113"/>
      <c r="AF1087" s="2"/>
      <c r="AG1087" s="2"/>
      <c r="AS1087"/>
      <c r="AT1087"/>
    </row>
    <row r="1088" spans="20:46" ht="16.8">
      <c r="T1088" s="112"/>
      <c r="U1088" s="113"/>
      <c r="AF1088" s="2"/>
      <c r="AG1088" s="2"/>
      <c r="AS1088"/>
      <c r="AT1088"/>
    </row>
    <row r="1089" spans="20:46" ht="16.8">
      <c r="T1089" s="112"/>
      <c r="U1089" s="113"/>
      <c r="AF1089" s="2"/>
      <c r="AG1089" s="2"/>
      <c r="AS1089"/>
      <c r="AT1089"/>
    </row>
    <row r="1090" spans="20:46" ht="16.8">
      <c r="T1090" s="112"/>
      <c r="U1090" s="113"/>
      <c r="AF1090" s="2"/>
      <c r="AG1090" s="2"/>
      <c r="AS1090"/>
      <c r="AT1090"/>
    </row>
    <row r="1091" spans="20:46" ht="16.8">
      <c r="T1091" s="112"/>
      <c r="U1091" s="113"/>
      <c r="AF1091" s="2"/>
      <c r="AG1091" s="2"/>
      <c r="AS1091"/>
      <c r="AT1091"/>
    </row>
    <row r="1092" spans="20:46" ht="16.8">
      <c r="T1092" s="112"/>
      <c r="U1092" s="113"/>
      <c r="AF1092" s="2"/>
      <c r="AG1092" s="2"/>
      <c r="AS1092"/>
      <c r="AT1092"/>
    </row>
    <row r="1093" spans="20:46" ht="16.8">
      <c r="T1093" s="112"/>
      <c r="U1093" s="113"/>
      <c r="AF1093" s="2"/>
      <c r="AG1093" s="2"/>
      <c r="AS1093"/>
      <c r="AT1093"/>
    </row>
    <row r="1094" spans="20:46" ht="16.8">
      <c r="T1094" s="112"/>
      <c r="U1094" s="113"/>
      <c r="AF1094" s="2"/>
      <c r="AG1094" s="2"/>
      <c r="AS1094"/>
      <c r="AT1094"/>
    </row>
    <row r="1095" spans="20:46" ht="16.8">
      <c r="T1095" s="112"/>
      <c r="U1095" s="113"/>
      <c r="AF1095" s="2"/>
      <c r="AG1095" s="2"/>
      <c r="AS1095"/>
      <c r="AT1095"/>
    </row>
    <row r="1096" spans="20:46" ht="16.8">
      <c r="T1096" s="112"/>
      <c r="U1096" s="113"/>
      <c r="AF1096" s="2"/>
      <c r="AG1096" s="2"/>
      <c r="AS1096"/>
      <c r="AT1096"/>
    </row>
    <row r="1097" spans="20:46" ht="16.8">
      <c r="T1097" s="112"/>
      <c r="U1097" s="113"/>
      <c r="AF1097" s="2"/>
      <c r="AG1097" s="2"/>
      <c r="AS1097"/>
      <c r="AT1097"/>
    </row>
    <row r="1098" spans="20:46" ht="16.8">
      <c r="T1098" s="112"/>
      <c r="U1098" s="113"/>
      <c r="AF1098" s="2"/>
      <c r="AG1098" s="2"/>
      <c r="AS1098"/>
      <c r="AT1098"/>
    </row>
    <row r="1099" spans="20:46" ht="16.8">
      <c r="T1099" s="112"/>
      <c r="U1099" s="113"/>
      <c r="AF1099" s="2"/>
      <c r="AG1099" s="2"/>
      <c r="AS1099"/>
      <c r="AT1099"/>
    </row>
    <row r="1100" spans="20:46" ht="16.8">
      <c r="T1100" s="112"/>
      <c r="U1100" s="113"/>
      <c r="AF1100" s="2"/>
      <c r="AG1100" s="2"/>
      <c r="AS1100"/>
      <c r="AT1100"/>
    </row>
    <row r="1101" spans="20:46" ht="16.8">
      <c r="T1101" s="112"/>
      <c r="U1101" s="113"/>
      <c r="AF1101" s="2"/>
      <c r="AG1101" s="2"/>
      <c r="AS1101"/>
      <c r="AT1101"/>
    </row>
    <row r="1102" spans="20:46" ht="16.8">
      <c r="T1102" s="112"/>
      <c r="U1102" s="113"/>
      <c r="AF1102" s="2"/>
      <c r="AG1102" s="2"/>
      <c r="AS1102"/>
      <c r="AT1102"/>
    </row>
    <row r="1103" spans="20:46" ht="16.8">
      <c r="T1103" s="112"/>
      <c r="U1103" s="113"/>
      <c r="AF1103" s="2"/>
      <c r="AG1103" s="2"/>
      <c r="AS1103"/>
      <c r="AT1103"/>
    </row>
    <row r="1104" spans="20:46" ht="16.8">
      <c r="T1104" s="112"/>
      <c r="U1104" s="113"/>
      <c r="AF1104" s="2"/>
      <c r="AG1104" s="2"/>
      <c r="AS1104"/>
      <c r="AT1104"/>
    </row>
    <row r="1105" spans="20:46" ht="16.8">
      <c r="T1105" s="112"/>
      <c r="U1105" s="113"/>
      <c r="AF1105" s="2"/>
      <c r="AG1105" s="2"/>
      <c r="AS1105"/>
      <c r="AT1105"/>
    </row>
    <row r="1106" spans="20:46" ht="16.8">
      <c r="T1106" s="112"/>
      <c r="U1106" s="113"/>
      <c r="AF1106" s="2"/>
      <c r="AG1106" s="2"/>
      <c r="AS1106"/>
      <c r="AT1106"/>
    </row>
    <row r="1107" spans="20:46" ht="16.8">
      <c r="T1107" s="112"/>
      <c r="U1107" s="113"/>
      <c r="AF1107" s="2"/>
      <c r="AG1107" s="2"/>
      <c r="AS1107"/>
      <c r="AT1107"/>
    </row>
    <row r="1108" spans="20:46" ht="16.8">
      <c r="T1108" s="112"/>
      <c r="U1108" s="113"/>
      <c r="AF1108" s="2"/>
      <c r="AG1108" s="2"/>
      <c r="AS1108"/>
      <c r="AT1108"/>
    </row>
    <row r="1109" spans="20:46" ht="16.8">
      <c r="T1109" s="112"/>
      <c r="U1109" s="113"/>
      <c r="AF1109" s="2"/>
      <c r="AG1109" s="2"/>
      <c r="AS1109"/>
      <c r="AT1109"/>
    </row>
    <row r="1110" spans="20:46" ht="16.8">
      <c r="T1110" s="112"/>
      <c r="U1110" s="113"/>
      <c r="AF1110" s="2"/>
      <c r="AG1110" s="2"/>
      <c r="AS1110"/>
      <c r="AT1110"/>
    </row>
    <row r="1111" spans="20:46" ht="16.8">
      <c r="T1111" s="112"/>
      <c r="U1111" s="113"/>
      <c r="AF1111" s="2"/>
      <c r="AG1111" s="2"/>
      <c r="AS1111"/>
      <c r="AT1111"/>
    </row>
    <row r="1112" spans="20:46" ht="16.8">
      <c r="T1112" s="112"/>
      <c r="U1112" s="113"/>
      <c r="AF1112" s="2"/>
      <c r="AG1112" s="2"/>
      <c r="AS1112"/>
      <c r="AT1112"/>
    </row>
    <row r="1113" spans="20:46" ht="16.8">
      <c r="T1113" s="112"/>
      <c r="U1113" s="113"/>
      <c r="AF1113" s="2"/>
      <c r="AG1113" s="2"/>
      <c r="AS1113"/>
      <c r="AT1113"/>
    </row>
    <row r="1114" spans="20:46" ht="16.8">
      <c r="T1114" s="112"/>
      <c r="U1114" s="113"/>
      <c r="AF1114" s="2"/>
      <c r="AG1114" s="2"/>
      <c r="AS1114"/>
      <c r="AT1114"/>
    </row>
    <row r="1115" spans="20:46" ht="16.8">
      <c r="T1115" s="112"/>
      <c r="U1115" s="113"/>
      <c r="AF1115" s="2"/>
      <c r="AG1115" s="2"/>
      <c r="AS1115"/>
      <c r="AT1115"/>
    </row>
    <row r="1116" spans="20:46" ht="16.8">
      <c r="T1116" s="112"/>
      <c r="U1116" s="113"/>
      <c r="AF1116" s="2"/>
      <c r="AG1116" s="2"/>
      <c r="AS1116"/>
      <c r="AT1116"/>
    </row>
    <row r="1117" spans="20:46" ht="16.8">
      <c r="T1117" s="112"/>
      <c r="U1117" s="113"/>
      <c r="AF1117" s="2"/>
      <c r="AG1117" s="2"/>
      <c r="AS1117"/>
      <c r="AT1117"/>
    </row>
    <row r="1118" spans="20:46" ht="16.8">
      <c r="T1118" s="112"/>
      <c r="U1118" s="113"/>
      <c r="AF1118" s="2"/>
      <c r="AG1118" s="2"/>
      <c r="AS1118"/>
      <c r="AT1118"/>
    </row>
    <row r="1119" spans="20:46" ht="16.8">
      <c r="T1119" s="112"/>
      <c r="U1119" s="113"/>
      <c r="AF1119" s="2"/>
      <c r="AG1119" s="2"/>
      <c r="AS1119"/>
      <c r="AT1119"/>
    </row>
    <row r="1120" spans="20:46" ht="16.8">
      <c r="T1120" s="112"/>
      <c r="U1120" s="113"/>
      <c r="AF1120" s="2"/>
      <c r="AG1120" s="2"/>
      <c r="AS1120"/>
      <c r="AT1120"/>
    </row>
    <row r="1121" spans="20:46" ht="16.8">
      <c r="T1121" s="112"/>
      <c r="U1121" s="113"/>
      <c r="AF1121" s="2"/>
      <c r="AG1121" s="2"/>
      <c r="AS1121"/>
      <c r="AT1121"/>
    </row>
    <row r="1122" spans="20:46" ht="16.8">
      <c r="T1122" s="112"/>
      <c r="U1122" s="113"/>
      <c r="AF1122" s="2"/>
      <c r="AG1122" s="2"/>
      <c r="AS1122"/>
      <c r="AT1122"/>
    </row>
    <row r="1123" spans="20:46" ht="16.8">
      <c r="T1123" s="112"/>
      <c r="U1123" s="113"/>
      <c r="AF1123" s="2"/>
      <c r="AG1123" s="2"/>
      <c r="AS1123"/>
      <c r="AT1123"/>
    </row>
    <row r="1124" spans="20:46" ht="16.8">
      <c r="T1124" s="112"/>
      <c r="U1124" s="113"/>
      <c r="AF1124" s="2"/>
      <c r="AG1124" s="2"/>
      <c r="AS1124"/>
      <c r="AT1124"/>
    </row>
    <row r="1125" spans="20:46" ht="16.8">
      <c r="T1125" s="112"/>
      <c r="U1125" s="113"/>
      <c r="AF1125" s="2"/>
      <c r="AG1125" s="2"/>
      <c r="AS1125"/>
      <c r="AT1125"/>
    </row>
    <row r="1126" spans="20:46" ht="16.8">
      <c r="T1126" s="112"/>
      <c r="U1126" s="113"/>
      <c r="AF1126" s="2"/>
      <c r="AG1126" s="2"/>
      <c r="AS1126"/>
      <c r="AT1126"/>
    </row>
    <row r="1127" spans="20:46" ht="16.8">
      <c r="T1127" s="112"/>
      <c r="U1127" s="113"/>
      <c r="AF1127" s="2"/>
      <c r="AG1127" s="2"/>
      <c r="AS1127"/>
      <c r="AT1127"/>
    </row>
    <row r="1128" spans="20:46" ht="16.8">
      <c r="T1128" s="112"/>
      <c r="U1128" s="113"/>
      <c r="AF1128" s="2"/>
      <c r="AG1128" s="2"/>
      <c r="AS1128"/>
      <c r="AT1128"/>
    </row>
    <row r="1129" spans="20:46" ht="16.8">
      <c r="T1129" s="112"/>
      <c r="U1129" s="113"/>
      <c r="AF1129" s="2"/>
      <c r="AG1129" s="2"/>
      <c r="AS1129"/>
      <c r="AT1129"/>
    </row>
    <row r="1130" spans="20:46" ht="16.8">
      <c r="T1130" s="112"/>
      <c r="U1130" s="113"/>
      <c r="AF1130" s="2"/>
      <c r="AG1130" s="2"/>
      <c r="AS1130"/>
      <c r="AT1130"/>
    </row>
    <row r="1131" spans="20:46" ht="16.8">
      <c r="T1131" s="112"/>
      <c r="U1131" s="113"/>
      <c r="AF1131" s="2"/>
      <c r="AG1131" s="2"/>
      <c r="AS1131"/>
      <c r="AT1131"/>
    </row>
    <row r="1132" spans="20:46" ht="16.8">
      <c r="T1132" s="112"/>
      <c r="U1132" s="113"/>
      <c r="AF1132" s="2"/>
      <c r="AG1132" s="2"/>
      <c r="AS1132"/>
      <c r="AT1132"/>
    </row>
    <row r="1133" spans="20:46" ht="16.8">
      <c r="T1133" s="112"/>
      <c r="U1133" s="113"/>
      <c r="AF1133" s="2"/>
      <c r="AG1133" s="2"/>
      <c r="AS1133"/>
      <c r="AT1133"/>
    </row>
    <row r="1134" spans="20:46" ht="16.8">
      <c r="T1134" s="112"/>
      <c r="U1134" s="113"/>
      <c r="AF1134" s="2"/>
      <c r="AG1134" s="2"/>
      <c r="AS1134"/>
      <c r="AT1134"/>
    </row>
    <row r="1135" spans="20:46" ht="16.8">
      <c r="T1135" s="112"/>
      <c r="U1135" s="113"/>
      <c r="AF1135" s="2"/>
      <c r="AG1135" s="2"/>
      <c r="AS1135"/>
      <c r="AT1135"/>
    </row>
    <row r="1136" spans="20:46" ht="16.8">
      <c r="T1136" s="112"/>
      <c r="U1136" s="113"/>
      <c r="AF1136" s="2"/>
      <c r="AG1136" s="2"/>
      <c r="AS1136"/>
      <c r="AT1136"/>
    </row>
    <row r="1137" spans="20:46" ht="16.8">
      <c r="T1137" s="112"/>
      <c r="U1137" s="113"/>
      <c r="AF1137" s="2"/>
      <c r="AG1137" s="2"/>
      <c r="AS1137"/>
      <c r="AT1137"/>
    </row>
    <row r="1138" spans="20:46" ht="16.8">
      <c r="T1138" s="112"/>
      <c r="U1138" s="113"/>
      <c r="AF1138" s="2"/>
      <c r="AG1138" s="2"/>
      <c r="AS1138"/>
      <c r="AT1138"/>
    </row>
    <row r="1139" spans="20:46" ht="16.8">
      <c r="T1139" s="112"/>
      <c r="U1139" s="113"/>
      <c r="AF1139" s="2"/>
      <c r="AG1139" s="2"/>
      <c r="AS1139"/>
      <c r="AT1139"/>
    </row>
    <row r="1140" spans="20:46" ht="16.8">
      <c r="T1140" s="112"/>
      <c r="U1140" s="113"/>
      <c r="AF1140" s="2"/>
      <c r="AG1140" s="2"/>
      <c r="AS1140"/>
      <c r="AT1140"/>
    </row>
    <row r="1141" spans="20:46" ht="16.8">
      <c r="T1141" s="112"/>
      <c r="U1141" s="113"/>
      <c r="AF1141" s="2"/>
      <c r="AG1141" s="2"/>
      <c r="AS1141"/>
      <c r="AT1141"/>
    </row>
    <row r="1142" spans="20:46" ht="16.8">
      <c r="T1142" s="112"/>
      <c r="U1142" s="113"/>
      <c r="AF1142" s="2"/>
      <c r="AG1142" s="2"/>
      <c r="AS1142"/>
      <c r="AT1142"/>
    </row>
    <row r="1143" spans="20:46" ht="16.8">
      <c r="T1143" s="112"/>
      <c r="U1143" s="113"/>
      <c r="AF1143" s="2"/>
      <c r="AG1143" s="2"/>
      <c r="AS1143"/>
      <c r="AT1143"/>
    </row>
    <row r="1144" spans="20:46" ht="16.8">
      <c r="T1144" s="112"/>
      <c r="U1144" s="113"/>
      <c r="AF1144" s="2"/>
      <c r="AG1144" s="2"/>
      <c r="AS1144"/>
      <c r="AT1144"/>
    </row>
    <row r="1145" spans="20:46" ht="16.8">
      <c r="T1145" s="112"/>
      <c r="U1145" s="113"/>
      <c r="AF1145" s="2"/>
      <c r="AG1145" s="2"/>
      <c r="AS1145"/>
      <c r="AT1145"/>
    </row>
    <row r="1146" spans="20:46" ht="16.8">
      <c r="T1146" s="112"/>
      <c r="U1146" s="113"/>
      <c r="AF1146" s="2"/>
      <c r="AG1146" s="2"/>
      <c r="AS1146"/>
      <c r="AT1146"/>
    </row>
    <row r="1147" spans="20:46" ht="16.8">
      <c r="T1147" s="112"/>
      <c r="U1147" s="113"/>
      <c r="AF1147" s="2"/>
      <c r="AG1147" s="2"/>
      <c r="AS1147"/>
      <c r="AT1147"/>
    </row>
    <row r="1148" spans="20:46" ht="16.8">
      <c r="T1148" s="112"/>
      <c r="U1148" s="113"/>
      <c r="AF1148" s="2"/>
      <c r="AG1148" s="2"/>
      <c r="AS1148"/>
      <c r="AT1148"/>
    </row>
    <row r="1149" spans="20:46" ht="16.8">
      <c r="T1149" s="112"/>
      <c r="U1149" s="113"/>
      <c r="AF1149" s="2"/>
      <c r="AG1149" s="2"/>
      <c r="AS1149"/>
      <c r="AT1149"/>
    </row>
    <row r="1150" spans="20:46" ht="16.8">
      <c r="T1150" s="112"/>
      <c r="U1150" s="113"/>
      <c r="AF1150" s="2"/>
      <c r="AG1150" s="2"/>
      <c r="AS1150"/>
      <c r="AT1150"/>
    </row>
    <row r="1151" spans="20:46" ht="16.8">
      <c r="T1151" s="112"/>
      <c r="U1151" s="113"/>
      <c r="AF1151" s="2"/>
      <c r="AG1151" s="2"/>
      <c r="AS1151"/>
      <c r="AT1151"/>
    </row>
    <row r="1152" spans="20:46" ht="16.8">
      <c r="T1152" s="112"/>
      <c r="U1152" s="113"/>
      <c r="AF1152" s="2"/>
      <c r="AG1152" s="2"/>
      <c r="AS1152"/>
      <c r="AT1152"/>
    </row>
    <row r="1153" spans="20:46" ht="16.8">
      <c r="T1153" s="112"/>
      <c r="U1153" s="113"/>
      <c r="AF1153" s="2"/>
      <c r="AG1153" s="2"/>
      <c r="AS1153"/>
      <c r="AT1153"/>
    </row>
    <row r="1154" spans="20:46" ht="16.8">
      <c r="T1154" s="112"/>
      <c r="U1154" s="113"/>
      <c r="AF1154" s="2"/>
      <c r="AG1154" s="2"/>
      <c r="AS1154"/>
      <c r="AT1154"/>
    </row>
    <row r="1155" spans="20:46" ht="16.8">
      <c r="T1155" s="112"/>
      <c r="U1155" s="113"/>
      <c r="AF1155" s="2"/>
      <c r="AG1155" s="2"/>
      <c r="AS1155"/>
      <c r="AT1155"/>
    </row>
    <row r="1156" spans="20:46" ht="16.8">
      <c r="T1156" s="112"/>
      <c r="U1156" s="113"/>
      <c r="AF1156" s="2"/>
      <c r="AG1156" s="2"/>
      <c r="AS1156"/>
      <c r="AT1156"/>
    </row>
    <row r="1157" spans="20:46" ht="16.8">
      <c r="T1157" s="112"/>
      <c r="U1157" s="113"/>
      <c r="AF1157" s="2"/>
      <c r="AG1157" s="2"/>
      <c r="AS1157"/>
      <c r="AT1157"/>
    </row>
    <row r="1158" spans="20:46" ht="16.8">
      <c r="T1158" s="112"/>
      <c r="U1158" s="113"/>
      <c r="AF1158" s="2"/>
      <c r="AG1158" s="2"/>
      <c r="AS1158"/>
      <c r="AT1158"/>
    </row>
    <row r="1159" spans="20:46" ht="16.8">
      <c r="T1159" s="112"/>
      <c r="U1159" s="113"/>
      <c r="AF1159" s="2"/>
      <c r="AG1159" s="2"/>
      <c r="AS1159"/>
      <c r="AT1159"/>
    </row>
    <row r="1160" spans="20:46" ht="16.8">
      <c r="T1160" s="112"/>
      <c r="U1160" s="113"/>
      <c r="AF1160" s="2"/>
      <c r="AG1160" s="2"/>
      <c r="AS1160"/>
      <c r="AT1160"/>
    </row>
    <row r="1161" spans="20:46" ht="16.8">
      <c r="T1161" s="112"/>
      <c r="U1161" s="113"/>
      <c r="AF1161" s="2"/>
      <c r="AG1161" s="2"/>
      <c r="AS1161"/>
      <c r="AT1161"/>
    </row>
    <row r="1162" spans="20:46" ht="16.8">
      <c r="T1162" s="112"/>
      <c r="U1162" s="113"/>
      <c r="AF1162" s="2"/>
      <c r="AG1162" s="2"/>
      <c r="AS1162"/>
      <c r="AT1162"/>
    </row>
    <row r="1163" spans="20:46" ht="16.8">
      <c r="T1163" s="112"/>
      <c r="U1163" s="113"/>
      <c r="AF1163" s="2"/>
      <c r="AG1163" s="2"/>
      <c r="AS1163"/>
      <c r="AT1163"/>
    </row>
    <row r="1164" spans="20:46" ht="16.8">
      <c r="T1164" s="112"/>
      <c r="U1164" s="113"/>
      <c r="AF1164" s="2"/>
      <c r="AG1164" s="2"/>
      <c r="AS1164"/>
      <c r="AT1164"/>
    </row>
    <row r="1165" spans="20:46" ht="16.8">
      <c r="T1165" s="112"/>
      <c r="U1165" s="113"/>
      <c r="AF1165" s="2"/>
      <c r="AG1165" s="2"/>
      <c r="AS1165"/>
      <c r="AT1165"/>
    </row>
    <row r="1166" spans="20:46" ht="16.8">
      <c r="T1166" s="112"/>
      <c r="U1166" s="113"/>
      <c r="AF1166" s="2"/>
      <c r="AG1166" s="2"/>
      <c r="AS1166"/>
      <c r="AT1166"/>
    </row>
    <row r="1167" spans="20:46" ht="16.8">
      <c r="T1167" s="112"/>
      <c r="U1167" s="113"/>
      <c r="AF1167" s="2"/>
      <c r="AG1167" s="2"/>
      <c r="AS1167"/>
      <c r="AT1167"/>
    </row>
    <row r="1168" spans="20:46" ht="16.8">
      <c r="T1168" s="112"/>
      <c r="U1168" s="113"/>
      <c r="AF1168" s="2"/>
      <c r="AG1168" s="2"/>
      <c r="AS1168"/>
      <c r="AT1168"/>
    </row>
    <row r="1169" spans="20:46" ht="16.8">
      <c r="T1169" s="112"/>
      <c r="U1169" s="113"/>
      <c r="AF1169" s="2"/>
      <c r="AG1169" s="2"/>
      <c r="AS1169"/>
      <c r="AT1169"/>
    </row>
    <row r="1170" spans="20:46" ht="16.8">
      <c r="T1170" s="112"/>
      <c r="U1170" s="113"/>
      <c r="AF1170" s="2"/>
      <c r="AG1170" s="2"/>
      <c r="AS1170"/>
      <c r="AT1170"/>
    </row>
    <row r="1171" spans="20:46" ht="16.8">
      <c r="T1171" s="112"/>
      <c r="U1171" s="113"/>
      <c r="AF1171" s="2"/>
      <c r="AG1171" s="2"/>
      <c r="AS1171"/>
      <c r="AT1171"/>
    </row>
    <row r="1172" spans="20:46" ht="16.8">
      <c r="T1172" s="112"/>
      <c r="U1172" s="113"/>
      <c r="AF1172" s="2"/>
      <c r="AG1172" s="2"/>
      <c r="AS1172"/>
      <c r="AT1172"/>
    </row>
    <row r="1173" spans="20:46" ht="16.8">
      <c r="T1173" s="112"/>
      <c r="U1173" s="113"/>
      <c r="AF1173" s="2"/>
      <c r="AG1173" s="2"/>
      <c r="AS1173"/>
      <c r="AT1173"/>
    </row>
    <row r="1174" spans="20:46" ht="16.8">
      <c r="T1174" s="112"/>
      <c r="U1174" s="113"/>
      <c r="AF1174" s="2"/>
      <c r="AG1174" s="2"/>
      <c r="AS1174"/>
      <c r="AT1174"/>
    </row>
    <row r="1175" spans="20:46" ht="16.8">
      <c r="T1175" s="112"/>
      <c r="U1175" s="113"/>
      <c r="AF1175" s="2"/>
      <c r="AG1175" s="2"/>
      <c r="AS1175"/>
      <c r="AT1175"/>
    </row>
    <row r="1176" spans="20:46" ht="16.8">
      <c r="T1176" s="112"/>
      <c r="U1176" s="113"/>
      <c r="AF1176" s="2"/>
      <c r="AG1176" s="2"/>
      <c r="AS1176"/>
      <c r="AT1176"/>
    </row>
    <row r="1177" spans="20:46" ht="16.8">
      <c r="T1177" s="112"/>
      <c r="U1177" s="113"/>
      <c r="AF1177" s="2"/>
      <c r="AG1177" s="2"/>
      <c r="AS1177"/>
      <c r="AT1177"/>
    </row>
    <row r="1178" spans="20:46" ht="16.8">
      <c r="T1178" s="112"/>
      <c r="U1178" s="113"/>
      <c r="AF1178" s="2"/>
      <c r="AG1178" s="2"/>
      <c r="AS1178"/>
      <c r="AT1178"/>
    </row>
    <row r="1179" spans="20:46" ht="16.8">
      <c r="T1179" s="112"/>
      <c r="U1179" s="113"/>
      <c r="AF1179" s="2"/>
      <c r="AG1179" s="2"/>
      <c r="AS1179"/>
      <c r="AT1179"/>
    </row>
    <row r="1180" spans="20:46" ht="16.8">
      <c r="T1180" s="112"/>
      <c r="U1180" s="113"/>
      <c r="AF1180" s="2"/>
      <c r="AG1180" s="2"/>
      <c r="AS1180"/>
      <c r="AT1180"/>
    </row>
    <row r="1181" spans="20:46" ht="16.8">
      <c r="T1181" s="112"/>
      <c r="U1181" s="113"/>
      <c r="AF1181" s="2"/>
      <c r="AG1181" s="2"/>
      <c r="AS1181"/>
      <c r="AT1181"/>
    </row>
    <row r="1182" spans="20:46" ht="16.8">
      <c r="T1182" s="112"/>
      <c r="U1182" s="113"/>
      <c r="AF1182" s="2"/>
      <c r="AG1182" s="2"/>
      <c r="AS1182"/>
      <c r="AT1182"/>
    </row>
    <row r="1183" spans="20:46" ht="16.8">
      <c r="T1183" s="112"/>
      <c r="U1183" s="113"/>
      <c r="AF1183" s="2"/>
      <c r="AG1183" s="2"/>
      <c r="AS1183"/>
      <c r="AT1183"/>
    </row>
    <row r="1184" spans="20:46" ht="16.8">
      <c r="T1184" s="112"/>
      <c r="U1184" s="113"/>
      <c r="AF1184" s="2"/>
      <c r="AG1184" s="2"/>
      <c r="AS1184"/>
      <c r="AT1184"/>
    </row>
    <row r="1185" spans="20:46" ht="16.8">
      <c r="T1185" s="112"/>
      <c r="U1185" s="113"/>
      <c r="AF1185" s="2"/>
      <c r="AG1185" s="2"/>
      <c r="AS1185"/>
      <c r="AT1185"/>
    </row>
    <row r="1186" spans="20:46" ht="16.8">
      <c r="T1186" s="112"/>
      <c r="U1186" s="113"/>
      <c r="AF1186" s="2"/>
      <c r="AG1186" s="2"/>
      <c r="AS1186"/>
      <c r="AT1186"/>
    </row>
    <row r="1187" spans="20:46" ht="16.8">
      <c r="T1187" s="112"/>
      <c r="U1187" s="113"/>
      <c r="AF1187" s="2"/>
      <c r="AG1187" s="2"/>
      <c r="AS1187"/>
      <c r="AT1187"/>
    </row>
    <row r="1188" spans="20:46" ht="16.8">
      <c r="T1188" s="112"/>
      <c r="U1188" s="113"/>
      <c r="AF1188" s="2"/>
      <c r="AG1188" s="2"/>
      <c r="AS1188"/>
      <c r="AT1188"/>
    </row>
    <row r="1189" spans="20:46" ht="16.8">
      <c r="T1189" s="112"/>
      <c r="U1189" s="113"/>
      <c r="AF1189" s="2"/>
      <c r="AG1189" s="2"/>
      <c r="AS1189"/>
      <c r="AT1189"/>
    </row>
    <row r="1190" spans="20:46" ht="16.8">
      <c r="T1190" s="112"/>
      <c r="U1190" s="113"/>
      <c r="AF1190" s="2"/>
      <c r="AG1190" s="2"/>
      <c r="AS1190"/>
      <c r="AT1190"/>
    </row>
    <row r="1191" spans="20:46" ht="16.8">
      <c r="T1191" s="112"/>
      <c r="U1191" s="113"/>
      <c r="AF1191" s="2"/>
      <c r="AG1191" s="2"/>
      <c r="AS1191"/>
      <c r="AT1191"/>
    </row>
    <row r="1192" spans="20:46" ht="16.8">
      <c r="T1192" s="112"/>
      <c r="U1192" s="113"/>
      <c r="AF1192" s="2"/>
      <c r="AG1192" s="2"/>
      <c r="AS1192"/>
      <c r="AT1192"/>
    </row>
    <row r="1193" spans="20:46" ht="16.8">
      <c r="T1193" s="112"/>
      <c r="U1193" s="113"/>
      <c r="AF1193" s="2"/>
      <c r="AG1193" s="2"/>
      <c r="AS1193"/>
      <c r="AT1193"/>
    </row>
    <row r="1194" spans="20:46" ht="16.8">
      <c r="T1194" s="112"/>
      <c r="U1194" s="113"/>
      <c r="AF1194" s="2"/>
      <c r="AG1194" s="2"/>
      <c r="AS1194"/>
      <c r="AT1194"/>
    </row>
    <row r="1195" spans="20:46" ht="16.8">
      <c r="T1195" s="112"/>
      <c r="U1195" s="113"/>
      <c r="AF1195" s="2"/>
      <c r="AG1195" s="2"/>
      <c r="AS1195"/>
      <c r="AT1195"/>
    </row>
    <row r="1196" spans="20:46" ht="16.8">
      <c r="T1196" s="112"/>
      <c r="U1196" s="113"/>
      <c r="AF1196" s="2"/>
      <c r="AG1196" s="2"/>
      <c r="AS1196"/>
      <c r="AT1196"/>
    </row>
    <row r="1197" spans="20:46" ht="16.8">
      <c r="T1197" s="112"/>
      <c r="U1197" s="113"/>
      <c r="AF1197" s="2"/>
      <c r="AG1197" s="2"/>
      <c r="AS1197"/>
      <c r="AT1197"/>
    </row>
    <row r="1198" spans="20:46" ht="16.8">
      <c r="T1198" s="112"/>
      <c r="U1198" s="113"/>
      <c r="AF1198" s="2"/>
      <c r="AG1198" s="2"/>
      <c r="AS1198"/>
      <c r="AT1198"/>
    </row>
    <row r="1199" spans="20:46" ht="16.8">
      <c r="T1199" s="112"/>
      <c r="U1199" s="113"/>
      <c r="AF1199" s="2"/>
      <c r="AG1199" s="2"/>
      <c r="AS1199"/>
      <c r="AT1199"/>
    </row>
    <row r="1200" spans="20:46" ht="16.8">
      <c r="T1200" s="112"/>
      <c r="U1200" s="113"/>
      <c r="AF1200" s="2"/>
      <c r="AG1200" s="2"/>
      <c r="AS1200"/>
      <c r="AT1200"/>
    </row>
    <row r="1201" spans="20:46" ht="16.8">
      <c r="T1201" s="112"/>
      <c r="U1201" s="113"/>
      <c r="AF1201" s="2"/>
      <c r="AG1201" s="2"/>
      <c r="AS1201"/>
      <c r="AT1201"/>
    </row>
    <row r="1202" spans="20:46" ht="16.8">
      <c r="T1202" s="112"/>
      <c r="U1202" s="113"/>
      <c r="AF1202" s="2"/>
      <c r="AG1202" s="2"/>
      <c r="AS1202"/>
      <c r="AT1202"/>
    </row>
    <row r="1203" spans="20:46" ht="16.8">
      <c r="T1203" s="112"/>
      <c r="U1203" s="113"/>
      <c r="AF1203" s="2"/>
      <c r="AG1203" s="2"/>
      <c r="AS1203"/>
      <c r="AT1203"/>
    </row>
    <row r="1204" spans="20:46" ht="16.8">
      <c r="T1204" s="112"/>
      <c r="U1204" s="113"/>
      <c r="AF1204" s="2"/>
      <c r="AG1204" s="2"/>
      <c r="AS1204"/>
      <c r="AT1204"/>
    </row>
    <row r="1205" spans="20:46" ht="16.8">
      <c r="T1205" s="112"/>
      <c r="U1205" s="113"/>
      <c r="AF1205" s="2"/>
      <c r="AG1205" s="2"/>
      <c r="AS1205"/>
      <c r="AT1205"/>
    </row>
    <row r="1206" spans="20:46" ht="16.8">
      <c r="T1206" s="112"/>
      <c r="U1206" s="113"/>
      <c r="AF1206" s="2"/>
      <c r="AG1206" s="2"/>
      <c r="AS1206"/>
      <c r="AT1206"/>
    </row>
    <row r="1207" spans="20:46" ht="16.8">
      <c r="T1207" s="112"/>
      <c r="U1207" s="113"/>
      <c r="AF1207" s="2"/>
      <c r="AG1207" s="2"/>
      <c r="AS1207"/>
      <c r="AT1207"/>
    </row>
    <row r="1208" spans="20:46" ht="16.8">
      <c r="T1208" s="112"/>
      <c r="U1208" s="113"/>
      <c r="AF1208" s="2"/>
      <c r="AG1208" s="2"/>
      <c r="AS1208"/>
      <c r="AT1208"/>
    </row>
    <row r="1209" spans="20:46" ht="16.8">
      <c r="T1209" s="112"/>
      <c r="U1209" s="113"/>
      <c r="AF1209" s="2"/>
      <c r="AG1209" s="2"/>
      <c r="AS1209"/>
      <c r="AT1209"/>
    </row>
    <row r="1210" spans="20:46" ht="16.8">
      <c r="T1210" s="112"/>
      <c r="U1210" s="113"/>
      <c r="AF1210" s="2"/>
      <c r="AG1210" s="2"/>
      <c r="AS1210"/>
      <c r="AT1210"/>
    </row>
    <row r="1211" spans="20:46" ht="16.8">
      <c r="T1211" s="112"/>
      <c r="U1211" s="113"/>
      <c r="AF1211" s="2"/>
      <c r="AG1211" s="2"/>
      <c r="AS1211"/>
      <c r="AT1211"/>
    </row>
    <row r="1212" spans="20:46" ht="16.8">
      <c r="T1212" s="112"/>
      <c r="U1212" s="113"/>
      <c r="AF1212" s="2"/>
      <c r="AG1212" s="2"/>
      <c r="AS1212"/>
      <c r="AT1212"/>
    </row>
    <row r="1213" spans="20:46" ht="16.8">
      <c r="T1213" s="112"/>
      <c r="U1213" s="113"/>
      <c r="AF1213" s="2"/>
      <c r="AG1213" s="2"/>
      <c r="AS1213"/>
      <c r="AT1213"/>
    </row>
    <row r="1214" spans="20:46" ht="16.8">
      <c r="T1214" s="112"/>
      <c r="U1214" s="113"/>
      <c r="AF1214" s="2"/>
      <c r="AG1214" s="2"/>
      <c r="AS1214"/>
      <c r="AT1214"/>
    </row>
    <row r="1215" spans="20:46" ht="16.8">
      <c r="T1215" s="112"/>
      <c r="U1215" s="113"/>
      <c r="AF1215" s="2"/>
      <c r="AG1215" s="2"/>
      <c r="AS1215"/>
      <c r="AT1215"/>
    </row>
    <row r="1216" spans="20:46" ht="16.8">
      <c r="T1216" s="112"/>
      <c r="U1216" s="113"/>
      <c r="AF1216" s="2"/>
      <c r="AG1216" s="2"/>
      <c r="AS1216"/>
      <c r="AT1216"/>
    </row>
    <row r="1217" spans="20:46" ht="16.8">
      <c r="T1217" s="112"/>
      <c r="U1217" s="113"/>
      <c r="AF1217" s="2"/>
      <c r="AG1217" s="2"/>
      <c r="AS1217"/>
      <c r="AT1217"/>
    </row>
    <row r="1218" spans="20:46" ht="16.8">
      <c r="T1218" s="112"/>
      <c r="U1218" s="113"/>
      <c r="AF1218" s="2"/>
      <c r="AG1218" s="2"/>
      <c r="AS1218"/>
      <c r="AT1218"/>
    </row>
    <row r="1219" spans="20:46" ht="16.8">
      <c r="T1219" s="112"/>
      <c r="U1219" s="113"/>
      <c r="AF1219" s="2"/>
      <c r="AG1219" s="2"/>
      <c r="AS1219"/>
      <c r="AT1219"/>
    </row>
    <row r="1220" spans="20:46" ht="16.8">
      <c r="T1220" s="112"/>
      <c r="U1220" s="113"/>
      <c r="AF1220" s="2"/>
      <c r="AG1220" s="2"/>
      <c r="AS1220"/>
      <c r="AT1220"/>
    </row>
    <row r="1221" spans="20:46" ht="16.8">
      <c r="T1221" s="112"/>
      <c r="U1221" s="113"/>
      <c r="AF1221" s="2"/>
      <c r="AG1221" s="2"/>
      <c r="AS1221"/>
      <c r="AT1221"/>
    </row>
    <row r="1222" spans="20:46" ht="16.8">
      <c r="T1222" s="112"/>
      <c r="U1222" s="113"/>
      <c r="AF1222" s="2"/>
      <c r="AG1222" s="2"/>
      <c r="AS1222"/>
      <c r="AT1222"/>
    </row>
    <row r="1223" spans="20:46" ht="16.8">
      <c r="T1223" s="112"/>
      <c r="U1223" s="113"/>
      <c r="AF1223" s="2"/>
      <c r="AG1223" s="2"/>
      <c r="AS1223"/>
      <c r="AT1223"/>
    </row>
    <row r="1224" spans="20:46" ht="16.8">
      <c r="T1224" s="112"/>
      <c r="U1224" s="113"/>
      <c r="AF1224" s="2"/>
      <c r="AG1224" s="2"/>
      <c r="AS1224"/>
      <c r="AT1224"/>
    </row>
    <row r="1225" spans="20:46" ht="16.8">
      <c r="T1225" s="112"/>
      <c r="U1225" s="113"/>
      <c r="AF1225" s="2"/>
      <c r="AG1225" s="2"/>
      <c r="AS1225"/>
      <c r="AT1225"/>
    </row>
    <row r="1226" spans="20:46" ht="16.8">
      <c r="T1226" s="112"/>
      <c r="U1226" s="113"/>
      <c r="AF1226" s="2"/>
      <c r="AG1226" s="2"/>
      <c r="AS1226"/>
      <c r="AT1226"/>
    </row>
    <row r="1227" spans="20:46" ht="16.8">
      <c r="T1227" s="112"/>
      <c r="U1227" s="113"/>
      <c r="AF1227" s="2"/>
      <c r="AG1227" s="2"/>
      <c r="AS1227"/>
      <c r="AT1227"/>
    </row>
    <row r="1228" spans="20:46" ht="16.8">
      <c r="T1228" s="112"/>
      <c r="U1228" s="113"/>
      <c r="AF1228" s="2"/>
      <c r="AG1228" s="2"/>
      <c r="AS1228"/>
      <c r="AT1228"/>
    </row>
    <row r="1229" spans="20:46" ht="16.8">
      <c r="T1229" s="112"/>
      <c r="U1229" s="113"/>
      <c r="AF1229" s="2"/>
      <c r="AG1229" s="2"/>
      <c r="AS1229"/>
      <c r="AT1229"/>
    </row>
    <row r="1230" spans="20:46" ht="16.8">
      <c r="T1230" s="112"/>
      <c r="U1230" s="113"/>
      <c r="AF1230" s="2"/>
      <c r="AG1230" s="2"/>
      <c r="AS1230"/>
      <c r="AT1230"/>
    </row>
    <row r="1231" spans="20:46" ht="16.8">
      <c r="T1231" s="112"/>
      <c r="U1231" s="113"/>
      <c r="AF1231" s="2"/>
      <c r="AG1231" s="2"/>
      <c r="AS1231"/>
      <c r="AT1231"/>
    </row>
    <row r="1232" spans="20:46" ht="16.8">
      <c r="T1232" s="112"/>
      <c r="U1232" s="113"/>
      <c r="AF1232" s="2"/>
      <c r="AG1232" s="2"/>
      <c r="AS1232"/>
      <c r="AT1232"/>
    </row>
    <row r="1233" spans="20:46" ht="16.8">
      <c r="T1233" s="112"/>
      <c r="U1233" s="113"/>
      <c r="AF1233" s="2"/>
      <c r="AG1233" s="2"/>
      <c r="AS1233"/>
      <c r="AT1233"/>
    </row>
    <row r="1234" spans="20:46" ht="16.8">
      <c r="T1234" s="112"/>
      <c r="U1234" s="113"/>
      <c r="AF1234" s="2"/>
      <c r="AG1234" s="2"/>
      <c r="AS1234"/>
      <c r="AT1234"/>
    </row>
    <row r="1235" spans="20:46" ht="16.8">
      <c r="T1235" s="112"/>
      <c r="U1235" s="113"/>
      <c r="AF1235" s="2"/>
      <c r="AG1235" s="2"/>
      <c r="AS1235"/>
      <c r="AT1235"/>
    </row>
    <row r="1236" spans="20:46" ht="16.8">
      <c r="T1236" s="112"/>
      <c r="U1236" s="113"/>
      <c r="AF1236" s="2"/>
      <c r="AG1236" s="2"/>
      <c r="AS1236"/>
      <c r="AT1236"/>
    </row>
    <row r="1237" spans="20:46" ht="16.8">
      <c r="T1237" s="112"/>
      <c r="U1237" s="113"/>
      <c r="AF1237" s="2"/>
      <c r="AG1237" s="2"/>
      <c r="AS1237"/>
      <c r="AT1237"/>
    </row>
    <row r="1238" spans="20:46" ht="16.8">
      <c r="T1238" s="112"/>
      <c r="U1238" s="113"/>
      <c r="AF1238" s="2"/>
      <c r="AG1238" s="2"/>
      <c r="AS1238"/>
      <c r="AT1238"/>
    </row>
    <row r="1239" spans="20:46" ht="16.8">
      <c r="T1239" s="112"/>
      <c r="U1239" s="113"/>
      <c r="AF1239" s="2"/>
      <c r="AG1239" s="2"/>
      <c r="AS1239"/>
      <c r="AT1239"/>
    </row>
    <row r="1240" spans="20:46" ht="16.8">
      <c r="T1240" s="112"/>
      <c r="U1240" s="113"/>
      <c r="AF1240" s="2"/>
      <c r="AG1240" s="2"/>
      <c r="AS1240"/>
      <c r="AT1240"/>
    </row>
    <row r="1241" spans="20:46" ht="16.8">
      <c r="T1241" s="112"/>
      <c r="U1241" s="113"/>
      <c r="AF1241" s="2"/>
      <c r="AG1241" s="2"/>
      <c r="AS1241"/>
      <c r="AT1241"/>
    </row>
    <row r="1242" spans="20:46" ht="16.8">
      <c r="T1242" s="112"/>
      <c r="U1242" s="113"/>
      <c r="AF1242" s="2"/>
      <c r="AG1242" s="2"/>
      <c r="AS1242"/>
      <c r="AT1242"/>
    </row>
    <row r="1243" spans="20:46" ht="16.8">
      <c r="T1243" s="112"/>
      <c r="U1243" s="113"/>
      <c r="AF1243" s="2"/>
      <c r="AG1243" s="2"/>
      <c r="AS1243"/>
      <c r="AT1243"/>
    </row>
    <row r="1244" spans="20:46" ht="16.8">
      <c r="T1244" s="112"/>
      <c r="U1244" s="113"/>
      <c r="AF1244" s="2"/>
      <c r="AG1244" s="2"/>
      <c r="AS1244"/>
      <c r="AT1244"/>
    </row>
    <row r="1245" spans="20:46" ht="16.8">
      <c r="T1245" s="112"/>
      <c r="U1245" s="113"/>
      <c r="AF1245" s="2"/>
      <c r="AG1245" s="2"/>
      <c r="AS1245"/>
      <c r="AT1245"/>
    </row>
    <row r="1246" spans="20:46" ht="16.8">
      <c r="T1246" s="112"/>
      <c r="U1246" s="113"/>
      <c r="AF1246" s="2"/>
      <c r="AG1246" s="2"/>
      <c r="AS1246"/>
      <c r="AT1246"/>
    </row>
    <row r="1247" spans="20:46" ht="16.8">
      <c r="T1247" s="112"/>
      <c r="U1247" s="113"/>
      <c r="AF1247" s="2"/>
      <c r="AG1247" s="2"/>
      <c r="AS1247"/>
      <c r="AT1247"/>
    </row>
    <row r="1248" spans="20:46" ht="16.8">
      <c r="T1248" s="112"/>
      <c r="U1248" s="113"/>
      <c r="AF1248" s="2"/>
      <c r="AG1248" s="2"/>
      <c r="AS1248"/>
      <c r="AT1248"/>
    </row>
    <row r="1249" spans="20:46" ht="16.8">
      <c r="T1249" s="112"/>
      <c r="U1249" s="113"/>
      <c r="AF1249" s="2"/>
      <c r="AG1249" s="2"/>
      <c r="AS1249"/>
      <c r="AT1249"/>
    </row>
    <row r="1250" spans="20:46" ht="16.8">
      <c r="T1250" s="112"/>
      <c r="U1250" s="113"/>
      <c r="AF1250" s="2"/>
      <c r="AG1250" s="2"/>
      <c r="AS1250"/>
      <c r="AT1250"/>
    </row>
    <row r="1251" spans="20:46" ht="16.8">
      <c r="T1251" s="112"/>
      <c r="U1251" s="113"/>
      <c r="AF1251" s="2"/>
      <c r="AG1251" s="2"/>
      <c r="AS1251"/>
      <c r="AT1251"/>
    </row>
    <row r="1252" spans="20:46" ht="16.8">
      <c r="T1252" s="112"/>
      <c r="U1252" s="113"/>
      <c r="AF1252" s="2"/>
      <c r="AG1252" s="2"/>
      <c r="AS1252"/>
      <c r="AT1252"/>
    </row>
    <row r="1253" spans="20:46" ht="16.8">
      <c r="T1253" s="112"/>
      <c r="U1253" s="113"/>
      <c r="AF1253" s="2"/>
      <c r="AG1253" s="2"/>
      <c r="AS1253"/>
      <c r="AT1253"/>
    </row>
    <row r="1254" spans="20:46" ht="16.8">
      <c r="T1254" s="112"/>
      <c r="U1254" s="113"/>
      <c r="AF1254" s="2"/>
      <c r="AG1254" s="2"/>
      <c r="AS1254"/>
      <c r="AT1254"/>
    </row>
    <row r="1255" spans="20:46" ht="16.8">
      <c r="T1255" s="112"/>
      <c r="U1255" s="113"/>
      <c r="AF1255" s="2"/>
      <c r="AG1255" s="2"/>
      <c r="AS1255"/>
      <c r="AT1255"/>
    </row>
    <row r="1256" spans="20:46" ht="16.8">
      <c r="T1256" s="112"/>
      <c r="U1256" s="113"/>
      <c r="AF1256" s="2"/>
      <c r="AG1256" s="2"/>
      <c r="AS1256"/>
      <c r="AT1256"/>
    </row>
    <row r="1257" spans="20:46" ht="16.8">
      <c r="T1257" s="112"/>
      <c r="U1257" s="113"/>
      <c r="AF1257" s="2"/>
      <c r="AG1257" s="2"/>
      <c r="AS1257"/>
      <c r="AT1257"/>
    </row>
    <row r="1258" spans="20:46" ht="16.8">
      <c r="T1258" s="112"/>
      <c r="U1258" s="113"/>
      <c r="AF1258" s="2"/>
      <c r="AG1258" s="2"/>
      <c r="AS1258"/>
      <c r="AT1258"/>
    </row>
    <row r="1259" spans="20:46" ht="16.8">
      <c r="T1259" s="112"/>
      <c r="U1259" s="113"/>
      <c r="AF1259" s="2"/>
      <c r="AG1259" s="2"/>
      <c r="AS1259"/>
      <c r="AT1259"/>
    </row>
    <row r="1260" spans="20:46" ht="16.8">
      <c r="T1260" s="112"/>
      <c r="U1260" s="113"/>
      <c r="AF1260" s="2"/>
      <c r="AG1260" s="2"/>
      <c r="AS1260"/>
      <c r="AT1260"/>
    </row>
    <row r="1261" spans="20:46" ht="16.8">
      <c r="T1261" s="112"/>
      <c r="U1261" s="113"/>
      <c r="AF1261" s="2"/>
      <c r="AG1261" s="2"/>
      <c r="AS1261"/>
      <c r="AT1261"/>
    </row>
    <row r="1262" spans="20:46" ht="16.8">
      <c r="T1262" s="112"/>
      <c r="U1262" s="113"/>
      <c r="AF1262" s="2"/>
      <c r="AG1262" s="2"/>
      <c r="AS1262"/>
      <c r="AT1262"/>
    </row>
    <row r="1263" spans="20:46" ht="16.8">
      <c r="T1263" s="112"/>
      <c r="U1263" s="113"/>
      <c r="AF1263" s="2"/>
      <c r="AG1263" s="2"/>
      <c r="AS1263"/>
      <c r="AT1263"/>
    </row>
    <row r="1264" spans="20:46" ht="16.8">
      <c r="T1264" s="112"/>
      <c r="U1264" s="113"/>
      <c r="AF1264" s="2"/>
      <c r="AG1264" s="2"/>
      <c r="AS1264"/>
      <c r="AT1264"/>
    </row>
    <row r="1265" spans="20:46" ht="16.8">
      <c r="T1265" s="112"/>
      <c r="U1265" s="113"/>
      <c r="AF1265" s="2"/>
      <c r="AG1265" s="2"/>
      <c r="AS1265"/>
      <c r="AT1265"/>
    </row>
    <row r="1266" spans="20:46" ht="16.8">
      <c r="T1266" s="112"/>
      <c r="U1266" s="113"/>
      <c r="AF1266" s="2"/>
      <c r="AG1266" s="2"/>
      <c r="AS1266"/>
      <c r="AT1266"/>
    </row>
    <row r="1267" spans="20:46" ht="16.8">
      <c r="T1267" s="112"/>
      <c r="U1267" s="113"/>
      <c r="AF1267" s="2"/>
      <c r="AG1267" s="2"/>
      <c r="AS1267"/>
      <c r="AT1267"/>
    </row>
    <row r="1268" spans="20:46" ht="16.8">
      <c r="T1268" s="112"/>
      <c r="U1268" s="113"/>
      <c r="AF1268" s="2"/>
      <c r="AG1268" s="2"/>
      <c r="AS1268"/>
      <c r="AT1268"/>
    </row>
    <row r="1269" spans="20:46" ht="16.8">
      <c r="T1269" s="112"/>
      <c r="U1269" s="113"/>
      <c r="AF1269" s="2"/>
      <c r="AG1269" s="2"/>
      <c r="AS1269"/>
      <c r="AT1269"/>
    </row>
    <row r="1270" spans="20:46" ht="16.8">
      <c r="T1270" s="112"/>
      <c r="U1270" s="113"/>
      <c r="AF1270" s="2"/>
      <c r="AG1270" s="2"/>
      <c r="AS1270"/>
      <c r="AT1270"/>
    </row>
    <row r="1271" spans="20:46" ht="16.8">
      <c r="T1271" s="112"/>
      <c r="U1271" s="113"/>
      <c r="AF1271" s="2"/>
      <c r="AG1271" s="2"/>
      <c r="AS1271"/>
      <c r="AT1271"/>
    </row>
    <row r="1272" spans="20:46" ht="16.8">
      <c r="T1272" s="112"/>
      <c r="U1272" s="113"/>
      <c r="AF1272" s="2"/>
      <c r="AG1272" s="2"/>
      <c r="AS1272"/>
      <c r="AT1272"/>
    </row>
    <row r="1273" spans="20:46" ht="16.8">
      <c r="T1273" s="112"/>
      <c r="U1273" s="113"/>
      <c r="AF1273" s="2"/>
      <c r="AG1273" s="2"/>
      <c r="AS1273"/>
      <c r="AT1273"/>
    </row>
    <row r="1274" spans="20:46" ht="16.8">
      <c r="T1274" s="112"/>
      <c r="U1274" s="113"/>
      <c r="AF1274" s="2"/>
      <c r="AG1274" s="2"/>
      <c r="AS1274"/>
      <c r="AT1274"/>
    </row>
    <row r="1275" spans="20:46" ht="16.8">
      <c r="T1275" s="112"/>
      <c r="U1275" s="113"/>
      <c r="AF1275" s="2"/>
      <c r="AG1275" s="2"/>
      <c r="AS1275"/>
      <c r="AT1275"/>
    </row>
    <row r="1276" spans="20:46" ht="16.8">
      <c r="T1276" s="112"/>
      <c r="U1276" s="113"/>
      <c r="AF1276" s="2"/>
      <c r="AG1276" s="2"/>
      <c r="AS1276"/>
      <c r="AT1276"/>
    </row>
    <row r="1277" spans="20:46" ht="16.8">
      <c r="T1277" s="112"/>
      <c r="U1277" s="113"/>
      <c r="AF1277" s="2"/>
      <c r="AG1277" s="2"/>
      <c r="AS1277"/>
      <c r="AT1277"/>
    </row>
    <row r="1278" spans="20:46" ht="16.8">
      <c r="T1278" s="112"/>
      <c r="U1278" s="113"/>
      <c r="AF1278" s="2"/>
      <c r="AG1278" s="2"/>
      <c r="AS1278"/>
      <c r="AT1278"/>
    </row>
    <row r="1279" spans="20:46" ht="16.8">
      <c r="T1279" s="112"/>
      <c r="U1279" s="113"/>
      <c r="AF1279" s="2"/>
      <c r="AG1279" s="2"/>
      <c r="AS1279"/>
      <c r="AT1279"/>
    </row>
    <row r="1280" spans="20:46" ht="16.8">
      <c r="T1280" s="112"/>
      <c r="U1280" s="113"/>
      <c r="AF1280" s="2"/>
      <c r="AG1280" s="2"/>
      <c r="AS1280"/>
      <c r="AT1280"/>
    </row>
    <row r="1281" spans="20:46" ht="16.8">
      <c r="T1281" s="112"/>
      <c r="U1281" s="113"/>
      <c r="AF1281" s="2"/>
      <c r="AG1281" s="2"/>
      <c r="AS1281"/>
      <c r="AT1281"/>
    </row>
    <row r="1282" spans="20:46" ht="16.8">
      <c r="T1282" s="112"/>
      <c r="U1282" s="113"/>
      <c r="AF1282" s="2"/>
      <c r="AG1282" s="2"/>
      <c r="AS1282"/>
      <c r="AT1282"/>
    </row>
    <row r="1283" spans="20:46" ht="16.8">
      <c r="T1283" s="112"/>
      <c r="U1283" s="113"/>
      <c r="AF1283" s="2"/>
      <c r="AG1283" s="2"/>
      <c r="AS1283"/>
      <c r="AT1283"/>
    </row>
    <row r="1284" spans="20:46" ht="16.8">
      <c r="T1284" s="112"/>
      <c r="U1284" s="113"/>
      <c r="AF1284" s="2"/>
      <c r="AG1284" s="2"/>
      <c r="AS1284"/>
      <c r="AT1284"/>
    </row>
    <row r="1285" spans="20:46" ht="16.8">
      <c r="T1285" s="112"/>
      <c r="U1285" s="113"/>
      <c r="AF1285" s="2"/>
      <c r="AG1285" s="2"/>
      <c r="AS1285"/>
      <c r="AT1285"/>
    </row>
    <row r="1286" spans="20:46" ht="16.8">
      <c r="T1286" s="112"/>
      <c r="U1286" s="113"/>
      <c r="AF1286" s="2"/>
      <c r="AG1286" s="2"/>
      <c r="AS1286"/>
      <c r="AT1286"/>
    </row>
    <row r="1287" spans="20:46" ht="16.8">
      <c r="T1287" s="112"/>
      <c r="U1287" s="113"/>
      <c r="AF1287" s="2"/>
      <c r="AG1287" s="2"/>
      <c r="AS1287"/>
      <c r="AT1287"/>
    </row>
    <row r="1288" spans="20:46" ht="16.8">
      <c r="T1288" s="112"/>
      <c r="U1288" s="113"/>
      <c r="AF1288" s="2"/>
      <c r="AG1288" s="2"/>
      <c r="AS1288"/>
      <c r="AT1288"/>
    </row>
    <row r="1289" spans="20:46" ht="16.8">
      <c r="T1289" s="112"/>
      <c r="U1289" s="113"/>
      <c r="AF1289" s="2"/>
      <c r="AG1289" s="2"/>
      <c r="AS1289"/>
      <c r="AT1289"/>
    </row>
    <row r="1290" spans="20:46" ht="16.8">
      <c r="T1290" s="112"/>
      <c r="U1290" s="113"/>
      <c r="AF1290" s="2"/>
      <c r="AG1290" s="2"/>
      <c r="AS1290"/>
      <c r="AT1290"/>
    </row>
    <row r="1291" spans="20:46" ht="16.8">
      <c r="T1291" s="112"/>
      <c r="U1291" s="113"/>
      <c r="AF1291" s="2"/>
      <c r="AG1291" s="2"/>
      <c r="AS1291"/>
      <c r="AT1291"/>
    </row>
    <row r="1292" spans="20:46" ht="16.8">
      <c r="T1292" s="112"/>
      <c r="U1292" s="113"/>
      <c r="AF1292" s="2"/>
      <c r="AG1292" s="2"/>
      <c r="AS1292"/>
      <c r="AT1292"/>
    </row>
    <row r="1293" spans="20:46" ht="16.8">
      <c r="T1293" s="112"/>
      <c r="U1293" s="113"/>
      <c r="AF1293" s="2"/>
      <c r="AG1293" s="2"/>
      <c r="AS1293"/>
      <c r="AT1293"/>
    </row>
    <row r="1294" spans="20:46" ht="16.8">
      <c r="T1294" s="112"/>
      <c r="U1294" s="113"/>
      <c r="AF1294" s="2"/>
      <c r="AG1294" s="2"/>
      <c r="AS1294"/>
      <c r="AT1294"/>
    </row>
    <row r="1295" spans="20:46" ht="16.8">
      <c r="T1295" s="112"/>
      <c r="U1295" s="113"/>
      <c r="AF1295" s="2"/>
      <c r="AG1295" s="2"/>
      <c r="AS1295"/>
      <c r="AT1295"/>
    </row>
    <row r="1296" spans="20:46" ht="16.8">
      <c r="T1296" s="112"/>
      <c r="U1296" s="113"/>
      <c r="AF1296" s="2"/>
      <c r="AG1296" s="2"/>
      <c r="AS1296"/>
      <c r="AT1296"/>
    </row>
    <row r="1297" spans="20:46" ht="16.8">
      <c r="T1297" s="112"/>
      <c r="U1297" s="113"/>
      <c r="AF1297" s="2"/>
      <c r="AG1297" s="2"/>
      <c r="AS1297"/>
      <c r="AT1297"/>
    </row>
    <row r="1298" spans="20:46" ht="16.8">
      <c r="T1298" s="112"/>
      <c r="U1298" s="113"/>
      <c r="AF1298" s="2"/>
      <c r="AG1298" s="2"/>
      <c r="AS1298"/>
      <c r="AT1298"/>
    </row>
    <row r="1299" spans="20:46" ht="16.8">
      <c r="T1299" s="112"/>
      <c r="U1299" s="113"/>
      <c r="AF1299" s="2"/>
      <c r="AG1299" s="2"/>
      <c r="AS1299"/>
      <c r="AT1299"/>
    </row>
    <row r="1300" spans="20:46" ht="16.8">
      <c r="T1300" s="112"/>
      <c r="U1300" s="113"/>
      <c r="AF1300" s="2"/>
      <c r="AG1300" s="2"/>
      <c r="AS1300"/>
      <c r="AT1300"/>
    </row>
    <row r="1301" spans="20:46" ht="16.8">
      <c r="T1301" s="112"/>
      <c r="U1301" s="113"/>
      <c r="AF1301" s="2"/>
      <c r="AG1301" s="2"/>
      <c r="AS1301"/>
      <c r="AT1301"/>
    </row>
    <row r="1302" spans="20:46" ht="16.8">
      <c r="T1302" s="112"/>
      <c r="U1302" s="113"/>
      <c r="AF1302" s="2"/>
      <c r="AG1302" s="2"/>
      <c r="AS1302"/>
      <c r="AT1302"/>
    </row>
    <row r="1303" spans="20:46" ht="16.8">
      <c r="T1303" s="112"/>
      <c r="U1303" s="113"/>
      <c r="AF1303" s="2"/>
      <c r="AG1303" s="2"/>
      <c r="AS1303"/>
      <c r="AT1303"/>
    </row>
    <row r="1304" spans="20:46" ht="16.8">
      <c r="T1304" s="112"/>
      <c r="U1304" s="113"/>
      <c r="AF1304" s="2"/>
      <c r="AG1304" s="2"/>
      <c r="AS1304"/>
      <c r="AT1304"/>
    </row>
    <row r="1305" spans="20:46" ht="16.8">
      <c r="T1305" s="112"/>
      <c r="U1305" s="113"/>
      <c r="AF1305" s="2"/>
      <c r="AG1305" s="2"/>
      <c r="AS1305"/>
      <c r="AT1305"/>
    </row>
    <row r="1306" spans="20:46" ht="16.8">
      <c r="T1306" s="112"/>
      <c r="U1306" s="113"/>
      <c r="AF1306" s="2"/>
      <c r="AG1306" s="2"/>
      <c r="AS1306"/>
      <c r="AT1306"/>
    </row>
    <row r="1307" spans="20:46" ht="16.8">
      <c r="T1307" s="112"/>
      <c r="U1307" s="113"/>
      <c r="AF1307" s="2"/>
      <c r="AG1307" s="2"/>
      <c r="AS1307"/>
      <c r="AT1307"/>
    </row>
    <row r="1308" spans="20:46" ht="16.8">
      <c r="T1308" s="112"/>
      <c r="U1308" s="113"/>
      <c r="AF1308" s="2"/>
      <c r="AG1308" s="2"/>
      <c r="AS1308"/>
      <c r="AT1308"/>
    </row>
    <row r="1309" spans="20:46" ht="16.8">
      <c r="T1309" s="112"/>
      <c r="U1309" s="113"/>
      <c r="AF1309" s="2"/>
      <c r="AG1309" s="2"/>
      <c r="AS1309"/>
      <c r="AT1309"/>
    </row>
    <row r="1310" spans="20:46" ht="16.8">
      <c r="T1310" s="112"/>
      <c r="U1310" s="113"/>
      <c r="AF1310" s="2"/>
      <c r="AG1310" s="2"/>
      <c r="AS1310"/>
      <c r="AT1310"/>
    </row>
    <row r="1311" spans="20:46" ht="16.8">
      <c r="T1311" s="112"/>
      <c r="U1311" s="113"/>
      <c r="AF1311" s="2"/>
      <c r="AG1311" s="2"/>
      <c r="AS1311"/>
      <c r="AT1311"/>
    </row>
    <row r="1312" spans="20:46" ht="16.8">
      <c r="T1312" s="112"/>
      <c r="U1312" s="113"/>
      <c r="AF1312" s="2"/>
      <c r="AG1312" s="2"/>
      <c r="AS1312"/>
      <c r="AT1312"/>
    </row>
    <row r="1313" spans="20:46" ht="16.8">
      <c r="T1313" s="112"/>
      <c r="U1313" s="113"/>
      <c r="AF1313" s="2"/>
      <c r="AG1313" s="2"/>
      <c r="AS1313"/>
      <c r="AT1313"/>
    </row>
    <row r="1314" spans="20:46" ht="16.8">
      <c r="T1314" s="112"/>
      <c r="U1314" s="113"/>
      <c r="AF1314" s="2"/>
      <c r="AG1314" s="2"/>
      <c r="AS1314"/>
      <c r="AT1314"/>
    </row>
    <row r="1315" spans="20:46" ht="16.8">
      <c r="T1315" s="112"/>
      <c r="U1315" s="113"/>
      <c r="AF1315" s="2"/>
      <c r="AG1315" s="2"/>
      <c r="AS1315"/>
      <c r="AT1315"/>
    </row>
    <row r="1316" spans="20:46" ht="16.8">
      <c r="T1316" s="112"/>
      <c r="U1316" s="113"/>
      <c r="AF1316" s="2"/>
      <c r="AG1316" s="2"/>
      <c r="AS1316"/>
      <c r="AT1316"/>
    </row>
    <row r="1317" spans="20:46" ht="16.8">
      <c r="T1317" s="112"/>
      <c r="U1317" s="113"/>
      <c r="AF1317" s="2"/>
      <c r="AG1317" s="2"/>
      <c r="AS1317"/>
      <c r="AT1317"/>
    </row>
    <row r="1318" spans="20:46" ht="16.8">
      <c r="T1318" s="112"/>
      <c r="U1318" s="113"/>
      <c r="AF1318" s="2"/>
      <c r="AG1318" s="2"/>
      <c r="AS1318"/>
      <c r="AT1318"/>
    </row>
    <row r="1319" spans="20:46" ht="16.8">
      <c r="T1319" s="112"/>
      <c r="U1319" s="113"/>
      <c r="AF1319" s="2"/>
      <c r="AG1319" s="2"/>
      <c r="AS1319"/>
      <c r="AT1319"/>
    </row>
    <row r="1320" spans="20:46" ht="16.8">
      <c r="T1320" s="112"/>
      <c r="U1320" s="113"/>
      <c r="AF1320" s="2"/>
      <c r="AG1320" s="2"/>
      <c r="AS1320"/>
      <c r="AT1320"/>
    </row>
    <row r="1321" spans="20:46" ht="16.8">
      <c r="T1321" s="112"/>
      <c r="U1321" s="113"/>
      <c r="AF1321" s="2"/>
      <c r="AG1321" s="2"/>
      <c r="AS1321"/>
      <c r="AT1321"/>
    </row>
    <row r="1322" spans="20:46" ht="16.8">
      <c r="T1322" s="112"/>
      <c r="U1322" s="113"/>
      <c r="AF1322" s="2"/>
      <c r="AG1322" s="2"/>
      <c r="AS1322"/>
      <c r="AT1322"/>
    </row>
    <row r="1323" spans="20:46" ht="16.8">
      <c r="T1323" s="112"/>
      <c r="U1323" s="113"/>
      <c r="AF1323" s="2"/>
      <c r="AG1323" s="2"/>
      <c r="AS1323"/>
      <c r="AT1323"/>
    </row>
    <row r="1324" spans="20:46" ht="16.8">
      <c r="T1324" s="112"/>
      <c r="U1324" s="113"/>
      <c r="AF1324" s="2"/>
      <c r="AG1324" s="2"/>
      <c r="AS1324"/>
      <c r="AT1324"/>
    </row>
    <row r="1325" spans="20:46" ht="16.8">
      <c r="T1325" s="112"/>
      <c r="U1325" s="113"/>
      <c r="AF1325" s="2"/>
      <c r="AG1325" s="2"/>
      <c r="AS1325"/>
      <c r="AT1325"/>
    </row>
    <row r="1326" spans="20:46" ht="16.8">
      <c r="T1326" s="112"/>
      <c r="U1326" s="113"/>
      <c r="AF1326" s="2"/>
      <c r="AG1326" s="2"/>
      <c r="AS1326"/>
      <c r="AT1326"/>
    </row>
    <row r="1327" spans="20:46" ht="16.8">
      <c r="T1327" s="112"/>
      <c r="U1327" s="113"/>
      <c r="AF1327" s="2"/>
      <c r="AG1327" s="2"/>
      <c r="AS1327"/>
      <c r="AT1327"/>
    </row>
    <row r="1328" spans="20:46" ht="16.8">
      <c r="T1328" s="112"/>
      <c r="U1328" s="113"/>
      <c r="AF1328" s="2"/>
      <c r="AG1328" s="2"/>
      <c r="AS1328"/>
      <c r="AT1328"/>
    </row>
    <row r="1329" spans="20:46" ht="16.8">
      <c r="T1329" s="112"/>
      <c r="U1329" s="113"/>
      <c r="AF1329" s="2"/>
      <c r="AG1329" s="2"/>
      <c r="AS1329"/>
      <c r="AT1329"/>
    </row>
    <row r="1330" spans="20:46" ht="16.8">
      <c r="T1330" s="112"/>
      <c r="U1330" s="113"/>
      <c r="AF1330" s="2"/>
      <c r="AG1330" s="2"/>
      <c r="AS1330"/>
      <c r="AT1330"/>
    </row>
    <row r="1331" spans="20:46" ht="16.8">
      <c r="T1331" s="112"/>
      <c r="U1331" s="113"/>
      <c r="AF1331" s="2"/>
      <c r="AG1331" s="2"/>
      <c r="AS1331"/>
      <c r="AT1331"/>
    </row>
    <row r="1332" spans="20:46" ht="16.8">
      <c r="T1332" s="112"/>
      <c r="U1332" s="113"/>
      <c r="AF1332" s="2"/>
      <c r="AG1332" s="2"/>
      <c r="AS1332"/>
      <c r="AT1332"/>
    </row>
    <row r="1333" spans="20:46" ht="16.8">
      <c r="T1333" s="112"/>
      <c r="U1333" s="113"/>
      <c r="AF1333" s="2"/>
      <c r="AG1333" s="2"/>
      <c r="AS1333"/>
      <c r="AT1333"/>
    </row>
    <row r="1334" spans="20:46" ht="16.8">
      <c r="T1334" s="112"/>
      <c r="U1334" s="113"/>
      <c r="AF1334" s="2"/>
      <c r="AG1334" s="2"/>
      <c r="AS1334"/>
      <c r="AT1334"/>
    </row>
    <row r="1335" spans="20:46" ht="16.8">
      <c r="T1335" s="112"/>
      <c r="U1335" s="113"/>
      <c r="AF1335" s="2"/>
      <c r="AG1335" s="2"/>
      <c r="AS1335"/>
      <c r="AT1335"/>
    </row>
    <row r="1336" spans="20:46" ht="16.8">
      <c r="T1336" s="112"/>
      <c r="U1336" s="113"/>
      <c r="AF1336" s="2"/>
      <c r="AG1336" s="2"/>
      <c r="AS1336"/>
      <c r="AT1336"/>
    </row>
    <row r="1337" spans="20:46" ht="16.8">
      <c r="T1337" s="112"/>
      <c r="U1337" s="113"/>
      <c r="AF1337" s="2"/>
      <c r="AG1337" s="2"/>
      <c r="AS1337"/>
      <c r="AT1337"/>
    </row>
    <row r="1338" spans="20:46" ht="16.8">
      <c r="T1338" s="112"/>
      <c r="U1338" s="113"/>
      <c r="AF1338" s="2"/>
      <c r="AG1338" s="2"/>
      <c r="AS1338"/>
      <c r="AT1338"/>
    </row>
    <row r="1339" spans="20:46" ht="16.8">
      <c r="T1339" s="112"/>
      <c r="U1339" s="113"/>
      <c r="AF1339" s="2"/>
      <c r="AG1339" s="2"/>
      <c r="AS1339"/>
      <c r="AT1339"/>
    </row>
    <row r="1340" spans="20:46" ht="16.8">
      <c r="T1340" s="112"/>
      <c r="U1340" s="113"/>
      <c r="AF1340" s="2"/>
      <c r="AG1340" s="2"/>
      <c r="AS1340"/>
      <c r="AT1340"/>
    </row>
    <row r="1341" spans="20:46" ht="16.8">
      <c r="T1341" s="112"/>
      <c r="U1341" s="113"/>
      <c r="AF1341" s="2"/>
      <c r="AG1341" s="2"/>
      <c r="AS1341"/>
      <c r="AT1341"/>
    </row>
    <row r="1342" spans="20:46" ht="16.8">
      <c r="T1342" s="112"/>
      <c r="U1342" s="113"/>
      <c r="AF1342" s="2"/>
      <c r="AG1342" s="2"/>
      <c r="AS1342"/>
      <c r="AT1342"/>
    </row>
    <row r="1343" spans="20:46" ht="16.8">
      <c r="T1343" s="112"/>
      <c r="U1343" s="113"/>
      <c r="AF1343" s="2"/>
      <c r="AG1343" s="2"/>
      <c r="AS1343"/>
      <c r="AT1343"/>
    </row>
    <row r="1344" spans="20:46" ht="16.8">
      <c r="T1344" s="112"/>
      <c r="U1344" s="113"/>
      <c r="AF1344" s="2"/>
      <c r="AG1344" s="2"/>
      <c r="AS1344"/>
      <c r="AT1344"/>
    </row>
    <row r="1345" spans="20:46" ht="16.8">
      <c r="T1345" s="112"/>
      <c r="U1345" s="113"/>
      <c r="AF1345" s="2"/>
      <c r="AG1345" s="2"/>
      <c r="AS1345"/>
      <c r="AT1345"/>
    </row>
    <row r="1346" spans="20:46" ht="16.8">
      <c r="T1346" s="112"/>
      <c r="U1346" s="113"/>
      <c r="AF1346" s="2"/>
      <c r="AG1346" s="2"/>
      <c r="AS1346"/>
      <c r="AT1346"/>
    </row>
    <row r="1347" spans="20:46" ht="16.8">
      <c r="T1347" s="112"/>
      <c r="U1347" s="113"/>
      <c r="AF1347" s="2"/>
      <c r="AG1347" s="2"/>
      <c r="AS1347"/>
      <c r="AT1347"/>
    </row>
    <row r="1348" spans="20:46" ht="16.8">
      <c r="T1348" s="112"/>
      <c r="U1348" s="113"/>
      <c r="AF1348" s="2"/>
      <c r="AG1348" s="2"/>
      <c r="AS1348"/>
      <c r="AT1348"/>
    </row>
    <row r="1349" spans="20:46" ht="16.8">
      <c r="T1349" s="112"/>
      <c r="U1349" s="113"/>
      <c r="AF1349" s="2"/>
      <c r="AG1349" s="2"/>
      <c r="AS1349"/>
      <c r="AT1349"/>
    </row>
    <row r="1350" spans="20:46" ht="16.8">
      <c r="T1350" s="112"/>
      <c r="U1350" s="113"/>
      <c r="AF1350" s="2"/>
      <c r="AG1350" s="2"/>
      <c r="AS1350"/>
      <c r="AT1350"/>
    </row>
    <row r="1351" spans="20:46" ht="16.8">
      <c r="T1351" s="112"/>
      <c r="U1351" s="113"/>
      <c r="AF1351" s="2"/>
      <c r="AG1351" s="2"/>
      <c r="AS1351"/>
      <c r="AT1351"/>
    </row>
    <row r="1352" spans="20:46" ht="16.8">
      <c r="T1352" s="112"/>
      <c r="U1352" s="113"/>
      <c r="AF1352" s="2"/>
      <c r="AG1352" s="2"/>
      <c r="AS1352"/>
      <c r="AT1352"/>
    </row>
    <row r="1353" spans="20:46" ht="16.8">
      <c r="T1353" s="112"/>
      <c r="U1353" s="113"/>
      <c r="AF1353" s="2"/>
      <c r="AG1353" s="2"/>
      <c r="AS1353"/>
      <c r="AT1353"/>
    </row>
    <row r="1354" spans="20:46" ht="16.8">
      <c r="T1354" s="112"/>
      <c r="U1354" s="113"/>
      <c r="AF1354" s="2"/>
      <c r="AG1354" s="2"/>
      <c r="AS1354"/>
      <c r="AT1354"/>
    </row>
    <row r="1355" spans="20:46" ht="16.8">
      <c r="T1355" s="112"/>
      <c r="U1355" s="113"/>
      <c r="AF1355" s="2"/>
      <c r="AG1355" s="2"/>
      <c r="AS1355"/>
      <c r="AT1355"/>
    </row>
    <row r="1356" spans="20:46" ht="16.8">
      <c r="T1356" s="112"/>
      <c r="U1356" s="113"/>
      <c r="AF1356" s="2"/>
      <c r="AG1356" s="2"/>
      <c r="AS1356"/>
      <c r="AT1356"/>
    </row>
    <row r="1357" spans="20:46" ht="16.8">
      <c r="T1357" s="112"/>
      <c r="U1357" s="113"/>
      <c r="AF1357" s="2"/>
      <c r="AG1357" s="2"/>
      <c r="AS1357"/>
      <c r="AT1357"/>
    </row>
    <row r="1358" spans="20:46" ht="16.8">
      <c r="T1358" s="112"/>
      <c r="U1358" s="113"/>
      <c r="AF1358" s="2"/>
      <c r="AG1358" s="2"/>
      <c r="AS1358"/>
      <c r="AT1358"/>
    </row>
    <row r="1359" spans="20:46" ht="16.8">
      <c r="T1359" s="112"/>
      <c r="U1359" s="113"/>
      <c r="AF1359" s="2"/>
      <c r="AG1359" s="2"/>
      <c r="AS1359"/>
      <c r="AT1359"/>
    </row>
    <row r="1360" spans="20:46" ht="16.8">
      <c r="T1360" s="112"/>
      <c r="U1360" s="113"/>
      <c r="AF1360" s="2"/>
      <c r="AG1360" s="2"/>
      <c r="AS1360"/>
      <c r="AT1360"/>
    </row>
    <row r="1361" spans="20:46" ht="16.8">
      <c r="T1361" s="112"/>
      <c r="U1361" s="113"/>
      <c r="AF1361" s="2"/>
      <c r="AG1361" s="2"/>
      <c r="AS1361"/>
      <c r="AT1361"/>
    </row>
    <row r="1362" spans="20:46" ht="16.8">
      <c r="T1362" s="112"/>
      <c r="U1362" s="113"/>
      <c r="AF1362" s="2"/>
      <c r="AG1362" s="2"/>
      <c r="AS1362"/>
      <c r="AT1362"/>
    </row>
    <row r="1363" spans="20:46" ht="16.8">
      <c r="T1363" s="112"/>
      <c r="U1363" s="113"/>
      <c r="AF1363" s="2"/>
      <c r="AG1363" s="2"/>
      <c r="AS1363"/>
      <c r="AT1363"/>
    </row>
    <row r="1364" spans="20:46" ht="16.8">
      <c r="T1364" s="112"/>
      <c r="U1364" s="113"/>
      <c r="AF1364" s="2"/>
      <c r="AG1364" s="2"/>
      <c r="AS1364"/>
      <c r="AT1364"/>
    </row>
    <row r="1365" spans="20:46" ht="16.8">
      <c r="T1365" s="112"/>
      <c r="U1365" s="113"/>
      <c r="AF1365" s="2"/>
      <c r="AG1365" s="2"/>
      <c r="AS1365"/>
      <c r="AT1365"/>
    </row>
    <row r="1366" spans="20:46" ht="16.8">
      <c r="T1366" s="112"/>
      <c r="U1366" s="113"/>
      <c r="AF1366" s="2"/>
      <c r="AG1366" s="2"/>
      <c r="AS1366"/>
      <c r="AT1366"/>
    </row>
    <row r="1367" spans="20:46" ht="16.8">
      <c r="T1367" s="112"/>
      <c r="U1367" s="113"/>
      <c r="AF1367" s="2"/>
      <c r="AG1367" s="2"/>
      <c r="AS1367"/>
      <c r="AT1367"/>
    </row>
    <row r="1368" spans="20:46" ht="16.8">
      <c r="T1368" s="112"/>
      <c r="U1368" s="113"/>
      <c r="AF1368" s="2"/>
      <c r="AG1368" s="2"/>
      <c r="AS1368"/>
      <c r="AT1368"/>
    </row>
    <row r="1369" spans="20:46" ht="16.8">
      <c r="T1369" s="112"/>
      <c r="U1369" s="113"/>
      <c r="AF1369" s="2"/>
      <c r="AG1369" s="2"/>
      <c r="AS1369"/>
      <c r="AT1369"/>
    </row>
    <row r="1370" spans="20:46" ht="16.8">
      <c r="T1370" s="112"/>
      <c r="U1370" s="113"/>
      <c r="AF1370" s="2"/>
      <c r="AG1370" s="2"/>
      <c r="AS1370"/>
      <c r="AT1370"/>
    </row>
    <row r="1371" spans="20:46" ht="16.8">
      <c r="T1371" s="112"/>
      <c r="U1371" s="113"/>
      <c r="AF1371" s="2"/>
      <c r="AG1371" s="2"/>
      <c r="AS1371"/>
      <c r="AT1371"/>
    </row>
    <row r="1372" spans="20:46" ht="16.8">
      <c r="T1372" s="112"/>
      <c r="U1372" s="113"/>
      <c r="AF1372" s="2"/>
      <c r="AG1372" s="2"/>
      <c r="AS1372"/>
      <c r="AT1372"/>
    </row>
    <row r="1373" spans="20:46" ht="16.8">
      <c r="T1373" s="112"/>
      <c r="U1373" s="113"/>
      <c r="AF1373" s="2"/>
      <c r="AG1373" s="2"/>
      <c r="AS1373"/>
      <c r="AT1373"/>
    </row>
    <row r="1374" spans="20:46" ht="16.8">
      <c r="T1374" s="112"/>
      <c r="U1374" s="113"/>
      <c r="AF1374" s="2"/>
      <c r="AG1374" s="2"/>
      <c r="AS1374"/>
      <c r="AT1374"/>
    </row>
    <row r="1375" spans="20:46" ht="16.8">
      <c r="T1375" s="112"/>
      <c r="U1375" s="113"/>
      <c r="AF1375" s="2"/>
      <c r="AG1375" s="2"/>
      <c r="AS1375"/>
      <c r="AT1375"/>
    </row>
    <row r="1376" spans="20:46" ht="16.8">
      <c r="T1376" s="112"/>
      <c r="U1376" s="113"/>
      <c r="AF1376" s="2"/>
      <c r="AG1376" s="2"/>
      <c r="AS1376"/>
      <c r="AT1376"/>
    </row>
    <row r="1377" spans="20:46" ht="16.8">
      <c r="T1377" s="112"/>
      <c r="U1377" s="113"/>
      <c r="AF1377" s="2"/>
      <c r="AG1377" s="2"/>
      <c r="AS1377"/>
      <c r="AT1377"/>
    </row>
    <row r="1378" spans="20:46" ht="16.8">
      <c r="T1378" s="112"/>
      <c r="U1378" s="113"/>
      <c r="AF1378" s="2"/>
      <c r="AG1378" s="2"/>
      <c r="AS1378"/>
      <c r="AT1378"/>
    </row>
    <row r="1379" spans="20:46" ht="16.8">
      <c r="T1379" s="112"/>
      <c r="U1379" s="113"/>
      <c r="AF1379" s="2"/>
      <c r="AG1379" s="2"/>
      <c r="AS1379"/>
      <c r="AT1379"/>
    </row>
    <row r="1380" spans="20:46" ht="16.8">
      <c r="T1380" s="112"/>
      <c r="U1380" s="113"/>
      <c r="AF1380" s="2"/>
      <c r="AG1380" s="2"/>
      <c r="AS1380"/>
      <c r="AT1380"/>
    </row>
    <row r="1381" spans="20:46" ht="16.8">
      <c r="T1381" s="112"/>
      <c r="U1381" s="113"/>
      <c r="AF1381" s="2"/>
      <c r="AG1381" s="2"/>
      <c r="AS1381"/>
      <c r="AT1381"/>
    </row>
    <row r="1382" spans="20:46" ht="16.8">
      <c r="T1382" s="112"/>
      <c r="U1382" s="113"/>
      <c r="AF1382" s="2"/>
      <c r="AG1382" s="2"/>
      <c r="AS1382"/>
      <c r="AT1382"/>
    </row>
    <row r="1383" spans="20:46" ht="16.8">
      <c r="T1383" s="112"/>
      <c r="U1383" s="113"/>
      <c r="AF1383" s="2"/>
      <c r="AG1383" s="2"/>
      <c r="AS1383"/>
      <c r="AT1383"/>
    </row>
    <row r="1384" spans="20:46" ht="16.8">
      <c r="T1384" s="112"/>
      <c r="U1384" s="113"/>
      <c r="AF1384" s="2"/>
      <c r="AG1384" s="2"/>
      <c r="AS1384"/>
      <c r="AT1384"/>
    </row>
    <row r="1385" spans="20:46" ht="16.8">
      <c r="T1385" s="112"/>
      <c r="U1385" s="113"/>
      <c r="AF1385" s="2"/>
      <c r="AG1385" s="2"/>
      <c r="AS1385"/>
      <c r="AT1385"/>
    </row>
    <row r="1386" spans="20:46" ht="16.8">
      <c r="T1386" s="112"/>
      <c r="U1386" s="113"/>
      <c r="AF1386" s="2"/>
      <c r="AG1386" s="2"/>
      <c r="AS1386"/>
      <c r="AT1386"/>
    </row>
    <row r="1387" spans="20:46" ht="16.8">
      <c r="T1387" s="112"/>
      <c r="U1387" s="113"/>
      <c r="AF1387" s="2"/>
      <c r="AG1387" s="2"/>
      <c r="AS1387"/>
      <c r="AT1387"/>
    </row>
    <row r="1388" spans="20:46" ht="16.8">
      <c r="T1388" s="112"/>
      <c r="U1388" s="113"/>
      <c r="AF1388" s="2"/>
      <c r="AG1388" s="2"/>
      <c r="AS1388"/>
      <c r="AT1388"/>
    </row>
    <row r="1389" spans="20:46" ht="16.8">
      <c r="T1389" s="112"/>
      <c r="U1389" s="113"/>
      <c r="AF1389" s="2"/>
      <c r="AG1389" s="2"/>
      <c r="AS1389"/>
      <c r="AT1389"/>
    </row>
    <row r="1390" spans="20:46" ht="16.8">
      <c r="T1390" s="112"/>
      <c r="U1390" s="113"/>
      <c r="AF1390" s="2"/>
      <c r="AG1390" s="2"/>
      <c r="AS1390"/>
      <c r="AT1390"/>
    </row>
    <row r="1391" spans="20:46" ht="16.8">
      <c r="T1391" s="112"/>
      <c r="U1391" s="113"/>
      <c r="AF1391" s="2"/>
      <c r="AG1391" s="2"/>
      <c r="AS1391"/>
      <c r="AT1391"/>
    </row>
    <row r="1392" spans="20:46" ht="16.8">
      <c r="T1392" s="112"/>
      <c r="U1392" s="113"/>
      <c r="AF1392" s="2"/>
      <c r="AG1392" s="2"/>
      <c r="AS1392"/>
      <c r="AT1392"/>
    </row>
    <row r="1393" spans="20:46" ht="16.8">
      <c r="T1393" s="112"/>
      <c r="U1393" s="113"/>
      <c r="AF1393" s="2"/>
      <c r="AG1393" s="2"/>
      <c r="AS1393"/>
      <c r="AT1393"/>
    </row>
    <row r="1394" spans="20:46" ht="16.8">
      <c r="T1394" s="112"/>
      <c r="U1394" s="113"/>
      <c r="AF1394" s="2"/>
      <c r="AG1394" s="2"/>
      <c r="AS1394"/>
      <c r="AT1394"/>
    </row>
    <row r="1395" spans="20:46" ht="16.8">
      <c r="T1395" s="112"/>
      <c r="U1395" s="113"/>
      <c r="AF1395" s="2"/>
      <c r="AG1395" s="2"/>
      <c r="AS1395"/>
      <c r="AT1395"/>
    </row>
    <row r="1396" spans="20:46" ht="16.8">
      <c r="T1396" s="112"/>
      <c r="U1396" s="113"/>
      <c r="AF1396" s="2"/>
      <c r="AG1396" s="2"/>
      <c r="AS1396"/>
      <c r="AT1396"/>
    </row>
    <row r="1397" spans="20:46" ht="16.8">
      <c r="T1397" s="112"/>
      <c r="U1397" s="113"/>
      <c r="AF1397" s="2"/>
      <c r="AG1397" s="2"/>
      <c r="AS1397"/>
      <c r="AT1397"/>
    </row>
    <row r="1398" spans="20:46" ht="16.8">
      <c r="T1398" s="112"/>
      <c r="U1398" s="113"/>
      <c r="AF1398" s="2"/>
      <c r="AG1398" s="2"/>
      <c r="AS1398"/>
      <c r="AT1398"/>
    </row>
    <row r="1399" spans="20:46" ht="16.8">
      <c r="T1399" s="112"/>
      <c r="U1399" s="113"/>
      <c r="AF1399" s="2"/>
      <c r="AG1399" s="2"/>
      <c r="AS1399"/>
      <c r="AT1399"/>
    </row>
    <row r="1400" spans="20:46" ht="16.8">
      <c r="T1400" s="112"/>
      <c r="U1400" s="113"/>
      <c r="AF1400" s="2"/>
      <c r="AG1400" s="2"/>
      <c r="AS1400"/>
      <c r="AT1400"/>
    </row>
    <row r="1401" spans="20:46" ht="16.8">
      <c r="T1401" s="112"/>
      <c r="U1401" s="113"/>
      <c r="AF1401" s="2"/>
      <c r="AG1401" s="2"/>
      <c r="AS1401"/>
      <c r="AT1401"/>
    </row>
    <row r="1402" spans="20:46" ht="16.8">
      <c r="T1402" s="112"/>
      <c r="U1402" s="113"/>
      <c r="AF1402" s="2"/>
      <c r="AG1402" s="2"/>
      <c r="AS1402"/>
      <c r="AT1402"/>
    </row>
    <row r="1403" spans="20:46" ht="16.8">
      <c r="T1403" s="112"/>
      <c r="U1403" s="113"/>
      <c r="AF1403" s="2"/>
      <c r="AG1403" s="2"/>
      <c r="AS1403"/>
      <c r="AT1403"/>
    </row>
    <row r="1404" spans="20:46" ht="16.8">
      <c r="T1404" s="112"/>
      <c r="U1404" s="113"/>
      <c r="AF1404" s="2"/>
      <c r="AG1404" s="2"/>
      <c r="AS1404"/>
      <c r="AT1404"/>
    </row>
    <row r="1405" spans="20:46" ht="16.8">
      <c r="T1405" s="112"/>
      <c r="U1405" s="113"/>
      <c r="AF1405" s="2"/>
      <c r="AG1405" s="2"/>
      <c r="AS1405"/>
      <c r="AT1405"/>
    </row>
    <row r="1406" spans="20:46" ht="16.8">
      <c r="T1406" s="112"/>
      <c r="U1406" s="113"/>
      <c r="AF1406" s="2"/>
      <c r="AG1406" s="2"/>
      <c r="AS1406"/>
      <c r="AT1406"/>
    </row>
    <row r="1407" spans="20:46" ht="16.8">
      <c r="T1407" s="112"/>
      <c r="U1407" s="113"/>
      <c r="AF1407" s="2"/>
      <c r="AG1407" s="2"/>
      <c r="AS1407"/>
      <c r="AT1407"/>
    </row>
    <row r="1408" spans="20:46" ht="16.8">
      <c r="T1408" s="112"/>
      <c r="U1408" s="113"/>
      <c r="AF1408" s="2"/>
      <c r="AG1408" s="2"/>
      <c r="AS1408"/>
      <c r="AT1408"/>
    </row>
    <row r="1409" spans="20:46" ht="16.8">
      <c r="T1409" s="112"/>
      <c r="U1409" s="113"/>
      <c r="AF1409" s="2"/>
      <c r="AG1409" s="2"/>
      <c r="AS1409"/>
      <c r="AT1409"/>
    </row>
    <row r="1410" spans="20:46" ht="16.8">
      <c r="T1410" s="112"/>
      <c r="U1410" s="113"/>
      <c r="AF1410" s="2"/>
      <c r="AG1410" s="2"/>
      <c r="AS1410"/>
      <c r="AT1410"/>
    </row>
    <row r="1411" spans="20:46" ht="16.8">
      <c r="T1411" s="112"/>
      <c r="U1411" s="113"/>
      <c r="AF1411" s="2"/>
      <c r="AG1411" s="2"/>
      <c r="AS1411"/>
      <c r="AT1411"/>
    </row>
    <row r="1412" spans="20:46" ht="16.8">
      <c r="T1412" s="112"/>
      <c r="U1412" s="113"/>
      <c r="AF1412" s="2"/>
      <c r="AG1412" s="2"/>
      <c r="AS1412"/>
      <c r="AT1412"/>
    </row>
    <row r="1413" spans="20:46" ht="16.8">
      <c r="T1413" s="112"/>
      <c r="U1413" s="113"/>
      <c r="AF1413" s="2"/>
      <c r="AG1413" s="2"/>
      <c r="AS1413"/>
      <c r="AT1413"/>
    </row>
    <row r="1414" spans="20:46" ht="16.8">
      <c r="T1414" s="112"/>
      <c r="U1414" s="113"/>
      <c r="AF1414" s="2"/>
      <c r="AG1414" s="2"/>
      <c r="AS1414"/>
      <c r="AT1414"/>
    </row>
    <row r="1415" spans="20:46" ht="16.8">
      <c r="T1415" s="112"/>
      <c r="U1415" s="113"/>
      <c r="AF1415" s="2"/>
      <c r="AG1415" s="2"/>
      <c r="AS1415"/>
      <c r="AT1415"/>
    </row>
    <row r="1416" spans="20:46" ht="16.8">
      <c r="T1416" s="112"/>
      <c r="U1416" s="113"/>
      <c r="AF1416" s="2"/>
      <c r="AG1416" s="2"/>
      <c r="AS1416"/>
      <c r="AT1416"/>
    </row>
    <row r="1417" spans="20:46" ht="16.8">
      <c r="T1417" s="112"/>
      <c r="U1417" s="113"/>
      <c r="AF1417" s="2"/>
      <c r="AG1417" s="2"/>
      <c r="AS1417"/>
      <c r="AT1417"/>
    </row>
    <row r="1418" spans="20:46" ht="16.8">
      <c r="T1418" s="112"/>
      <c r="U1418" s="113"/>
      <c r="AF1418" s="2"/>
      <c r="AG1418" s="2"/>
      <c r="AS1418"/>
      <c r="AT1418"/>
    </row>
    <row r="1419" spans="20:46" ht="16.8">
      <c r="T1419" s="112"/>
      <c r="U1419" s="113"/>
      <c r="AF1419" s="2"/>
      <c r="AG1419" s="2"/>
      <c r="AS1419"/>
      <c r="AT1419"/>
    </row>
    <row r="1420" spans="20:46" ht="16.8">
      <c r="T1420" s="112"/>
      <c r="U1420" s="113"/>
      <c r="AF1420" s="2"/>
      <c r="AG1420" s="2"/>
      <c r="AS1420"/>
      <c r="AT1420"/>
    </row>
    <row r="1421" spans="20:46" ht="16.8">
      <c r="T1421" s="112"/>
      <c r="U1421" s="113"/>
      <c r="AF1421" s="2"/>
      <c r="AG1421" s="2"/>
      <c r="AS1421"/>
      <c r="AT1421"/>
    </row>
    <row r="1422" spans="20:46" ht="16.8">
      <c r="T1422" s="112"/>
      <c r="U1422" s="113"/>
      <c r="AF1422" s="2"/>
      <c r="AG1422" s="2"/>
      <c r="AS1422"/>
      <c r="AT1422"/>
    </row>
    <row r="1423" spans="20:46" ht="16.8">
      <c r="T1423" s="112"/>
      <c r="U1423" s="113"/>
      <c r="AF1423" s="2"/>
      <c r="AG1423" s="2"/>
      <c r="AS1423"/>
      <c r="AT1423"/>
    </row>
    <row r="1424" spans="20:46" ht="16.8">
      <c r="T1424" s="112"/>
      <c r="U1424" s="113"/>
      <c r="AF1424" s="2"/>
      <c r="AG1424" s="2"/>
      <c r="AS1424"/>
      <c r="AT1424"/>
    </row>
    <row r="1425" spans="20:46" ht="16.8">
      <c r="T1425" s="112"/>
      <c r="U1425" s="113"/>
      <c r="AF1425" s="2"/>
      <c r="AG1425" s="2"/>
      <c r="AS1425"/>
      <c r="AT1425"/>
    </row>
    <row r="1426" spans="20:46" ht="16.8">
      <c r="T1426" s="112"/>
      <c r="U1426" s="113"/>
      <c r="AF1426" s="2"/>
      <c r="AG1426" s="2"/>
      <c r="AS1426"/>
      <c r="AT1426"/>
    </row>
    <row r="1427" spans="20:46" ht="16.8">
      <c r="T1427" s="112"/>
      <c r="U1427" s="113"/>
      <c r="AF1427" s="2"/>
      <c r="AG1427" s="2"/>
      <c r="AS1427"/>
      <c r="AT1427"/>
    </row>
    <row r="1428" spans="20:46" ht="16.8">
      <c r="T1428" s="112"/>
      <c r="U1428" s="113"/>
      <c r="AF1428" s="2"/>
      <c r="AG1428" s="2"/>
      <c r="AS1428"/>
      <c r="AT1428"/>
    </row>
    <row r="1429" spans="20:46" ht="16.8">
      <c r="T1429" s="112"/>
      <c r="U1429" s="113"/>
      <c r="AF1429" s="2"/>
      <c r="AG1429" s="2"/>
      <c r="AS1429"/>
      <c r="AT1429"/>
    </row>
    <row r="1430" spans="20:46" ht="16.8">
      <c r="T1430" s="112"/>
      <c r="U1430" s="113"/>
      <c r="AF1430" s="2"/>
      <c r="AG1430" s="2"/>
      <c r="AS1430"/>
      <c r="AT1430"/>
    </row>
    <row r="1431" spans="20:46" ht="16.8">
      <c r="T1431" s="112"/>
      <c r="U1431" s="113"/>
      <c r="AF1431" s="2"/>
      <c r="AG1431" s="2"/>
      <c r="AS1431"/>
      <c r="AT1431"/>
    </row>
    <row r="1432" spans="20:46" ht="16.8">
      <c r="T1432" s="112"/>
      <c r="U1432" s="113"/>
      <c r="AF1432" s="2"/>
      <c r="AG1432" s="2"/>
      <c r="AS1432"/>
      <c r="AT1432"/>
    </row>
    <row r="1433" spans="20:46" ht="16.8">
      <c r="T1433" s="112"/>
      <c r="U1433" s="113"/>
      <c r="AF1433" s="2"/>
      <c r="AG1433" s="2"/>
      <c r="AS1433"/>
      <c r="AT1433"/>
    </row>
    <row r="1434" spans="20:46" ht="16.8">
      <c r="T1434" s="112"/>
      <c r="U1434" s="113"/>
      <c r="AF1434" s="2"/>
      <c r="AG1434" s="2"/>
      <c r="AS1434"/>
      <c r="AT1434"/>
    </row>
    <row r="1435" spans="20:46" ht="16.8">
      <c r="T1435" s="112"/>
      <c r="U1435" s="113"/>
      <c r="AF1435" s="2"/>
      <c r="AG1435" s="2"/>
      <c r="AS1435"/>
      <c r="AT1435"/>
    </row>
    <row r="1436" spans="20:46" ht="16.8">
      <c r="T1436" s="112"/>
      <c r="U1436" s="113"/>
      <c r="AF1436" s="2"/>
      <c r="AG1436" s="2"/>
      <c r="AS1436"/>
      <c r="AT1436"/>
    </row>
    <row r="1437" spans="20:46" ht="16.8">
      <c r="T1437" s="112"/>
      <c r="U1437" s="113"/>
      <c r="AF1437" s="2"/>
      <c r="AG1437" s="2"/>
      <c r="AS1437"/>
      <c r="AT1437"/>
    </row>
    <row r="1438" spans="20:46" ht="16.8">
      <c r="T1438" s="112"/>
      <c r="U1438" s="113"/>
      <c r="AF1438" s="2"/>
      <c r="AG1438" s="2"/>
      <c r="AS1438"/>
      <c r="AT1438"/>
    </row>
    <row r="1439" spans="20:46" ht="16.8">
      <c r="T1439" s="112"/>
      <c r="U1439" s="113"/>
      <c r="AF1439" s="2"/>
      <c r="AG1439" s="2"/>
      <c r="AS1439"/>
      <c r="AT1439"/>
    </row>
    <row r="1440" spans="20:46" ht="16.8">
      <c r="T1440" s="112"/>
      <c r="U1440" s="113"/>
      <c r="AF1440" s="2"/>
      <c r="AG1440" s="2"/>
      <c r="AS1440"/>
      <c r="AT1440"/>
    </row>
    <row r="1441" spans="20:46" ht="16.8">
      <c r="T1441" s="112"/>
      <c r="U1441" s="113"/>
      <c r="AF1441" s="2"/>
      <c r="AG1441" s="2"/>
      <c r="AS1441"/>
      <c r="AT1441"/>
    </row>
    <row r="1442" spans="20:46" ht="16.8">
      <c r="T1442" s="112"/>
      <c r="U1442" s="113"/>
      <c r="AF1442" s="2"/>
      <c r="AG1442" s="2"/>
      <c r="AS1442"/>
      <c r="AT1442"/>
    </row>
    <row r="1443" spans="20:46" ht="16.8">
      <c r="T1443" s="112"/>
      <c r="U1443" s="113"/>
      <c r="AF1443" s="2"/>
      <c r="AG1443" s="2"/>
      <c r="AS1443"/>
      <c r="AT1443"/>
    </row>
    <row r="1444" spans="20:46" ht="16.8">
      <c r="T1444" s="112"/>
      <c r="U1444" s="113"/>
      <c r="AF1444" s="2"/>
      <c r="AG1444" s="2"/>
      <c r="AS1444"/>
      <c r="AT1444"/>
    </row>
    <row r="1445" spans="20:46" ht="16.8">
      <c r="T1445" s="112"/>
      <c r="U1445" s="113"/>
      <c r="AF1445" s="2"/>
      <c r="AG1445" s="2"/>
      <c r="AS1445"/>
      <c r="AT1445"/>
    </row>
    <row r="1446" spans="20:46" ht="16.8">
      <c r="T1446" s="112"/>
      <c r="U1446" s="113"/>
      <c r="AF1446" s="2"/>
      <c r="AG1446" s="2"/>
      <c r="AS1446"/>
      <c r="AT1446"/>
    </row>
    <row r="1447" spans="20:46" ht="16.8">
      <c r="T1447" s="112"/>
      <c r="U1447" s="113"/>
      <c r="AF1447" s="2"/>
      <c r="AG1447" s="2"/>
      <c r="AS1447"/>
      <c r="AT1447"/>
    </row>
    <row r="1448" spans="20:46" ht="16.8">
      <c r="T1448" s="112"/>
      <c r="U1448" s="113"/>
      <c r="AF1448" s="2"/>
      <c r="AG1448" s="2"/>
      <c r="AS1448"/>
      <c r="AT1448"/>
    </row>
    <row r="1449" spans="20:46" ht="16.8">
      <c r="T1449" s="112"/>
      <c r="U1449" s="113"/>
      <c r="AF1449" s="2"/>
      <c r="AG1449" s="2"/>
      <c r="AS1449"/>
      <c r="AT1449"/>
    </row>
    <row r="1450" spans="20:46" ht="16.8">
      <c r="T1450" s="112"/>
      <c r="U1450" s="113"/>
      <c r="AF1450" s="2"/>
      <c r="AG1450" s="2"/>
      <c r="AS1450"/>
      <c r="AT1450"/>
    </row>
    <row r="1451" spans="20:46" ht="16.8">
      <c r="T1451" s="112"/>
      <c r="U1451" s="113"/>
      <c r="AF1451" s="2"/>
      <c r="AG1451" s="2"/>
      <c r="AS1451"/>
      <c r="AT1451"/>
    </row>
    <row r="1452" spans="20:46" ht="16.8">
      <c r="T1452" s="112"/>
      <c r="U1452" s="113"/>
      <c r="AF1452" s="2"/>
      <c r="AG1452" s="2"/>
      <c r="AS1452"/>
      <c r="AT1452"/>
    </row>
    <row r="1453" spans="20:46" ht="16.8">
      <c r="T1453" s="112"/>
      <c r="U1453" s="113"/>
      <c r="AF1453" s="2"/>
      <c r="AG1453" s="2"/>
      <c r="AS1453"/>
      <c r="AT1453"/>
    </row>
    <row r="1454" spans="20:46" ht="16.8">
      <c r="T1454" s="112"/>
      <c r="U1454" s="113"/>
      <c r="AF1454" s="2"/>
      <c r="AG1454" s="2"/>
      <c r="AS1454"/>
      <c r="AT1454"/>
    </row>
    <row r="1455" spans="20:46" ht="16.8">
      <c r="T1455" s="112"/>
      <c r="U1455" s="113"/>
      <c r="AF1455" s="2"/>
      <c r="AG1455" s="2"/>
      <c r="AS1455"/>
      <c r="AT1455"/>
    </row>
    <row r="1456" spans="20:46" ht="16.8">
      <c r="T1456" s="112"/>
      <c r="U1456" s="113"/>
      <c r="AF1456" s="2"/>
      <c r="AG1456" s="2"/>
      <c r="AS1456"/>
      <c r="AT1456"/>
    </row>
    <row r="1457" spans="20:46" ht="16.8">
      <c r="T1457" s="112"/>
      <c r="U1457" s="113"/>
      <c r="AF1457" s="2"/>
      <c r="AG1457" s="2"/>
      <c r="AS1457"/>
      <c r="AT1457"/>
    </row>
    <row r="1458" spans="20:46" ht="16.8">
      <c r="T1458" s="112"/>
      <c r="U1458" s="113"/>
      <c r="AF1458" s="2"/>
      <c r="AG1458" s="2"/>
      <c r="AS1458"/>
      <c r="AT1458"/>
    </row>
    <row r="1459" spans="20:46" ht="16.8">
      <c r="T1459" s="112"/>
      <c r="U1459" s="113"/>
      <c r="AF1459" s="2"/>
      <c r="AG1459" s="2"/>
      <c r="AS1459"/>
      <c r="AT1459"/>
    </row>
    <row r="1460" spans="20:46" ht="16.8">
      <c r="T1460" s="112"/>
      <c r="U1460" s="113"/>
      <c r="AF1460" s="2"/>
      <c r="AG1460" s="2"/>
      <c r="AS1460"/>
      <c r="AT1460"/>
    </row>
    <row r="1461" spans="20:46" ht="16.8">
      <c r="T1461" s="112"/>
      <c r="U1461" s="113"/>
      <c r="AF1461" s="2"/>
      <c r="AG1461" s="2"/>
      <c r="AS1461"/>
      <c r="AT1461"/>
    </row>
    <row r="1462" spans="20:46" ht="16.8">
      <c r="T1462" s="112"/>
      <c r="U1462" s="113"/>
      <c r="AF1462" s="2"/>
      <c r="AG1462" s="2"/>
      <c r="AS1462"/>
      <c r="AT1462"/>
    </row>
    <row r="1463" spans="20:46" ht="16.8">
      <c r="T1463" s="112"/>
      <c r="U1463" s="113"/>
      <c r="AF1463" s="2"/>
      <c r="AG1463" s="2"/>
      <c r="AS1463"/>
      <c r="AT1463"/>
    </row>
    <row r="1464" spans="20:46" ht="16.8">
      <c r="T1464" s="112"/>
      <c r="U1464" s="113"/>
      <c r="AF1464" s="2"/>
      <c r="AG1464" s="2"/>
      <c r="AS1464"/>
      <c r="AT1464"/>
    </row>
    <row r="1465" spans="20:46" ht="16.8">
      <c r="T1465" s="112"/>
      <c r="U1465" s="113"/>
      <c r="AF1465" s="2"/>
      <c r="AG1465" s="2"/>
      <c r="AS1465"/>
      <c r="AT1465"/>
    </row>
    <row r="1466" spans="20:46" ht="16.8">
      <c r="T1466" s="112"/>
      <c r="U1466" s="113"/>
      <c r="AF1466" s="2"/>
      <c r="AG1466" s="2"/>
      <c r="AS1466"/>
      <c r="AT1466"/>
    </row>
    <row r="1467" spans="20:46" ht="16.8">
      <c r="T1467" s="112"/>
      <c r="U1467" s="113"/>
      <c r="AF1467" s="2"/>
      <c r="AG1467" s="2"/>
      <c r="AS1467"/>
      <c r="AT1467"/>
    </row>
    <row r="1468" spans="20:46" ht="16.8">
      <c r="T1468" s="112"/>
      <c r="U1468" s="113"/>
      <c r="AF1468" s="2"/>
      <c r="AG1468" s="2"/>
      <c r="AS1468"/>
      <c r="AT1468"/>
    </row>
    <row r="1469" spans="20:46" ht="16.8">
      <c r="T1469" s="112"/>
      <c r="U1469" s="113"/>
      <c r="AF1469" s="2"/>
      <c r="AG1469" s="2"/>
      <c r="AS1469"/>
      <c r="AT1469"/>
    </row>
    <row r="1470" spans="20:46" ht="16.8">
      <c r="T1470" s="112"/>
      <c r="U1470" s="113"/>
      <c r="AF1470" s="2"/>
      <c r="AG1470" s="2"/>
      <c r="AS1470"/>
      <c r="AT1470"/>
    </row>
    <row r="1471" spans="20:46" ht="16.8">
      <c r="T1471" s="112"/>
      <c r="U1471" s="113"/>
      <c r="AF1471" s="2"/>
      <c r="AG1471" s="2"/>
      <c r="AS1471"/>
      <c r="AT1471"/>
    </row>
    <row r="1472" spans="20:46" ht="16.8">
      <c r="T1472" s="112"/>
      <c r="U1472" s="113"/>
      <c r="AF1472" s="2"/>
      <c r="AG1472" s="2"/>
      <c r="AS1472"/>
      <c r="AT1472"/>
    </row>
    <row r="1473" spans="20:46" ht="16.8">
      <c r="T1473" s="112"/>
      <c r="U1473" s="113"/>
      <c r="AF1473" s="2"/>
      <c r="AG1473" s="2"/>
      <c r="AS1473"/>
      <c r="AT1473"/>
    </row>
    <row r="1474" spans="20:46" ht="16.8">
      <c r="T1474" s="112"/>
      <c r="U1474" s="113"/>
      <c r="AF1474" s="2"/>
      <c r="AG1474" s="2"/>
      <c r="AS1474"/>
      <c r="AT1474"/>
    </row>
    <row r="1475" spans="20:46" ht="16.8">
      <c r="T1475" s="112"/>
      <c r="U1475" s="113"/>
      <c r="AF1475" s="2"/>
      <c r="AG1475" s="2"/>
      <c r="AS1475"/>
      <c r="AT1475"/>
    </row>
    <row r="1476" spans="20:46" ht="16.8">
      <c r="T1476" s="112"/>
      <c r="U1476" s="113"/>
      <c r="AF1476" s="2"/>
      <c r="AG1476" s="2"/>
      <c r="AS1476"/>
      <c r="AT1476"/>
    </row>
    <row r="1477" spans="20:46" ht="16.8">
      <c r="T1477" s="112"/>
      <c r="U1477" s="113"/>
      <c r="AF1477" s="2"/>
      <c r="AG1477" s="2"/>
      <c r="AS1477"/>
      <c r="AT1477"/>
    </row>
    <row r="1478" spans="20:46" ht="16.8">
      <c r="T1478" s="112"/>
      <c r="U1478" s="113"/>
      <c r="AF1478" s="2"/>
      <c r="AG1478" s="2"/>
      <c r="AS1478"/>
      <c r="AT1478"/>
    </row>
    <row r="1479" spans="20:46" ht="16.8">
      <c r="T1479" s="112"/>
      <c r="U1479" s="113"/>
      <c r="AF1479" s="2"/>
      <c r="AG1479" s="2"/>
      <c r="AS1479"/>
      <c r="AT1479"/>
    </row>
    <row r="1480" spans="20:46" ht="16.8">
      <c r="T1480" s="112"/>
      <c r="U1480" s="113"/>
      <c r="AF1480" s="2"/>
      <c r="AG1480" s="2"/>
      <c r="AS1480"/>
      <c r="AT1480"/>
    </row>
    <row r="1481" spans="20:46" ht="16.8">
      <c r="T1481" s="112"/>
      <c r="U1481" s="113"/>
      <c r="AF1481" s="2"/>
      <c r="AG1481" s="2"/>
      <c r="AS1481"/>
      <c r="AT1481"/>
    </row>
    <row r="1482" spans="20:46" ht="16.8">
      <c r="T1482" s="112"/>
      <c r="U1482" s="113"/>
      <c r="AF1482" s="2"/>
      <c r="AG1482" s="2"/>
      <c r="AS1482"/>
      <c r="AT1482"/>
    </row>
    <row r="1483" spans="20:46" ht="16.8">
      <c r="T1483" s="112"/>
      <c r="U1483" s="113"/>
      <c r="AF1483" s="2"/>
      <c r="AG1483" s="2"/>
      <c r="AS1483"/>
      <c r="AT1483"/>
    </row>
    <row r="1484" spans="20:46" ht="16.8">
      <c r="T1484" s="112"/>
      <c r="U1484" s="113"/>
      <c r="AF1484" s="2"/>
      <c r="AG1484" s="2"/>
      <c r="AS1484"/>
      <c r="AT1484"/>
    </row>
    <row r="1485" spans="20:46" ht="16.8">
      <c r="T1485" s="112"/>
      <c r="U1485" s="113"/>
      <c r="AF1485" s="2"/>
      <c r="AG1485" s="2"/>
      <c r="AS1485"/>
      <c r="AT1485"/>
    </row>
    <row r="1486" spans="20:46" ht="16.8">
      <c r="T1486" s="112"/>
      <c r="U1486" s="113"/>
      <c r="AF1486" s="2"/>
      <c r="AG1486" s="2"/>
      <c r="AS1486"/>
      <c r="AT1486"/>
    </row>
    <row r="1487" spans="20:46" ht="16.8">
      <c r="T1487" s="112"/>
      <c r="U1487" s="113"/>
      <c r="AF1487" s="2"/>
      <c r="AG1487" s="2"/>
      <c r="AS1487"/>
      <c r="AT1487"/>
    </row>
    <row r="1488" spans="20:46" ht="16.8">
      <c r="T1488" s="112"/>
      <c r="U1488" s="113"/>
      <c r="AF1488" s="2"/>
      <c r="AG1488" s="2"/>
      <c r="AS1488"/>
      <c r="AT1488"/>
    </row>
    <row r="1489" spans="20:46" ht="16.8">
      <c r="T1489" s="112"/>
      <c r="U1489" s="113"/>
      <c r="AF1489" s="2"/>
      <c r="AG1489" s="2"/>
      <c r="AS1489"/>
      <c r="AT1489"/>
    </row>
    <row r="1490" spans="20:46" ht="16.8">
      <c r="T1490" s="112"/>
      <c r="U1490" s="113"/>
      <c r="AF1490" s="2"/>
      <c r="AG1490" s="2"/>
      <c r="AS1490"/>
      <c r="AT1490"/>
    </row>
    <row r="1491" spans="20:46" ht="16.8">
      <c r="T1491" s="112"/>
      <c r="U1491" s="113"/>
      <c r="AF1491" s="2"/>
      <c r="AG1491" s="2"/>
      <c r="AS1491"/>
      <c r="AT1491"/>
    </row>
    <row r="1492" spans="20:46" ht="16.8">
      <c r="T1492" s="112"/>
      <c r="U1492" s="113"/>
      <c r="AF1492" s="2"/>
      <c r="AG1492" s="2"/>
      <c r="AS1492"/>
      <c r="AT1492"/>
    </row>
    <row r="1493" spans="20:46" ht="16.8">
      <c r="T1493" s="112"/>
      <c r="U1493" s="113"/>
      <c r="AF1493" s="2"/>
      <c r="AG1493" s="2"/>
      <c r="AS1493"/>
      <c r="AT1493"/>
    </row>
    <row r="1494" spans="20:46" ht="16.8">
      <c r="T1494" s="112"/>
      <c r="U1494" s="113"/>
      <c r="AF1494" s="2"/>
      <c r="AG1494" s="2"/>
      <c r="AS1494"/>
      <c r="AT1494"/>
    </row>
    <row r="1495" spans="20:46" ht="16.8">
      <c r="T1495" s="112"/>
      <c r="U1495" s="113"/>
      <c r="AF1495" s="2"/>
      <c r="AG1495" s="2"/>
      <c r="AS1495"/>
      <c r="AT1495"/>
    </row>
    <row r="1496" spans="20:46" ht="16.8">
      <c r="T1496" s="112"/>
      <c r="U1496" s="113"/>
      <c r="AF1496" s="2"/>
      <c r="AG1496" s="2"/>
      <c r="AS1496"/>
      <c r="AT1496"/>
    </row>
    <row r="1497" spans="20:46" ht="16.8">
      <c r="T1497" s="112"/>
      <c r="U1497" s="113"/>
      <c r="AF1497" s="2"/>
      <c r="AG1497" s="2"/>
      <c r="AS1497"/>
      <c r="AT1497"/>
    </row>
    <row r="1498" spans="20:46" ht="16.8">
      <c r="T1498" s="112"/>
      <c r="U1498" s="113"/>
      <c r="AF1498" s="2"/>
      <c r="AG1498" s="2"/>
      <c r="AS1498"/>
      <c r="AT1498"/>
    </row>
    <row r="1499" spans="20:46" ht="16.8">
      <c r="T1499" s="112"/>
      <c r="U1499" s="113"/>
      <c r="AF1499" s="2"/>
      <c r="AG1499" s="2"/>
      <c r="AS1499"/>
      <c r="AT1499"/>
    </row>
    <row r="1500" spans="20:46" ht="16.8">
      <c r="T1500" s="112"/>
      <c r="U1500" s="113"/>
      <c r="AF1500" s="2"/>
      <c r="AG1500" s="2"/>
      <c r="AS1500"/>
      <c r="AT1500"/>
    </row>
    <row r="1501" spans="20:46" ht="16.8">
      <c r="T1501" s="112"/>
      <c r="U1501" s="113"/>
      <c r="AF1501" s="2"/>
      <c r="AG1501" s="2"/>
      <c r="AS1501"/>
      <c r="AT1501"/>
    </row>
    <row r="1502" spans="20:46" ht="16.8">
      <c r="T1502" s="112"/>
      <c r="U1502" s="113"/>
      <c r="AF1502" s="2"/>
      <c r="AG1502" s="2"/>
      <c r="AS1502"/>
      <c r="AT1502"/>
    </row>
    <row r="1503" spans="20:46" ht="16.8">
      <c r="T1503" s="112"/>
      <c r="U1503" s="113"/>
      <c r="AF1503" s="2"/>
      <c r="AG1503" s="2"/>
      <c r="AS1503"/>
      <c r="AT1503"/>
    </row>
    <row r="1504" spans="20:46" ht="16.8">
      <c r="T1504" s="112"/>
      <c r="U1504" s="113"/>
      <c r="AF1504" s="2"/>
      <c r="AG1504" s="2"/>
      <c r="AS1504"/>
      <c r="AT1504"/>
    </row>
    <row r="1505" spans="20:46" ht="16.8">
      <c r="T1505" s="112"/>
      <c r="U1505" s="113"/>
      <c r="AF1505" s="2"/>
      <c r="AG1505" s="2"/>
      <c r="AS1505"/>
      <c r="AT1505"/>
    </row>
    <row r="1506" spans="20:46" ht="16.8">
      <c r="T1506" s="112"/>
      <c r="U1506" s="113"/>
      <c r="AF1506" s="2"/>
      <c r="AG1506" s="2"/>
      <c r="AS1506"/>
      <c r="AT1506"/>
    </row>
    <row r="1507" spans="20:46" ht="16.8">
      <c r="T1507" s="112"/>
      <c r="U1507" s="113"/>
      <c r="AF1507" s="2"/>
      <c r="AG1507" s="2"/>
      <c r="AS1507"/>
      <c r="AT1507"/>
    </row>
    <row r="1508" spans="20:46" ht="16.8">
      <c r="T1508" s="112"/>
      <c r="U1508" s="113"/>
      <c r="AF1508" s="2"/>
      <c r="AG1508" s="2"/>
      <c r="AS1508"/>
      <c r="AT1508"/>
    </row>
    <row r="1509" spans="20:46" ht="16.8">
      <c r="T1509" s="112"/>
      <c r="U1509" s="113"/>
      <c r="AF1509" s="2"/>
      <c r="AG1509" s="2"/>
      <c r="AS1509"/>
      <c r="AT1509"/>
    </row>
    <row r="1510" spans="20:46" ht="16.8">
      <c r="T1510" s="112"/>
      <c r="U1510" s="113"/>
      <c r="AF1510" s="2"/>
      <c r="AG1510" s="2"/>
      <c r="AS1510"/>
      <c r="AT1510"/>
    </row>
    <row r="1511" spans="20:46" ht="16.8">
      <c r="T1511" s="112"/>
      <c r="U1511" s="113"/>
      <c r="AF1511" s="2"/>
      <c r="AG1511" s="2"/>
      <c r="AS1511"/>
      <c r="AT1511"/>
    </row>
    <row r="1512" spans="20:46" ht="16.8">
      <c r="T1512" s="112"/>
      <c r="U1512" s="113"/>
      <c r="AF1512" s="2"/>
      <c r="AG1512" s="2"/>
      <c r="AS1512"/>
      <c r="AT1512"/>
    </row>
    <row r="1513" spans="20:46" ht="16.8">
      <c r="T1513" s="112"/>
      <c r="U1513" s="113"/>
      <c r="AF1513" s="2"/>
      <c r="AG1513" s="2"/>
      <c r="AS1513"/>
      <c r="AT1513"/>
    </row>
    <row r="1514" spans="20:46" ht="16.8">
      <c r="T1514" s="112"/>
      <c r="U1514" s="113"/>
      <c r="AF1514" s="2"/>
      <c r="AG1514" s="2"/>
      <c r="AS1514"/>
      <c r="AT1514"/>
    </row>
    <row r="1515" spans="20:46" ht="16.8">
      <c r="T1515" s="112"/>
      <c r="U1515" s="113"/>
      <c r="AF1515" s="2"/>
      <c r="AG1515" s="2"/>
      <c r="AS1515"/>
      <c r="AT1515"/>
    </row>
    <row r="1516" spans="20:46" ht="16.8">
      <c r="T1516" s="112"/>
      <c r="U1516" s="113"/>
      <c r="AF1516" s="2"/>
      <c r="AG1516" s="2"/>
      <c r="AS1516"/>
      <c r="AT1516"/>
    </row>
    <row r="1517" spans="20:46" ht="16.8">
      <c r="T1517" s="112"/>
      <c r="U1517" s="113"/>
      <c r="AF1517" s="2"/>
      <c r="AG1517" s="2"/>
      <c r="AS1517"/>
      <c r="AT1517"/>
    </row>
    <row r="1518" spans="20:46" ht="16.8">
      <c r="T1518" s="112"/>
      <c r="U1518" s="113"/>
      <c r="AF1518" s="2"/>
      <c r="AG1518" s="2"/>
      <c r="AS1518"/>
      <c r="AT1518"/>
    </row>
    <row r="1519" spans="20:46" ht="16.8">
      <c r="T1519" s="112"/>
      <c r="U1519" s="113"/>
      <c r="AF1519" s="2"/>
      <c r="AG1519" s="2"/>
      <c r="AS1519"/>
      <c r="AT1519"/>
    </row>
    <row r="1520" spans="20:46" ht="16.8">
      <c r="T1520" s="112"/>
      <c r="U1520" s="113"/>
      <c r="AF1520" s="2"/>
      <c r="AG1520" s="2"/>
      <c r="AS1520"/>
      <c r="AT1520"/>
    </row>
    <row r="1521" spans="20:46" ht="16.8">
      <c r="T1521" s="112"/>
      <c r="U1521" s="113"/>
      <c r="AF1521" s="2"/>
      <c r="AG1521" s="2"/>
      <c r="AS1521"/>
      <c r="AT1521"/>
    </row>
    <row r="1522" spans="20:46" ht="16.8">
      <c r="T1522" s="112"/>
      <c r="U1522" s="113"/>
      <c r="AF1522" s="2"/>
      <c r="AG1522" s="2"/>
      <c r="AS1522"/>
      <c r="AT1522"/>
    </row>
    <row r="1523" spans="20:46" ht="16.8">
      <c r="T1523" s="112"/>
      <c r="U1523" s="113"/>
      <c r="AF1523" s="2"/>
      <c r="AG1523" s="2"/>
      <c r="AS1523"/>
      <c r="AT1523"/>
    </row>
    <row r="1524" spans="20:46" ht="16.8">
      <c r="T1524" s="112"/>
      <c r="U1524" s="113"/>
      <c r="AF1524" s="2"/>
      <c r="AG1524" s="2"/>
      <c r="AS1524"/>
      <c r="AT1524"/>
    </row>
    <row r="1525" spans="20:46" ht="16.8">
      <c r="T1525" s="112"/>
      <c r="U1525" s="113"/>
      <c r="AF1525" s="2"/>
      <c r="AG1525" s="2"/>
      <c r="AS1525"/>
      <c r="AT1525"/>
    </row>
    <row r="1526" spans="20:46" ht="16.8">
      <c r="T1526" s="112"/>
      <c r="U1526" s="113"/>
      <c r="AF1526" s="2"/>
      <c r="AG1526" s="2"/>
      <c r="AS1526"/>
      <c r="AT1526"/>
    </row>
    <row r="1527" spans="20:46" ht="16.8">
      <c r="T1527" s="112"/>
      <c r="U1527" s="113"/>
      <c r="AF1527" s="2"/>
      <c r="AG1527" s="2"/>
      <c r="AS1527"/>
      <c r="AT1527"/>
    </row>
    <row r="1528" spans="20:46" ht="16.8">
      <c r="T1528" s="112"/>
      <c r="U1528" s="113"/>
      <c r="AF1528" s="2"/>
      <c r="AG1528" s="2"/>
      <c r="AS1528"/>
      <c r="AT1528"/>
    </row>
    <row r="1529" spans="20:46" ht="16.8">
      <c r="T1529" s="112"/>
      <c r="U1529" s="113"/>
      <c r="AF1529" s="2"/>
      <c r="AG1529" s="2"/>
      <c r="AS1529"/>
      <c r="AT1529"/>
    </row>
    <row r="1530" spans="20:46" ht="16.8">
      <c r="T1530" s="112"/>
      <c r="U1530" s="113"/>
      <c r="AF1530" s="2"/>
      <c r="AG1530" s="2"/>
      <c r="AS1530"/>
      <c r="AT1530"/>
    </row>
    <row r="1531" spans="20:46" ht="16.8">
      <c r="T1531" s="112"/>
      <c r="U1531" s="113"/>
      <c r="AF1531" s="2"/>
      <c r="AG1531" s="2"/>
      <c r="AS1531"/>
      <c r="AT1531"/>
    </row>
    <row r="1532" spans="20:46" ht="16.8">
      <c r="T1532" s="112"/>
      <c r="U1532" s="113"/>
      <c r="AF1532" s="2"/>
      <c r="AG1532" s="2"/>
      <c r="AS1532"/>
      <c r="AT1532"/>
    </row>
    <row r="1533" spans="20:46" ht="16.8">
      <c r="T1533" s="112"/>
      <c r="U1533" s="113"/>
      <c r="AF1533" s="2"/>
      <c r="AG1533" s="2"/>
      <c r="AS1533"/>
      <c r="AT1533"/>
    </row>
    <row r="1534" spans="20:46" ht="16.8">
      <c r="T1534" s="112"/>
      <c r="U1534" s="113"/>
      <c r="AF1534" s="2"/>
      <c r="AG1534" s="2"/>
      <c r="AS1534"/>
      <c r="AT1534"/>
    </row>
    <row r="1535" spans="20:46" ht="16.8">
      <c r="T1535" s="112"/>
      <c r="U1535" s="113"/>
      <c r="AF1535" s="2"/>
      <c r="AG1535" s="2"/>
      <c r="AS1535"/>
      <c r="AT1535"/>
    </row>
    <row r="1536" spans="20:46" ht="16.8">
      <c r="T1536" s="112"/>
      <c r="U1536" s="113"/>
      <c r="AF1536" s="2"/>
      <c r="AG1536" s="2"/>
      <c r="AS1536"/>
      <c r="AT1536"/>
    </row>
    <row r="1537" spans="20:46" ht="16.8">
      <c r="T1537" s="112"/>
      <c r="U1537" s="113"/>
      <c r="AF1537" s="2"/>
      <c r="AG1537" s="2"/>
      <c r="AS1537"/>
      <c r="AT1537"/>
    </row>
    <row r="1538" spans="20:46" ht="16.8">
      <c r="T1538" s="112"/>
      <c r="U1538" s="113"/>
      <c r="AF1538" s="2"/>
      <c r="AG1538" s="2"/>
      <c r="AS1538"/>
      <c r="AT1538"/>
    </row>
    <row r="1539" spans="20:46" ht="16.8">
      <c r="T1539" s="112"/>
      <c r="U1539" s="113"/>
      <c r="AF1539" s="2"/>
      <c r="AG1539" s="2"/>
      <c r="AS1539"/>
      <c r="AT1539"/>
    </row>
    <row r="1540" spans="20:46" ht="16.8">
      <c r="T1540" s="112"/>
      <c r="U1540" s="113"/>
      <c r="AF1540" s="2"/>
      <c r="AG1540" s="2"/>
      <c r="AS1540"/>
      <c r="AT1540"/>
    </row>
    <row r="1541" spans="20:46" ht="16.8">
      <c r="T1541" s="112"/>
      <c r="U1541" s="113"/>
      <c r="AF1541" s="2"/>
      <c r="AG1541" s="2"/>
      <c r="AS1541"/>
      <c r="AT1541"/>
    </row>
    <row r="1542" spans="20:46" ht="16.8">
      <c r="T1542" s="112"/>
      <c r="U1542" s="113"/>
      <c r="AF1542" s="2"/>
      <c r="AG1542" s="2"/>
      <c r="AS1542"/>
      <c r="AT1542"/>
    </row>
    <row r="1543" spans="20:46" ht="16.8">
      <c r="T1543" s="112"/>
      <c r="U1543" s="113"/>
      <c r="AF1543" s="2"/>
      <c r="AG1543" s="2"/>
      <c r="AS1543"/>
      <c r="AT1543"/>
    </row>
    <row r="1544" spans="20:46" ht="16.8">
      <c r="T1544" s="112"/>
      <c r="U1544" s="113"/>
      <c r="AF1544" s="2"/>
      <c r="AG1544" s="2"/>
      <c r="AS1544"/>
      <c r="AT1544"/>
    </row>
    <row r="1545" spans="20:46" ht="16.8">
      <c r="T1545" s="112"/>
      <c r="U1545" s="113"/>
      <c r="AF1545" s="2"/>
      <c r="AG1545" s="2"/>
      <c r="AS1545"/>
      <c r="AT1545"/>
    </row>
    <row r="1546" spans="20:46" ht="16.8">
      <c r="T1546" s="112"/>
      <c r="U1546" s="113"/>
      <c r="AF1546" s="2"/>
      <c r="AG1546" s="2"/>
      <c r="AS1546"/>
      <c r="AT1546"/>
    </row>
    <row r="1547" spans="20:46" ht="16.8">
      <c r="T1547" s="112"/>
      <c r="U1547" s="113"/>
      <c r="AF1547" s="2"/>
      <c r="AG1547" s="2"/>
      <c r="AS1547"/>
      <c r="AT1547"/>
    </row>
    <row r="1548" spans="20:46" ht="16.8">
      <c r="T1548" s="112"/>
      <c r="U1548" s="113"/>
      <c r="AF1548" s="2"/>
      <c r="AG1548" s="2"/>
      <c r="AS1548"/>
      <c r="AT1548"/>
    </row>
    <row r="1549" spans="20:46" ht="16.8">
      <c r="T1549" s="112"/>
      <c r="U1549" s="113"/>
      <c r="AF1549" s="2"/>
      <c r="AG1549" s="2"/>
      <c r="AS1549"/>
      <c r="AT1549"/>
    </row>
    <row r="1550" spans="20:46" ht="16.8">
      <c r="T1550" s="112"/>
      <c r="U1550" s="113"/>
      <c r="AF1550" s="2"/>
      <c r="AG1550" s="2"/>
      <c r="AS1550"/>
      <c r="AT1550"/>
    </row>
    <row r="1551" spans="20:46" ht="16.8">
      <c r="T1551" s="112"/>
      <c r="U1551" s="113"/>
      <c r="AF1551" s="2"/>
      <c r="AG1551" s="2"/>
      <c r="AS1551"/>
      <c r="AT1551"/>
    </row>
    <row r="1552" spans="20:46" ht="16.8">
      <c r="T1552" s="112"/>
      <c r="U1552" s="113"/>
      <c r="AF1552" s="2"/>
      <c r="AG1552" s="2"/>
      <c r="AS1552"/>
      <c r="AT1552"/>
    </row>
    <row r="1553" spans="20:46" ht="16.8">
      <c r="T1553" s="112"/>
      <c r="U1553" s="113"/>
      <c r="AF1553" s="2"/>
      <c r="AG1553" s="2"/>
      <c r="AS1553"/>
      <c r="AT1553"/>
    </row>
    <row r="1554" spans="20:46" ht="16.8">
      <c r="T1554" s="112"/>
      <c r="U1554" s="113"/>
      <c r="AF1554" s="2"/>
      <c r="AG1554" s="2"/>
      <c r="AS1554"/>
      <c r="AT1554"/>
    </row>
    <row r="1555" spans="20:46" ht="16.8">
      <c r="T1555" s="112"/>
      <c r="U1555" s="113"/>
      <c r="AF1555" s="2"/>
      <c r="AG1555" s="2"/>
      <c r="AS1555"/>
      <c r="AT1555"/>
    </row>
    <row r="1556" spans="20:46" ht="16.8">
      <c r="T1556" s="112"/>
      <c r="U1556" s="113"/>
      <c r="AF1556" s="2"/>
      <c r="AG1556" s="2"/>
      <c r="AS1556"/>
      <c r="AT1556"/>
    </row>
    <row r="1557" spans="20:46" ht="16.8">
      <c r="T1557" s="112"/>
      <c r="U1557" s="113"/>
      <c r="AF1557" s="2"/>
      <c r="AG1557" s="2"/>
      <c r="AS1557"/>
      <c r="AT1557"/>
    </row>
    <row r="1558" spans="20:46" ht="16.8">
      <c r="T1558" s="112"/>
      <c r="U1558" s="113"/>
      <c r="AF1558" s="2"/>
      <c r="AG1558" s="2"/>
      <c r="AS1558"/>
      <c r="AT1558"/>
    </row>
    <row r="1559" spans="20:46" ht="16.8">
      <c r="T1559" s="112"/>
      <c r="U1559" s="113"/>
      <c r="AF1559" s="2"/>
      <c r="AG1559" s="2"/>
      <c r="AS1559"/>
      <c r="AT1559"/>
    </row>
    <row r="1560" spans="20:46" ht="16.8">
      <c r="T1560" s="112"/>
      <c r="U1560" s="113"/>
      <c r="AF1560" s="2"/>
      <c r="AG1560" s="2"/>
      <c r="AS1560"/>
      <c r="AT1560"/>
    </row>
    <row r="1561" spans="20:46" ht="16.8">
      <c r="T1561" s="112"/>
      <c r="U1561" s="113"/>
      <c r="AF1561" s="2"/>
      <c r="AG1561" s="2"/>
      <c r="AS1561"/>
      <c r="AT1561"/>
    </row>
    <row r="1562" spans="20:46" ht="16.8">
      <c r="T1562" s="112"/>
      <c r="U1562" s="113"/>
      <c r="AF1562" s="2"/>
      <c r="AG1562" s="2"/>
      <c r="AS1562"/>
      <c r="AT1562"/>
    </row>
    <row r="1563" spans="20:46" ht="16.8">
      <c r="T1563" s="112"/>
      <c r="U1563" s="113"/>
      <c r="AF1563" s="2"/>
      <c r="AG1563" s="2"/>
      <c r="AS1563"/>
      <c r="AT1563"/>
    </row>
    <row r="1564" spans="20:46" ht="16.8">
      <c r="T1564" s="112"/>
      <c r="U1564" s="113"/>
      <c r="AF1564" s="2"/>
      <c r="AG1564" s="2"/>
      <c r="AS1564"/>
      <c r="AT1564"/>
    </row>
    <row r="1565" spans="20:46" ht="16.8">
      <c r="T1565" s="112"/>
      <c r="U1565" s="113"/>
      <c r="AF1565" s="2"/>
      <c r="AG1565" s="2"/>
      <c r="AS1565"/>
      <c r="AT1565"/>
    </row>
    <row r="1566" spans="20:46" ht="16.8">
      <c r="T1566" s="112"/>
      <c r="U1566" s="113"/>
      <c r="AF1566" s="2"/>
      <c r="AG1566" s="2"/>
      <c r="AS1566"/>
      <c r="AT1566"/>
    </row>
    <row r="1567" spans="20:46" ht="16.8">
      <c r="T1567" s="112"/>
      <c r="U1567" s="113"/>
      <c r="AF1567" s="2"/>
      <c r="AG1567" s="2"/>
      <c r="AS1567"/>
      <c r="AT1567"/>
    </row>
    <row r="1568" spans="20:46" ht="16.8">
      <c r="T1568" s="112"/>
      <c r="U1568" s="113"/>
      <c r="AF1568" s="2"/>
      <c r="AG1568" s="2"/>
      <c r="AS1568"/>
      <c r="AT1568"/>
    </row>
    <row r="1569" spans="20:46" ht="16.8">
      <c r="T1569" s="112"/>
      <c r="U1569" s="113"/>
      <c r="AF1569" s="2"/>
      <c r="AG1569" s="2"/>
      <c r="AS1569"/>
      <c r="AT1569"/>
    </row>
    <row r="1570" spans="20:46" ht="16.8">
      <c r="T1570" s="112"/>
      <c r="U1570" s="113"/>
      <c r="AF1570" s="2"/>
      <c r="AG1570" s="2"/>
      <c r="AS1570"/>
      <c r="AT1570"/>
    </row>
    <row r="1571" spans="20:46" ht="16.8">
      <c r="T1571" s="112"/>
      <c r="U1571" s="113"/>
      <c r="AF1571" s="2"/>
      <c r="AG1571" s="2"/>
      <c r="AS1571"/>
      <c r="AT1571"/>
    </row>
    <row r="1572" spans="20:46" ht="16.8">
      <c r="T1572" s="112"/>
      <c r="U1572" s="113"/>
      <c r="AF1572" s="2"/>
      <c r="AG1572" s="2"/>
      <c r="AS1572"/>
      <c r="AT1572"/>
    </row>
    <row r="1573" spans="20:46" ht="16.8">
      <c r="T1573" s="112"/>
      <c r="U1573" s="113"/>
      <c r="AF1573" s="2"/>
      <c r="AG1573" s="2"/>
      <c r="AS1573"/>
      <c r="AT1573"/>
    </row>
    <row r="1574" spans="20:46" ht="16.8">
      <c r="T1574" s="112"/>
      <c r="U1574" s="113"/>
      <c r="AF1574" s="2"/>
      <c r="AG1574" s="2"/>
      <c r="AS1574"/>
      <c r="AT1574"/>
    </row>
    <row r="1575" spans="20:46" ht="16.8">
      <c r="T1575" s="112"/>
      <c r="U1575" s="113"/>
      <c r="AF1575" s="2"/>
      <c r="AG1575" s="2"/>
      <c r="AS1575"/>
      <c r="AT1575"/>
    </row>
    <row r="1576" spans="20:46" ht="16.8">
      <c r="T1576" s="112"/>
      <c r="U1576" s="113"/>
      <c r="AF1576" s="2"/>
      <c r="AG1576" s="2"/>
      <c r="AS1576"/>
      <c r="AT1576"/>
    </row>
    <row r="1577" spans="20:46" ht="16.8">
      <c r="T1577" s="112"/>
      <c r="U1577" s="113"/>
      <c r="AF1577" s="2"/>
      <c r="AG1577" s="2"/>
      <c r="AS1577"/>
      <c r="AT1577"/>
    </row>
    <row r="1578" spans="20:46" ht="16.8">
      <c r="T1578" s="112"/>
      <c r="U1578" s="113"/>
      <c r="AF1578" s="2"/>
      <c r="AG1578" s="2"/>
      <c r="AS1578"/>
      <c r="AT1578"/>
    </row>
    <row r="1579" spans="20:46" ht="16.8">
      <c r="T1579" s="112"/>
      <c r="U1579" s="113"/>
      <c r="AF1579" s="2"/>
      <c r="AG1579" s="2"/>
      <c r="AS1579"/>
      <c r="AT1579"/>
    </row>
    <row r="1580" spans="20:46" ht="16.8">
      <c r="T1580" s="112"/>
      <c r="U1580" s="113"/>
      <c r="AF1580" s="2"/>
      <c r="AG1580" s="2"/>
      <c r="AS1580"/>
      <c r="AT1580"/>
    </row>
    <row r="1581" spans="20:46" ht="16.8">
      <c r="T1581" s="112"/>
      <c r="U1581" s="113"/>
      <c r="AF1581" s="2"/>
      <c r="AG1581" s="2"/>
      <c r="AS1581"/>
      <c r="AT1581"/>
    </row>
    <row r="1582" spans="20:46" ht="16.8">
      <c r="T1582" s="112"/>
      <c r="U1582" s="113"/>
      <c r="AF1582" s="2"/>
      <c r="AG1582" s="2"/>
      <c r="AS1582"/>
      <c r="AT1582"/>
    </row>
    <row r="1583" spans="20:46" ht="16.8">
      <c r="T1583" s="112"/>
      <c r="U1583" s="113"/>
      <c r="AF1583" s="2"/>
      <c r="AG1583" s="2"/>
      <c r="AS1583"/>
      <c r="AT1583"/>
    </row>
    <row r="1584" spans="20:46" ht="16.8">
      <c r="T1584" s="112"/>
      <c r="U1584" s="113"/>
      <c r="AF1584" s="2"/>
      <c r="AG1584" s="2"/>
      <c r="AS1584"/>
      <c r="AT1584"/>
    </row>
    <row r="1585" spans="20:46" ht="16.8">
      <c r="T1585" s="112"/>
      <c r="U1585" s="113"/>
      <c r="AF1585" s="2"/>
      <c r="AG1585" s="2"/>
      <c r="AS1585"/>
      <c r="AT1585"/>
    </row>
    <row r="1586" spans="20:46" ht="16.8">
      <c r="T1586" s="112"/>
      <c r="U1586" s="113"/>
      <c r="AF1586" s="2"/>
      <c r="AG1586" s="2"/>
      <c r="AS1586"/>
      <c r="AT1586"/>
    </row>
    <row r="1587" spans="20:46" ht="16.8">
      <c r="T1587" s="112"/>
      <c r="U1587" s="113"/>
      <c r="AF1587" s="2"/>
      <c r="AG1587" s="2"/>
      <c r="AS1587"/>
      <c r="AT1587"/>
    </row>
    <row r="1588" spans="20:46" ht="16.8">
      <c r="T1588" s="112"/>
      <c r="U1588" s="113"/>
      <c r="AF1588" s="2"/>
      <c r="AG1588" s="2"/>
      <c r="AS1588"/>
      <c r="AT1588"/>
    </row>
    <row r="1589" spans="20:46" ht="16.8">
      <c r="T1589" s="112"/>
      <c r="U1589" s="113"/>
      <c r="AF1589" s="2"/>
      <c r="AG1589" s="2"/>
      <c r="AS1589"/>
      <c r="AT1589"/>
    </row>
    <row r="1590" spans="20:46" ht="16.8">
      <c r="T1590" s="112"/>
      <c r="U1590" s="113"/>
      <c r="AF1590" s="2"/>
      <c r="AG1590" s="2"/>
      <c r="AS1590"/>
      <c r="AT1590"/>
    </row>
    <row r="1591" spans="20:46" ht="16.8">
      <c r="T1591" s="112"/>
      <c r="U1591" s="113"/>
      <c r="AF1591" s="2"/>
      <c r="AG1591" s="2"/>
      <c r="AS1591"/>
      <c r="AT1591"/>
    </row>
    <row r="1592" spans="20:46" ht="16.8">
      <c r="T1592" s="112"/>
      <c r="U1592" s="113"/>
      <c r="AF1592" s="2"/>
      <c r="AG1592" s="2"/>
      <c r="AS1592"/>
      <c r="AT1592"/>
    </row>
    <row r="1593" spans="20:46" ht="16.8">
      <c r="T1593" s="112"/>
      <c r="U1593" s="113"/>
      <c r="AF1593" s="2"/>
      <c r="AG1593" s="2"/>
      <c r="AS1593"/>
      <c r="AT1593"/>
    </row>
    <row r="1594" spans="20:46" ht="16.8">
      <c r="T1594" s="112"/>
      <c r="U1594" s="113"/>
      <c r="AF1594" s="2"/>
      <c r="AG1594" s="2"/>
      <c r="AS1594"/>
      <c r="AT1594"/>
    </row>
    <row r="1595" spans="20:46" ht="16.8">
      <c r="T1595" s="112"/>
      <c r="U1595" s="113"/>
      <c r="AF1595" s="2"/>
      <c r="AG1595" s="2"/>
      <c r="AS1595"/>
      <c r="AT1595"/>
    </row>
    <row r="1596" spans="20:46" ht="16.8">
      <c r="T1596" s="112"/>
      <c r="U1596" s="113"/>
      <c r="AF1596" s="2"/>
      <c r="AG1596" s="2"/>
      <c r="AS1596"/>
      <c r="AT1596"/>
    </row>
    <row r="1597" spans="20:46" ht="16.8">
      <c r="T1597" s="112"/>
      <c r="U1597" s="113"/>
      <c r="AF1597" s="2"/>
      <c r="AG1597" s="2"/>
      <c r="AS1597"/>
      <c r="AT1597"/>
    </row>
    <row r="1598" spans="20:46" ht="16.8">
      <c r="T1598" s="112"/>
      <c r="U1598" s="113"/>
      <c r="AF1598" s="2"/>
      <c r="AG1598" s="2"/>
      <c r="AS1598"/>
      <c r="AT1598"/>
    </row>
    <row r="1599" spans="20:46" ht="16.8">
      <c r="T1599" s="112"/>
      <c r="U1599" s="113"/>
      <c r="AF1599" s="2"/>
      <c r="AG1599" s="2"/>
      <c r="AS1599"/>
      <c r="AT1599"/>
    </row>
    <row r="1600" spans="20:46" ht="16.8">
      <c r="T1600" s="112"/>
      <c r="U1600" s="113"/>
      <c r="AF1600" s="2"/>
      <c r="AG1600" s="2"/>
      <c r="AS1600"/>
      <c r="AT1600"/>
    </row>
    <row r="1601" spans="20:46" ht="16.8">
      <c r="T1601" s="112"/>
      <c r="U1601" s="113"/>
      <c r="AF1601" s="2"/>
      <c r="AG1601" s="2"/>
      <c r="AS1601"/>
      <c r="AT1601"/>
    </row>
    <row r="1602" spans="20:46" ht="16.8">
      <c r="T1602" s="112"/>
      <c r="U1602" s="113"/>
      <c r="AF1602" s="2"/>
      <c r="AG1602" s="2"/>
      <c r="AS1602"/>
      <c r="AT1602"/>
    </row>
    <row r="1603" spans="20:46" ht="16.8">
      <c r="T1603" s="112"/>
      <c r="U1603" s="113"/>
      <c r="AF1603" s="2"/>
      <c r="AG1603" s="2"/>
      <c r="AS1603"/>
      <c r="AT1603"/>
    </row>
    <row r="1604" spans="20:46" ht="16.8">
      <c r="T1604" s="112"/>
      <c r="U1604" s="113"/>
      <c r="AF1604" s="2"/>
      <c r="AG1604" s="2"/>
      <c r="AS1604"/>
      <c r="AT1604"/>
    </row>
    <row r="1605" spans="20:46" ht="16.8">
      <c r="T1605" s="112"/>
      <c r="U1605" s="113"/>
      <c r="AF1605" s="2"/>
      <c r="AG1605" s="2"/>
      <c r="AS1605"/>
      <c r="AT1605"/>
    </row>
    <row r="1606" spans="20:46" ht="16.8">
      <c r="T1606" s="112"/>
      <c r="U1606" s="113"/>
      <c r="AF1606" s="2"/>
      <c r="AG1606" s="2"/>
      <c r="AS1606"/>
      <c r="AT1606"/>
    </row>
    <row r="1607" spans="20:46" ht="16.8">
      <c r="T1607" s="112"/>
      <c r="U1607" s="113"/>
      <c r="AF1607" s="2"/>
      <c r="AG1607" s="2"/>
      <c r="AS1607"/>
      <c r="AT1607"/>
    </row>
    <row r="1608" spans="20:46" ht="16.8">
      <c r="T1608" s="112"/>
      <c r="U1608" s="113"/>
      <c r="AF1608" s="2"/>
      <c r="AG1608" s="2"/>
      <c r="AS1608"/>
      <c r="AT1608"/>
    </row>
    <row r="1609" spans="20:46" ht="16.8">
      <c r="T1609" s="112"/>
      <c r="U1609" s="113"/>
      <c r="AF1609" s="2"/>
      <c r="AG1609" s="2"/>
      <c r="AS1609"/>
      <c r="AT1609"/>
    </row>
    <row r="1610" spans="20:46" ht="16.8">
      <c r="T1610" s="112"/>
      <c r="U1610" s="113"/>
      <c r="AF1610" s="2"/>
      <c r="AG1610" s="2"/>
      <c r="AS1610"/>
      <c r="AT1610"/>
    </row>
    <row r="1611" spans="20:46" ht="16.8">
      <c r="T1611" s="112"/>
      <c r="U1611" s="113"/>
      <c r="AF1611" s="2"/>
      <c r="AG1611" s="2"/>
      <c r="AS1611"/>
      <c r="AT1611"/>
    </row>
    <row r="1612" spans="20:46" ht="16.8">
      <c r="T1612" s="112"/>
      <c r="U1612" s="113"/>
      <c r="AF1612" s="2"/>
      <c r="AG1612" s="2"/>
      <c r="AS1612"/>
      <c r="AT1612"/>
    </row>
    <row r="1613" spans="20:46" ht="16.8">
      <c r="T1613" s="112"/>
      <c r="U1613" s="113"/>
      <c r="AF1613" s="2"/>
      <c r="AG1613" s="2"/>
      <c r="AS1613"/>
      <c r="AT1613"/>
    </row>
    <row r="1614" spans="20:46" ht="16.8">
      <c r="T1614" s="112"/>
      <c r="U1614" s="113"/>
      <c r="AF1614" s="2"/>
      <c r="AG1614" s="2"/>
      <c r="AS1614"/>
      <c r="AT1614"/>
    </row>
    <row r="1615" spans="20:46" ht="16.8">
      <c r="T1615" s="112"/>
      <c r="U1615" s="113"/>
      <c r="AF1615" s="2"/>
      <c r="AG1615" s="2"/>
      <c r="AS1615"/>
      <c r="AT1615"/>
    </row>
    <row r="1616" spans="20:46" ht="16.8">
      <c r="T1616" s="112"/>
      <c r="U1616" s="113"/>
      <c r="AF1616" s="2"/>
      <c r="AG1616" s="2"/>
      <c r="AS1616"/>
      <c r="AT1616"/>
    </row>
    <row r="1617" spans="20:46" ht="16.8">
      <c r="T1617" s="112"/>
      <c r="U1617" s="113"/>
      <c r="AF1617" s="2"/>
      <c r="AG1617" s="2"/>
      <c r="AS1617"/>
      <c r="AT1617"/>
    </row>
    <row r="1618" spans="20:46" ht="16.8">
      <c r="T1618" s="112"/>
      <c r="U1618" s="113"/>
      <c r="AF1618" s="2"/>
      <c r="AG1618" s="2"/>
      <c r="AS1618"/>
      <c r="AT1618"/>
    </row>
    <row r="1619" spans="20:46" ht="16.8">
      <c r="T1619" s="112"/>
      <c r="U1619" s="113"/>
      <c r="AF1619" s="2"/>
      <c r="AG1619" s="2"/>
      <c r="AS1619"/>
      <c r="AT1619"/>
    </row>
    <row r="1620" spans="20:46" ht="16.8">
      <c r="T1620" s="112"/>
      <c r="U1620" s="113"/>
      <c r="AF1620" s="2"/>
      <c r="AG1620" s="2"/>
      <c r="AS1620"/>
      <c r="AT1620"/>
    </row>
    <row r="1621" spans="20:46" ht="16.8">
      <c r="T1621" s="112"/>
      <c r="U1621" s="113"/>
      <c r="AF1621" s="2"/>
      <c r="AG1621" s="2"/>
      <c r="AS1621"/>
      <c r="AT1621"/>
    </row>
    <row r="1622" spans="20:46" ht="16.8">
      <c r="T1622" s="112"/>
      <c r="U1622" s="113"/>
      <c r="AF1622" s="2"/>
      <c r="AG1622" s="2"/>
      <c r="AS1622"/>
      <c r="AT1622"/>
    </row>
    <row r="1623" spans="20:46" ht="16.8">
      <c r="T1623" s="112"/>
      <c r="U1623" s="113"/>
      <c r="AF1623" s="2"/>
      <c r="AG1623" s="2"/>
      <c r="AS1623"/>
      <c r="AT1623"/>
    </row>
    <row r="1624" spans="20:46" ht="16.8">
      <c r="T1624" s="112"/>
      <c r="U1624" s="113"/>
      <c r="AF1624" s="2"/>
      <c r="AG1624" s="2"/>
      <c r="AS1624"/>
      <c r="AT1624"/>
    </row>
    <row r="1625" spans="20:46" ht="16.8">
      <c r="T1625" s="112"/>
      <c r="U1625" s="113"/>
      <c r="AF1625" s="2"/>
      <c r="AG1625" s="2"/>
      <c r="AS1625"/>
      <c r="AT1625"/>
    </row>
    <row r="1626" spans="20:46" ht="16.8">
      <c r="T1626" s="112"/>
      <c r="U1626" s="113"/>
      <c r="AF1626" s="2"/>
      <c r="AG1626" s="2"/>
      <c r="AS1626"/>
      <c r="AT1626"/>
    </row>
    <row r="1627" spans="20:46" ht="16.8">
      <c r="T1627" s="112"/>
      <c r="U1627" s="113"/>
      <c r="AF1627" s="2"/>
      <c r="AG1627" s="2"/>
      <c r="AS1627"/>
      <c r="AT1627"/>
    </row>
    <row r="1628" spans="20:46" ht="16.8">
      <c r="T1628" s="112"/>
      <c r="U1628" s="113"/>
      <c r="AF1628" s="2"/>
      <c r="AG1628" s="2"/>
      <c r="AS1628"/>
      <c r="AT1628"/>
    </row>
    <row r="1629" spans="20:46" ht="16.8">
      <c r="T1629" s="112"/>
      <c r="U1629" s="113"/>
      <c r="AF1629" s="2"/>
      <c r="AG1629" s="2"/>
      <c r="AS1629"/>
      <c r="AT1629"/>
    </row>
    <row r="1630" spans="20:46" ht="16.8">
      <c r="T1630" s="112"/>
      <c r="U1630" s="113"/>
      <c r="AF1630" s="2"/>
      <c r="AG1630" s="2"/>
      <c r="AS1630"/>
      <c r="AT1630"/>
    </row>
    <row r="1631" spans="20:46" ht="16.8">
      <c r="T1631" s="112"/>
      <c r="U1631" s="113"/>
      <c r="AF1631" s="2"/>
      <c r="AG1631" s="2"/>
      <c r="AS1631"/>
      <c r="AT1631"/>
    </row>
    <row r="1632" spans="20:46" ht="16.8">
      <c r="T1632" s="112"/>
      <c r="U1632" s="113"/>
      <c r="AF1632" s="2"/>
      <c r="AG1632" s="2"/>
      <c r="AS1632"/>
      <c r="AT1632"/>
    </row>
    <row r="1633" spans="20:46" ht="16.8">
      <c r="T1633" s="112"/>
      <c r="U1633" s="113"/>
      <c r="AF1633" s="2"/>
      <c r="AG1633" s="2"/>
      <c r="AS1633"/>
      <c r="AT1633"/>
    </row>
    <row r="1634" spans="20:46" ht="16.8">
      <c r="T1634" s="112"/>
      <c r="U1634" s="113"/>
      <c r="AF1634" s="2"/>
      <c r="AG1634" s="2"/>
      <c r="AS1634"/>
      <c r="AT1634"/>
    </row>
    <row r="1635" spans="20:46" ht="16.8">
      <c r="T1635" s="112"/>
      <c r="U1635" s="113"/>
      <c r="AF1635" s="2"/>
      <c r="AG1635" s="2"/>
      <c r="AS1635"/>
      <c r="AT1635"/>
    </row>
    <row r="1636" spans="20:46" ht="16.8">
      <c r="T1636" s="112"/>
      <c r="U1636" s="113"/>
      <c r="AF1636" s="2"/>
      <c r="AG1636" s="2"/>
      <c r="AS1636"/>
      <c r="AT1636"/>
    </row>
    <row r="1637" spans="20:46" ht="16.8">
      <c r="T1637" s="112"/>
      <c r="U1637" s="113"/>
      <c r="AF1637" s="2"/>
      <c r="AG1637" s="2"/>
      <c r="AS1637"/>
      <c r="AT1637"/>
    </row>
    <row r="1638" spans="20:46" ht="16.8">
      <c r="T1638" s="112"/>
      <c r="U1638" s="113"/>
      <c r="AF1638" s="2"/>
      <c r="AG1638" s="2"/>
      <c r="AS1638"/>
      <c r="AT1638"/>
    </row>
    <row r="1639" spans="20:46" ht="16.8">
      <c r="T1639" s="112"/>
      <c r="U1639" s="113"/>
      <c r="AF1639" s="2"/>
      <c r="AG1639" s="2"/>
      <c r="AS1639"/>
      <c r="AT1639"/>
    </row>
    <row r="1640" spans="20:46" ht="16.8">
      <c r="T1640" s="112"/>
      <c r="U1640" s="113"/>
      <c r="AF1640" s="2"/>
      <c r="AG1640" s="2"/>
      <c r="AS1640"/>
      <c r="AT1640"/>
    </row>
    <row r="1641" spans="20:46" ht="16.8">
      <c r="T1641" s="112"/>
      <c r="U1641" s="113"/>
      <c r="AF1641" s="2"/>
      <c r="AG1641" s="2"/>
      <c r="AS1641"/>
      <c r="AT1641"/>
    </row>
    <row r="1642" spans="20:46" ht="16.8">
      <c r="T1642" s="112"/>
      <c r="U1642" s="113"/>
      <c r="AF1642" s="2"/>
      <c r="AG1642" s="2"/>
      <c r="AS1642"/>
      <c r="AT1642"/>
    </row>
    <row r="1643" spans="20:46" ht="16.8">
      <c r="T1643" s="112"/>
      <c r="U1643" s="113"/>
      <c r="AF1643" s="2"/>
      <c r="AG1643" s="2"/>
      <c r="AS1643"/>
      <c r="AT1643"/>
    </row>
    <row r="1644" spans="20:46" ht="16.8">
      <c r="T1644" s="112"/>
      <c r="U1644" s="113"/>
      <c r="AF1644" s="2"/>
      <c r="AG1644" s="2"/>
      <c r="AS1644"/>
      <c r="AT1644"/>
    </row>
    <row r="1645" spans="20:46" ht="16.8">
      <c r="T1645" s="112"/>
      <c r="U1645" s="113"/>
      <c r="AF1645" s="2"/>
      <c r="AG1645" s="2"/>
      <c r="AS1645"/>
      <c r="AT1645"/>
    </row>
    <row r="1646" spans="20:46" ht="16.8">
      <c r="T1646" s="112"/>
      <c r="U1646" s="113"/>
      <c r="AF1646" s="2"/>
      <c r="AG1646" s="2"/>
      <c r="AS1646"/>
      <c r="AT1646"/>
    </row>
    <row r="1647" spans="20:46" ht="16.8">
      <c r="T1647" s="112"/>
      <c r="U1647" s="113"/>
      <c r="AF1647" s="2"/>
      <c r="AG1647" s="2"/>
      <c r="AS1647"/>
      <c r="AT1647"/>
    </row>
    <row r="1648" spans="20:46" ht="16.8">
      <c r="T1648" s="112"/>
      <c r="U1648" s="113"/>
      <c r="AF1648" s="2"/>
      <c r="AG1648" s="2"/>
      <c r="AS1648"/>
      <c r="AT1648"/>
    </row>
    <row r="1649" spans="20:46" ht="16.8">
      <c r="T1649" s="112"/>
      <c r="U1649" s="113"/>
      <c r="AF1649" s="2"/>
      <c r="AG1649" s="2"/>
      <c r="AS1649"/>
      <c r="AT1649"/>
    </row>
    <row r="1650" spans="20:46" ht="16.8">
      <c r="T1650" s="112"/>
      <c r="U1650" s="113"/>
      <c r="AF1650" s="2"/>
      <c r="AG1650" s="2"/>
      <c r="AS1650"/>
      <c r="AT1650"/>
    </row>
    <row r="1651" spans="20:46" ht="16.8">
      <c r="T1651" s="112"/>
      <c r="U1651" s="113"/>
      <c r="AF1651" s="2"/>
      <c r="AG1651" s="2"/>
      <c r="AS1651"/>
      <c r="AT1651"/>
    </row>
    <row r="1652" spans="20:46" ht="16.8">
      <c r="T1652" s="112"/>
      <c r="U1652" s="113"/>
      <c r="AF1652" s="2"/>
      <c r="AG1652" s="2"/>
      <c r="AS1652"/>
      <c r="AT1652"/>
    </row>
    <row r="1653" spans="20:46" ht="16.8">
      <c r="T1653" s="112"/>
      <c r="U1653" s="113"/>
      <c r="AF1653" s="2"/>
      <c r="AG1653" s="2"/>
      <c r="AS1653"/>
      <c r="AT1653"/>
    </row>
    <row r="1654" spans="20:46" ht="16.8">
      <c r="T1654" s="112"/>
      <c r="U1654" s="113"/>
      <c r="AF1654" s="2"/>
      <c r="AG1654" s="2"/>
      <c r="AS1654"/>
      <c r="AT1654"/>
    </row>
    <row r="1655" spans="20:46" ht="16.8">
      <c r="T1655" s="112"/>
      <c r="U1655" s="113"/>
      <c r="AF1655" s="2"/>
      <c r="AG1655" s="2"/>
      <c r="AS1655"/>
      <c r="AT1655"/>
    </row>
    <row r="1656" spans="20:46" ht="16.8">
      <c r="T1656" s="112"/>
      <c r="U1656" s="113"/>
      <c r="AF1656" s="2"/>
      <c r="AG1656" s="2"/>
      <c r="AS1656"/>
      <c r="AT1656"/>
    </row>
    <row r="1657" spans="20:46" ht="16.8">
      <c r="T1657" s="112"/>
      <c r="U1657" s="113"/>
      <c r="AF1657" s="2"/>
      <c r="AG1657" s="2"/>
      <c r="AS1657"/>
      <c r="AT1657"/>
    </row>
    <row r="1658" spans="20:46" ht="16.8">
      <c r="T1658" s="112"/>
      <c r="U1658" s="113"/>
      <c r="AF1658" s="2"/>
      <c r="AG1658" s="2"/>
      <c r="AS1658"/>
      <c r="AT1658"/>
    </row>
    <row r="1659" spans="20:46" ht="16.8">
      <c r="T1659" s="112"/>
      <c r="U1659" s="113"/>
      <c r="AF1659" s="2"/>
      <c r="AG1659" s="2"/>
      <c r="AS1659"/>
      <c r="AT1659"/>
    </row>
    <row r="1660" spans="20:46" ht="16.8">
      <c r="T1660" s="112"/>
      <c r="U1660" s="113"/>
      <c r="AF1660" s="2"/>
      <c r="AG1660" s="2"/>
      <c r="AS1660"/>
      <c r="AT1660"/>
    </row>
    <row r="1661" spans="20:46" ht="16.8">
      <c r="T1661" s="112"/>
      <c r="U1661" s="113"/>
      <c r="AF1661" s="2"/>
      <c r="AG1661" s="2"/>
      <c r="AS1661"/>
      <c r="AT1661"/>
    </row>
    <row r="1662" spans="20:46" ht="16.8">
      <c r="T1662" s="112"/>
      <c r="U1662" s="113"/>
      <c r="AF1662" s="2"/>
      <c r="AG1662" s="2"/>
      <c r="AS1662"/>
      <c r="AT1662"/>
    </row>
    <row r="1663" spans="20:46" ht="16.8">
      <c r="T1663" s="112"/>
      <c r="U1663" s="113"/>
      <c r="AF1663" s="2"/>
      <c r="AG1663" s="2"/>
      <c r="AS1663"/>
      <c r="AT1663"/>
    </row>
    <row r="1664" spans="20:46" ht="16.8">
      <c r="T1664" s="112"/>
      <c r="U1664" s="113"/>
      <c r="AF1664" s="2"/>
      <c r="AG1664" s="2"/>
      <c r="AS1664"/>
      <c r="AT1664"/>
    </row>
    <row r="1665" spans="20:46" ht="16.8">
      <c r="T1665" s="112"/>
      <c r="U1665" s="113"/>
      <c r="AF1665" s="2"/>
      <c r="AG1665" s="2"/>
      <c r="AS1665"/>
      <c r="AT1665"/>
    </row>
    <row r="1666" spans="20:46" ht="16.8">
      <c r="T1666" s="112"/>
      <c r="U1666" s="113"/>
      <c r="AF1666" s="2"/>
      <c r="AG1666" s="2"/>
      <c r="AS1666"/>
      <c r="AT1666"/>
    </row>
    <row r="1667" spans="20:46" ht="16.8">
      <c r="T1667" s="112"/>
      <c r="U1667" s="113"/>
      <c r="AF1667" s="2"/>
      <c r="AG1667" s="2"/>
      <c r="AS1667"/>
      <c r="AT1667"/>
    </row>
    <row r="1668" spans="20:46" ht="16.8">
      <c r="T1668" s="112"/>
      <c r="U1668" s="113"/>
      <c r="AF1668" s="2"/>
      <c r="AG1668" s="2"/>
      <c r="AS1668"/>
      <c r="AT1668"/>
    </row>
    <row r="1669" spans="20:46" ht="16.8">
      <c r="T1669" s="112"/>
      <c r="U1669" s="113"/>
      <c r="AF1669" s="2"/>
      <c r="AG1669" s="2"/>
      <c r="AS1669"/>
      <c r="AT1669"/>
    </row>
    <row r="1670" spans="20:46" ht="16.8">
      <c r="T1670" s="112"/>
      <c r="U1670" s="113"/>
      <c r="AF1670" s="2"/>
      <c r="AG1670" s="2"/>
      <c r="AS1670"/>
      <c r="AT1670"/>
    </row>
    <row r="1671" spans="20:46" ht="16.8">
      <c r="T1671" s="112"/>
      <c r="U1671" s="113"/>
      <c r="AF1671" s="2"/>
      <c r="AG1671" s="2"/>
      <c r="AS1671"/>
      <c r="AT1671"/>
    </row>
    <row r="1672" spans="20:46" ht="16.8">
      <c r="T1672" s="112"/>
      <c r="U1672" s="113"/>
      <c r="AF1672" s="2"/>
      <c r="AG1672" s="2"/>
      <c r="AS1672"/>
      <c r="AT1672"/>
    </row>
    <row r="1673" spans="20:46" ht="16.8">
      <c r="T1673" s="112"/>
      <c r="U1673" s="113"/>
      <c r="AF1673" s="2"/>
      <c r="AG1673" s="2"/>
      <c r="AS1673"/>
      <c r="AT1673"/>
    </row>
    <row r="1674" spans="20:46" ht="16.8">
      <c r="T1674" s="112"/>
      <c r="U1674" s="113"/>
      <c r="AF1674" s="2"/>
      <c r="AG1674" s="2"/>
      <c r="AS1674"/>
      <c r="AT1674"/>
    </row>
    <row r="1675" spans="20:46" ht="16.8">
      <c r="T1675" s="112"/>
      <c r="U1675" s="113"/>
      <c r="AF1675" s="2"/>
      <c r="AG1675" s="2"/>
      <c r="AS1675"/>
      <c r="AT1675"/>
    </row>
    <row r="1676" spans="20:46" ht="16.8">
      <c r="T1676" s="112"/>
      <c r="U1676" s="113"/>
      <c r="AF1676" s="2"/>
      <c r="AG1676" s="2"/>
      <c r="AS1676"/>
      <c r="AT1676"/>
    </row>
    <row r="1677" spans="20:46" ht="16.8">
      <c r="T1677" s="112"/>
      <c r="U1677" s="113"/>
      <c r="AF1677" s="2"/>
      <c r="AG1677" s="2"/>
      <c r="AS1677"/>
      <c r="AT1677"/>
    </row>
    <row r="1678" spans="20:46" ht="16.8">
      <c r="T1678" s="112"/>
      <c r="U1678" s="113"/>
      <c r="AF1678" s="2"/>
      <c r="AG1678" s="2"/>
      <c r="AS1678"/>
      <c r="AT1678"/>
    </row>
    <row r="1679" spans="20:46" ht="16.8">
      <c r="T1679" s="112"/>
      <c r="U1679" s="113"/>
      <c r="AF1679" s="2"/>
      <c r="AG1679" s="2"/>
      <c r="AS1679"/>
      <c r="AT1679"/>
    </row>
    <row r="1680" spans="20:46" ht="16.8">
      <c r="T1680" s="112"/>
      <c r="U1680" s="113"/>
      <c r="AF1680" s="2"/>
      <c r="AG1680" s="2"/>
      <c r="AS1680"/>
      <c r="AT1680"/>
    </row>
    <row r="1681" spans="20:46" ht="16.8">
      <c r="T1681" s="112"/>
      <c r="U1681" s="113"/>
      <c r="AF1681" s="2"/>
      <c r="AG1681" s="2"/>
      <c r="AS1681"/>
      <c r="AT1681"/>
    </row>
    <row r="1682" spans="20:46" ht="16.8">
      <c r="T1682" s="112"/>
      <c r="U1682" s="113"/>
      <c r="AF1682" s="2"/>
      <c r="AG1682" s="2"/>
      <c r="AS1682"/>
      <c r="AT1682"/>
    </row>
    <row r="1683" spans="20:46" ht="16.8">
      <c r="T1683" s="112"/>
      <c r="U1683" s="113"/>
      <c r="AF1683" s="2"/>
      <c r="AG1683" s="2"/>
      <c r="AS1683"/>
      <c r="AT1683"/>
    </row>
    <row r="1684" spans="20:46" ht="16.8">
      <c r="T1684" s="112"/>
      <c r="U1684" s="113"/>
      <c r="AF1684" s="2"/>
      <c r="AG1684" s="2"/>
      <c r="AS1684"/>
      <c r="AT1684"/>
    </row>
    <row r="1685" spans="20:46" ht="16.8">
      <c r="T1685" s="112"/>
      <c r="U1685" s="113"/>
      <c r="AF1685" s="2"/>
      <c r="AG1685" s="2"/>
      <c r="AS1685"/>
      <c r="AT1685"/>
    </row>
    <row r="1686" spans="20:46" ht="16.8">
      <c r="T1686" s="112"/>
      <c r="U1686" s="113"/>
      <c r="AF1686" s="2"/>
      <c r="AG1686" s="2"/>
      <c r="AS1686"/>
      <c r="AT1686"/>
    </row>
    <row r="1687" spans="20:46" ht="16.8">
      <c r="T1687" s="112"/>
      <c r="U1687" s="113"/>
      <c r="AF1687" s="2"/>
      <c r="AG1687" s="2"/>
      <c r="AS1687"/>
      <c r="AT1687"/>
    </row>
    <row r="1688" spans="20:46" ht="16.8">
      <c r="T1688" s="112"/>
      <c r="U1688" s="113"/>
      <c r="AF1688" s="2"/>
      <c r="AG1688" s="2"/>
      <c r="AS1688"/>
      <c r="AT1688"/>
    </row>
    <row r="1689" spans="20:46" ht="16.8">
      <c r="T1689" s="112"/>
      <c r="U1689" s="113"/>
      <c r="AF1689" s="2"/>
      <c r="AG1689" s="2"/>
      <c r="AS1689"/>
      <c r="AT1689"/>
    </row>
    <row r="1690" spans="20:46" ht="16.8">
      <c r="T1690" s="112"/>
      <c r="U1690" s="113"/>
      <c r="AF1690" s="2"/>
      <c r="AG1690" s="2"/>
      <c r="AS1690"/>
      <c r="AT1690"/>
    </row>
    <row r="1691" spans="20:46" ht="16.8">
      <c r="T1691" s="112"/>
      <c r="U1691" s="113"/>
      <c r="AF1691" s="2"/>
      <c r="AG1691" s="2"/>
      <c r="AS1691"/>
      <c r="AT1691"/>
    </row>
    <row r="1692" spans="20:46" ht="16.8">
      <c r="T1692" s="112"/>
      <c r="U1692" s="113"/>
      <c r="AF1692" s="2"/>
      <c r="AG1692" s="2"/>
      <c r="AS1692"/>
      <c r="AT1692"/>
    </row>
    <row r="1693" spans="20:46" ht="16.8">
      <c r="T1693" s="112"/>
      <c r="U1693" s="113"/>
      <c r="AF1693" s="2"/>
      <c r="AG1693" s="2"/>
      <c r="AS1693"/>
      <c r="AT1693"/>
    </row>
    <row r="1694" spans="20:46" ht="16.8">
      <c r="T1694" s="112"/>
      <c r="U1694" s="113"/>
      <c r="AF1694" s="2"/>
      <c r="AG1694" s="2"/>
      <c r="AS1694"/>
      <c r="AT1694"/>
    </row>
    <row r="1695" spans="20:46" ht="16.8">
      <c r="T1695" s="112"/>
      <c r="U1695" s="113"/>
      <c r="AF1695" s="2"/>
      <c r="AG1695" s="2"/>
      <c r="AS1695"/>
      <c r="AT1695"/>
    </row>
    <row r="1696" spans="20:46" ht="16.8">
      <c r="T1696" s="112"/>
      <c r="U1696" s="113"/>
      <c r="AF1696" s="2"/>
      <c r="AG1696" s="2"/>
      <c r="AS1696"/>
      <c r="AT1696"/>
    </row>
    <row r="1697" spans="20:46" ht="16.8">
      <c r="T1697" s="112"/>
      <c r="U1697" s="113"/>
      <c r="AF1697" s="2"/>
      <c r="AG1697" s="2"/>
      <c r="AS1697"/>
      <c r="AT1697"/>
    </row>
    <row r="1698" spans="20:46" ht="16.8">
      <c r="T1698" s="112"/>
      <c r="U1698" s="113"/>
      <c r="AF1698" s="2"/>
      <c r="AG1698" s="2"/>
      <c r="AS1698"/>
      <c r="AT1698"/>
    </row>
    <row r="1699" spans="20:46" ht="16.8">
      <c r="T1699" s="112"/>
      <c r="U1699" s="113"/>
      <c r="AF1699" s="2"/>
      <c r="AG1699" s="2"/>
      <c r="AS1699"/>
      <c r="AT1699"/>
    </row>
    <row r="1700" spans="20:46" ht="16.8">
      <c r="T1700" s="112"/>
      <c r="U1700" s="113"/>
      <c r="AF1700" s="2"/>
      <c r="AG1700" s="2"/>
      <c r="AS1700"/>
      <c r="AT1700"/>
    </row>
    <row r="1701" spans="20:46" ht="16.8">
      <c r="T1701" s="112"/>
      <c r="U1701" s="113"/>
      <c r="AF1701" s="2"/>
      <c r="AG1701" s="2"/>
      <c r="AS1701"/>
      <c r="AT1701"/>
    </row>
    <row r="1702" spans="20:46" ht="16.8">
      <c r="T1702" s="112"/>
      <c r="U1702" s="113"/>
      <c r="AF1702" s="2"/>
      <c r="AG1702" s="2"/>
      <c r="AS1702"/>
      <c r="AT1702"/>
    </row>
    <row r="1703" spans="20:46" ht="16.8">
      <c r="T1703" s="112"/>
      <c r="U1703" s="113"/>
      <c r="AF1703" s="2"/>
      <c r="AG1703" s="2"/>
      <c r="AS1703"/>
      <c r="AT1703"/>
    </row>
    <row r="1704" spans="20:46" ht="16.8">
      <c r="T1704" s="112"/>
      <c r="U1704" s="113"/>
      <c r="AF1704" s="2"/>
      <c r="AG1704" s="2"/>
      <c r="AS1704"/>
      <c r="AT1704"/>
    </row>
    <row r="1705" spans="20:46" ht="16.8">
      <c r="T1705" s="112"/>
      <c r="U1705" s="113"/>
      <c r="AF1705" s="2"/>
      <c r="AG1705" s="2"/>
      <c r="AS1705"/>
      <c r="AT1705"/>
    </row>
    <row r="1706" spans="20:46" ht="16.8">
      <c r="T1706" s="112"/>
      <c r="U1706" s="113"/>
      <c r="AF1706" s="2"/>
      <c r="AG1706" s="2"/>
      <c r="AS1706"/>
      <c r="AT1706"/>
    </row>
    <row r="1707" spans="20:46" ht="16.8">
      <c r="T1707" s="112"/>
      <c r="U1707" s="113"/>
      <c r="AF1707" s="2"/>
      <c r="AG1707" s="2"/>
      <c r="AS1707"/>
      <c r="AT1707"/>
    </row>
    <row r="1708" spans="20:46" ht="16.8">
      <c r="T1708" s="112"/>
      <c r="U1708" s="113"/>
      <c r="AF1708" s="2"/>
      <c r="AG1708" s="2"/>
      <c r="AS1708"/>
      <c r="AT1708"/>
    </row>
    <row r="1709" spans="20:46" ht="16.8">
      <c r="T1709" s="112"/>
      <c r="U1709" s="113"/>
      <c r="AF1709" s="2"/>
      <c r="AG1709" s="2"/>
      <c r="AS1709"/>
      <c r="AT1709"/>
    </row>
    <row r="1710" spans="20:46" ht="16.8">
      <c r="T1710" s="112"/>
      <c r="U1710" s="113"/>
      <c r="AF1710" s="2"/>
      <c r="AG1710" s="2"/>
      <c r="AS1710"/>
      <c r="AT1710"/>
    </row>
    <row r="1711" spans="20:46" ht="16.8">
      <c r="T1711" s="112"/>
      <c r="U1711" s="113"/>
      <c r="AF1711" s="2"/>
      <c r="AG1711" s="2"/>
      <c r="AS1711"/>
      <c r="AT1711"/>
    </row>
    <row r="1712" spans="20:46" ht="16.8">
      <c r="T1712" s="112"/>
      <c r="U1712" s="113"/>
      <c r="AF1712" s="2"/>
      <c r="AG1712" s="2"/>
      <c r="AS1712"/>
      <c r="AT1712"/>
    </row>
    <row r="1713" spans="20:46" ht="16.8">
      <c r="T1713" s="112"/>
      <c r="U1713" s="113"/>
      <c r="AF1713" s="2"/>
      <c r="AG1713" s="2"/>
      <c r="AS1713"/>
      <c r="AT1713"/>
    </row>
    <row r="1714" spans="20:46" ht="16.8">
      <c r="T1714" s="112"/>
      <c r="U1714" s="113"/>
      <c r="AF1714" s="2"/>
      <c r="AG1714" s="2"/>
      <c r="AS1714"/>
      <c r="AT1714"/>
    </row>
    <row r="1715" spans="20:46" ht="16.8">
      <c r="T1715" s="112"/>
      <c r="U1715" s="113"/>
      <c r="AF1715" s="2"/>
      <c r="AG1715" s="2"/>
      <c r="AS1715"/>
      <c r="AT1715"/>
    </row>
    <row r="1716" spans="20:46" ht="16.8">
      <c r="T1716" s="112"/>
      <c r="U1716" s="113"/>
      <c r="AF1716" s="2"/>
      <c r="AG1716" s="2"/>
      <c r="AS1716"/>
      <c r="AT1716"/>
    </row>
    <row r="1717" spans="20:46" ht="16.8">
      <c r="T1717" s="112"/>
      <c r="U1717" s="113"/>
      <c r="AF1717" s="2"/>
      <c r="AG1717" s="2"/>
      <c r="AS1717"/>
      <c r="AT1717"/>
    </row>
    <row r="1718" spans="20:46" ht="16.8">
      <c r="T1718" s="112"/>
      <c r="U1718" s="113"/>
      <c r="AF1718" s="2"/>
      <c r="AG1718" s="2"/>
      <c r="AS1718"/>
      <c r="AT1718"/>
    </row>
    <row r="1719" spans="20:46" ht="16.8">
      <c r="T1719" s="112"/>
      <c r="U1719" s="113"/>
      <c r="AF1719" s="2"/>
      <c r="AG1719" s="2"/>
      <c r="AS1719"/>
      <c r="AT1719"/>
    </row>
    <row r="1720" spans="20:46" ht="16.8">
      <c r="T1720" s="112"/>
      <c r="U1720" s="113"/>
      <c r="AF1720" s="2"/>
      <c r="AG1720" s="2"/>
      <c r="AS1720"/>
      <c r="AT1720"/>
    </row>
    <row r="1721" spans="20:46" ht="16.8">
      <c r="T1721" s="112"/>
      <c r="U1721" s="113"/>
      <c r="AF1721" s="2"/>
      <c r="AG1721" s="2"/>
      <c r="AS1721"/>
      <c r="AT1721"/>
    </row>
    <row r="1722" spans="20:46" ht="16.8">
      <c r="T1722" s="112"/>
      <c r="U1722" s="113"/>
      <c r="AF1722" s="2"/>
      <c r="AG1722" s="2"/>
      <c r="AS1722"/>
      <c r="AT1722"/>
    </row>
    <row r="1723" spans="20:46" ht="16.8">
      <c r="T1723" s="112"/>
      <c r="U1723" s="113"/>
      <c r="AF1723" s="2"/>
      <c r="AG1723" s="2"/>
      <c r="AS1723"/>
      <c r="AT1723"/>
    </row>
    <row r="1724" spans="20:46" ht="16.8">
      <c r="T1724" s="112"/>
      <c r="U1724" s="113"/>
      <c r="AF1724" s="2"/>
      <c r="AG1724" s="2"/>
      <c r="AS1724"/>
      <c r="AT1724"/>
    </row>
    <row r="1725" spans="20:46" ht="16.8">
      <c r="T1725" s="112"/>
      <c r="U1725" s="113"/>
      <c r="AF1725" s="2"/>
      <c r="AG1725" s="2"/>
      <c r="AS1725"/>
      <c r="AT1725"/>
    </row>
    <row r="1726" spans="20:46" ht="16.8">
      <c r="T1726" s="112"/>
      <c r="U1726" s="113"/>
      <c r="AF1726" s="2"/>
      <c r="AG1726" s="2"/>
      <c r="AS1726"/>
      <c r="AT1726"/>
    </row>
    <row r="1727" spans="20:46" ht="16.8">
      <c r="T1727" s="112"/>
      <c r="U1727" s="113"/>
      <c r="AF1727" s="2"/>
      <c r="AG1727" s="2"/>
      <c r="AS1727"/>
      <c r="AT1727"/>
    </row>
    <row r="1728" spans="20:46" ht="16.8">
      <c r="T1728" s="112"/>
      <c r="U1728" s="113"/>
      <c r="AF1728" s="2"/>
      <c r="AG1728" s="2"/>
      <c r="AS1728"/>
      <c r="AT1728"/>
    </row>
    <row r="1729" spans="20:46" ht="16.8">
      <c r="T1729" s="112"/>
      <c r="U1729" s="113"/>
      <c r="AF1729" s="2"/>
      <c r="AG1729" s="2"/>
      <c r="AS1729"/>
      <c r="AT1729"/>
    </row>
    <row r="1730" spans="20:46" ht="16.8">
      <c r="T1730" s="112"/>
      <c r="U1730" s="113"/>
      <c r="AF1730" s="2"/>
      <c r="AG1730" s="2"/>
      <c r="AS1730"/>
      <c r="AT1730"/>
    </row>
    <row r="1731" spans="20:46" ht="16.8">
      <c r="T1731" s="112"/>
      <c r="U1731" s="113"/>
      <c r="AF1731" s="2"/>
      <c r="AG1731" s="2"/>
      <c r="AS1731"/>
      <c r="AT1731"/>
    </row>
    <row r="1732" spans="20:46" ht="16.8">
      <c r="T1732" s="112"/>
      <c r="U1732" s="113"/>
      <c r="AF1732" s="2"/>
      <c r="AG1732" s="2"/>
      <c r="AS1732"/>
      <c r="AT1732"/>
    </row>
    <row r="1733" spans="20:46" ht="16.8">
      <c r="T1733" s="112"/>
      <c r="U1733" s="113"/>
      <c r="AF1733" s="2"/>
      <c r="AG1733" s="2"/>
      <c r="AS1733"/>
      <c r="AT1733"/>
    </row>
    <row r="1734" spans="20:46" ht="16.8">
      <c r="T1734" s="112"/>
      <c r="U1734" s="113"/>
      <c r="AF1734" s="2"/>
      <c r="AG1734" s="2"/>
      <c r="AS1734"/>
      <c r="AT1734"/>
    </row>
    <row r="1735" spans="20:46" ht="16.8">
      <c r="T1735" s="112"/>
      <c r="U1735" s="113"/>
      <c r="AF1735" s="2"/>
      <c r="AG1735" s="2"/>
      <c r="AS1735"/>
      <c r="AT1735"/>
    </row>
    <row r="1736" spans="20:46" ht="16.8">
      <c r="T1736" s="112"/>
      <c r="U1736" s="113"/>
      <c r="AF1736" s="2"/>
      <c r="AG1736" s="2"/>
      <c r="AS1736"/>
      <c r="AT1736"/>
    </row>
    <row r="1737" spans="20:46" ht="16.8">
      <c r="T1737" s="112"/>
      <c r="U1737" s="113"/>
      <c r="AF1737" s="2"/>
      <c r="AG1737" s="2"/>
      <c r="AS1737"/>
      <c r="AT1737"/>
    </row>
    <row r="1738" spans="20:46" ht="16.8">
      <c r="T1738" s="112"/>
      <c r="U1738" s="113"/>
      <c r="AF1738" s="2"/>
      <c r="AG1738" s="2"/>
      <c r="AS1738"/>
      <c r="AT1738"/>
    </row>
    <row r="1739" spans="20:46" ht="16.8">
      <c r="T1739" s="112"/>
      <c r="U1739" s="113"/>
      <c r="AF1739" s="2"/>
      <c r="AG1739" s="2"/>
      <c r="AS1739"/>
      <c r="AT1739"/>
    </row>
    <row r="1740" spans="20:46" ht="16.8">
      <c r="T1740" s="112"/>
      <c r="U1740" s="113"/>
      <c r="AF1740" s="2"/>
      <c r="AG1740" s="2"/>
      <c r="AS1740"/>
      <c r="AT1740"/>
    </row>
    <row r="1741" spans="20:46" ht="16.8">
      <c r="T1741" s="112"/>
      <c r="U1741" s="113"/>
      <c r="AF1741" s="2"/>
      <c r="AG1741" s="2"/>
      <c r="AS1741"/>
      <c r="AT1741"/>
    </row>
    <row r="1742" spans="20:46" ht="16.8">
      <c r="T1742" s="112"/>
      <c r="U1742" s="113"/>
      <c r="AF1742" s="2"/>
      <c r="AG1742" s="2"/>
      <c r="AS1742"/>
      <c r="AT1742"/>
    </row>
    <row r="1743" spans="20:46" ht="16.8">
      <c r="T1743" s="112"/>
      <c r="U1743" s="113"/>
      <c r="AF1743" s="2"/>
      <c r="AG1743" s="2"/>
      <c r="AS1743"/>
      <c r="AT1743"/>
    </row>
    <row r="1744" spans="20:46" ht="16.8">
      <c r="T1744" s="112"/>
      <c r="U1744" s="113"/>
      <c r="AF1744" s="2"/>
      <c r="AG1744" s="2"/>
      <c r="AS1744"/>
      <c r="AT1744"/>
    </row>
    <row r="1745" spans="20:46" ht="16.8">
      <c r="T1745" s="112"/>
      <c r="U1745" s="113"/>
      <c r="AF1745" s="2"/>
      <c r="AG1745" s="2"/>
      <c r="AS1745"/>
      <c r="AT1745"/>
    </row>
    <row r="1746" spans="20:46" ht="16.8">
      <c r="T1746" s="112"/>
      <c r="U1746" s="113"/>
      <c r="AF1746" s="2"/>
      <c r="AG1746" s="2"/>
      <c r="AS1746"/>
      <c r="AT1746"/>
    </row>
    <row r="1747" spans="20:46" ht="16.8">
      <c r="T1747" s="112"/>
      <c r="U1747" s="113"/>
      <c r="AF1747" s="2"/>
      <c r="AG1747" s="2"/>
      <c r="AS1747"/>
      <c r="AT1747"/>
    </row>
    <row r="1748" spans="20:46" ht="16.8">
      <c r="T1748" s="112"/>
      <c r="U1748" s="113"/>
      <c r="AF1748" s="2"/>
      <c r="AG1748" s="2"/>
      <c r="AS1748"/>
      <c r="AT1748"/>
    </row>
    <row r="1749" spans="20:46" ht="16.8">
      <c r="T1749" s="112"/>
      <c r="U1749" s="113"/>
      <c r="AF1749" s="2"/>
      <c r="AG1749" s="2"/>
      <c r="AS1749"/>
      <c r="AT1749"/>
    </row>
    <row r="1750" spans="20:46" ht="16.8">
      <c r="T1750" s="112"/>
      <c r="U1750" s="113"/>
      <c r="AF1750" s="2"/>
      <c r="AG1750" s="2"/>
      <c r="AS1750"/>
      <c r="AT1750"/>
    </row>
    <row r="1751" spans="20:46" ht="16.8">
      <c r="T1751" s="112"/>
      <c r="U1751" s="113"/>
      <c r="AF1751" s="2"/>
      <c r="AG1751" s="2"/>
      <c r="AS1751"/>
      <c r="AT1751"/>
    </row>
    <row r="1752" spans="20:46" ht="16.8">
      <c r="T1752" s="112"/>
      <c r="U1752" s="113"/>
      <c r="AF1752" s="2"/>
      <c r="AG1752" s="2"/>
      <c r="AS1752"/>
      <c r="AT1752"/>
    </row>
    <row r="1753" spans="20:46" ht="16.8">
      <c r="T1753" s="112"/>
      <c r="U1753" s="113"/>
      <c r="AF1753" s="2"/>
      <c r="AG1753" s="2"/>
      <c r="AS1753"/>
      <c r="AT1753"/>
    </row>
    <row r="1754" spans="20:46" ht="16.8">
      <c r="T1754" s="112"/>
      <c r="U1754" s="113"/>
      <c r="AF1754" s="2"/>
      <c r="AG1754" s="2"/>
      <c r="AS1754"/>
      <c r="AT1754"/>
    </row>
    <row r="1755" spans="20:46" ht="16.8">
      <c r="T1755" s="112"/>
      <c r="U1755" s="113"/>
      <c r="AF1755" s="2"/>
      <c r="AG1755" s="2"/>
      <c r="AS1755"/>
      <c r="AT1755"/>
    </row>
    <row r="1756" spans="20:46" ht="16.8">
      <c r="T1756" s="112"/>
      <c r="U1756" s="113"/>
      <c r="AF1756" s="2"/>
      <c r="AG1756" s="2"/>
      <c r="AS1756"/>
      <c r="AT1756"/>
    </row>
    <row r="1757" spans="20:46" ht="16.8">
      <c r="T1757" s="112"/>
      <c r="U1757" s="113"/>
      <c r="AF1757" s="2"/>
      <c r="AG1757" s="2"/>
      <c r="AS1757"/>
      <c r="AT1757"/>
    </row>
    <row r="1758" spans="20:46" ht="16.8">
      <c r="T1758" s="112"/>
      <c r="U1758" s="113"/>
      <c r="AF1758" s="2"/>
      <c r="AG1758" s="2"/>
      <c r="AS1758"/>
      <c r="AT1758"/>
    </row>
    <row r="1759" spans="20:46" ht="16.8">
      <c r="T1759" s="112"/>
      <c r="U1759" s="113"/>
      <c r="AF1759" s="2"/>
      <c r="AG1759" s="2"/>
      <c r="AS1759"/>
      <c r="AT1759"/>
    </row>
    <row r="1760" spans="20:46" ht="16.8">
      <c r="T1760" s="112"/>
      <c r="U1760" s="113"/>
      <c r="AF1760" s="2"/>
      <c r="AG1760" s="2"/>
      <c r="AS1760"/>
      <c r="AT1760"/>
    </row>
    <row r="1761" spans="20:46" ht="16.8">
      <c r="T1761" s="112"/>
      <c r="U1761" s="113"/>
      <c r="AF1761" s="2"/>
      <c r="AG1761" s="2"/>
      <c r="AS1761"/>
      <c r="AT1761"/>
    </row>
    <row r="1762" spans="20:46" ht="16.8">
      <c r="T1762" s="112"/>
      <c r="U1762" s="113"/>
      <c r="AF1762" s="2"/>
      <c r="AG1762" s="2"/>
      <c r="AS1762"/>
      <c r="AT1762"/>
    </row>
    <row r="1763" spans="20:46" ht="16.8">
      <c r="T1763" s="112"/>
      <c r="U1763" s="113"/>
      <c r="AF1763" s="2"/>
      <c r="AG1763" s="2"/>
      <c r="AS1763"/>
      <c r="AT1763"/>
    </row>
    <row r="1764" spans="20:46" ht="16.8">
      <c r="T1764" s="112"/>
      <c r="U1764" s="113"/>
      <c r="AF1764" s="2"/>
      <c r="AG1764" s="2"/>
      <c r="AS1764"/>
      <c r="AT1764"/>
    </row>
    <row r="1765" spans="20:46" ht="16.8">
      <c r="T1765" s="112"/>
      <c r="U1765" s="113"/>
      <c r="AF1765" s="2"/>
      <c r="AG1765" s="2"/>
      <c r="AS1765"/>
      <c r="AT1765"/>
    </row>
    <row r="1766" spans="20:46" ht="16.8">
      <c r="T1766" s="112"/>
      <c r="U1766" s="113"/>
      <c r="AF1766" s="2"/>
      <c r="AG1766" s="2"/>
      <c r="AS1766"/>
      <c r="AT1766"/>
    </row>
    <row r="1767" spans="20:46" ht="16.8">
      <c r="T1767" s="112"/>
      <c r="U1767" s="113"/>
      <c r="AF1767" s="2"/>
      <c r="AG1767" s="2"/>
      <c r="AS1767"/>
      <c r="AT1767"/>
    </row>
    <row r="1768" spans="20:46" ht="16.8">
      <c r="T1768" s="112"/>
      <c r="U1768" s="113"/>
      <c r="AF1768" s="2"/>
      <c r="AG1768" s="2"/>
      <c r="AS1768"/>
      <c r="AT1768"/>
    </row>
    <row r="1769" spans="20:46" ht="16.8">
      <c r="T1769" s="112"/>
      <c r="U1769" s="113"/>
      <c r="AF1769" s="2"/>
      <c r="AG1769" s="2"/>
      <c r="AS1769"/>
      <c r="AT1769"/>
    </row>
    <row r="1770" spans="20:46" ht="16.8">
      <c r="T1770" s="112"/>
      <c r="U1770" s="113"/>
      <c r="AF1770" s="2"/>
      <c r="AG1770" s="2"/>
      <c r="AS1770"/>
      <c r="AT1770"/>
    </row>
    <row r="1771" spans="20:46" ht="16.8">
      <c r="T1771" s="112"/>
      <c r="U1771" s="113"/>
      <c r="AF1771" s="2"/>
      <c r="AG1771" s="2"/>
      <c r="AS1771"/>
      <c r="AT1771"/>
    </row>
    <row r="1772" spans="20:46" ht="16.8">
      <c r="T1772" s="112"/>
      <c r="U1772" s="113"/>
      <c r="AF1772" s="2"/>
      <c r="AG1772" s="2"/>
      <c r="AS1772"/>
      <c r="AT1772"/>
    </row>
    <row r="1773" spans="20:46" ht="16.8">
      <c r="T1773" s="112"/>
      <c r="U1773" s="113"/>
      <c r="AF1773" s="2"/>
      <c r="AG1773" s="2"/>
      <c r="AS1773"/>
      <c r="AT1773"/>
    </row>
    <row r="1774" spans="20:46" ht="16.8">
      <c r="T1774" s="112"/>
      <c r="U1774" s="113"/>
      <c r="AF1774" s="2"/>
      <c r="AG1774" s="2"/>
      <c r="AS1774"/>
      <c r="AT1774"/>
    </row>
    <row r="1775" spans="20:46" ht="16.8">
      <c r="T1775" s="112"/>
      <c r="U1775" s="113"/>
      <c r="AF1775" s="2"/>
      <c r="AG1775" s="2"/>
      <c r="AS1775"/>
      <c r="AT1775"/>
    </row>
    <row r="1776" spans="20:46" ht="16.8">
      <c r="T1776" s="112"/>
      <c r="U1776" s="113"/>
      <c r="AF1776" s="2"/>
      <c r="AG1776" s="2"/>
      <c r="AS1776"/>
      <c r="AT1776"/>
    </row>
    <row r="1777" spans="20:46" ht="16.8">
      <c r="T1777" s="112"/>
      <c r="U1777" s="113"/>
      <c r="AF1777" s="2"/>
      <c r="AG1777" s="2"/>
      <c r="AS1777"/>
      <c r="AT1777"/>
    </row>
    <row r="1778" spans="20:46" ht="16.8">
      <c r="T1778" s="112"/>
      <c r="U1778" s="113"/>
      <c r="AF1778" s="2"/>
      <c r="AG1778" s="2"/>
      <c r="AS1778"/>
      <c r="AT1778"/>
    </row>
    <row r="1779" spans="20:46" ht="16.8">
      <c r="T1779" s="112"/>
      <c r="U1779" s="113"/>
      <c r="AF1779" s="2"/>
      <c r="AG1779" s="2"/>
      <c r="AS1779"/>
      <c r="AT1779"/>
    </row>
    <row r="1780" spans="20:46" ht="16.8">
      <c r="T1780" s="112"/>
      <c r="U1780" s="113"/>
      <c r="AF1780" s="2"/>
      <c r="AG1780" s="2"/>
      <c r="AS1780"/>
      <c r="AT1780"/>
    </row>
    <row r="1781" spans="20:46" ht="16.8">
      <c r="T1781" s="112"/>
      <c r="U1781" s="113"/>
      <c r="AF1781" s="2"/>
      <c r="AG1781" s="2"/>
      <c r="AS1781"/>
      <c r="AT1781"/>
    </row>
    <row r="1782" spans="20:46" ht="16.8">
      <c r="T1782" s="112"/>
      <c r="U1782" s="113"/>
      <c r="AF1782" s="2"/>
      <c r="AG1782" s="2"/>
      <c r="AS1782"/>
      <c r="AT1782"/>
    </row>
    <row r="1783" spans="20:46" ht="16.8">
      <c r="T1783" s="112"/>
      <c r="U1783" s="113"/>
      <c r="AF1783" s="2"/>
      <c r="AG1783" s="2"/>
      <c r="AS1783"/>
      <c r="AT1783"/>
    </row>
    <row r="1784" spans="20:46" ht="16.8">
      <c r="T1784" s="112"/>
      <c r="U1784" s="113"/>
      <c r="AF1784" s="2"/>
      <c r="AG1784" s="2"/>
      <c r="AS1784"/>
      <c r="AT1784"/>
    </row>
    <row r="1785" spans="20:46" ht="16.8">
      <c r="T1785" s="112"/>
      <c r="U1785" s="113"/>
      <c r="AF1785" s="2"/>
      <c r="AG1785" s="2"/>
      <c r="AS1785"/>
      <c r="AT1785"/>
    </row>
    <row r="1786" spans="20:46" ht="16.8">
      <c r="T1786" s="112"/>
      <c r="U1786" s="113"/>
      <c r="AF1786" s="2"/>
      <c r="AG1786" s="2"/>
      <c r="AS1786"/>
      <c r="AT1786"/>
    </row>
    <row r="1787" spans="20:46" ht="16.8">
      <c r="T1787" s="112"/>
      <c r="U1787" s="113"/>
      <c r="AF1787" s="2"/>
      <c r="AG1787" s="2"/>
      <c r="AS1787"/>
      <c r="AT1787"/>
    </row>
    <row r="1788" spans="20:46" ht="16.8">
      <c r="T1788" s="112"/>
      <c r="U1788" s="113"/>
      <c r="AF1788" s="2"/>
      <c r="AG1788" s="2"/>
      <c r="AS1788"/>
      <c r="AT1788"/>
    </row>
    <row r="1789" spans="20:46" ht="16.8">
      <c r="T1789" s="112"/>
      <c r="U1789" s="113"/>
      <c r="AF1789" s="2"/>
      <c r="AG1789" s="2"/>
      <c r="AS1789"/>
      <c r="AT1789"/>
    </row>
    <row r="1790" spans="20:46" ht="16.8">
      <c r="T1790" s="112"/>
      <c r="U1790" s="113"/>
      <c r="AF1790" s="2"/>
      <c r="AG1790" s="2"/>
      <c r="AS1790"/>
      <c r="AT1790"/>
    </row>
    <row r="1791" spans="20:46" ht="16.8">
      <c r="T1791" s="112"/>
      <c r="U1791" s="113"/>
      <c r="AF1791" s="2"/>
      <c r="AG1791" s="2"/>
      <c r="AS1791"/>
      <c r="AT1791"/>
    </row>
    <row r="1792" spans="20:46" ht="16.8">
      <c r="T1792" s="112"/>
      <c r="U1792" s="113"/>
      <c r="AF1792" s="2"/>
      <c r="AG1792" s="2"/>
      <c r="AS1792"/>
      <c r="AT1792"/>
    </row>
    <row r="1793" spans="20:46" ht="16.8">
      <c r="T1793" s="112"/>
      <c r="U1793" s="113"/>
      <c r="AF1793" s="2"/>
      <c r="AG1793" s="2"/>
      <c r="AS1793"/>
      <c r="AT1793"/>
    </row>
    <row r="1794" spans="20:46" ht="16.8">
      <c r="T1794" s="112"/>
      <c r="U1794" s="113"/>
      <c r="AF1794" s="2"/>
      <c r="AG1794" s="2"/>
      <c r="AS1794"/>
      <c r="AT1794"/>
    </row>
    <row r="1795" spans="20:46" ht="16.8">
      <c r="T1795" s="112"/>
      <c r="U1795" s="113"/>
      <c r="AF1795" s="2"/>
      <c r="AG1795" s="2"/>
      <c r="AS1795"/>
      <c r="AT1795"/>
    </row>
    <row r="1796" spans="20:46" ht="16.8">
      <c r="T1796" s="112"/>
      <c r="U1796" s="113"/>
      <c r="AF1796" s="2"/>
      <c r="AG1796" s="2"/>
      <c r="AS1796"/>
      <c r="AT1796"/>
    </row>
    <row r="1797" spans="20:46" ht="16.8">
      <c r="T1797" s="112"/>
      <c r="U1797" s="113"/>
      <c r="AF1797" s="2"/>
      <c r="AG1797" s="2"/>
      <c r="AS1797"/>
      <c r="AT1797"/>
    </row>
    <row r="1798" spans="20:46" ht="16.8">
      <c r="T1798" s="112"/>
      <c r="U1798" s="113"/>
      <c r="AF1798" s="2"/>
      <c r="AG1798" s="2"/>
      <c r="AS1798"/>
      <c r="AT1798"/>
    </row>
    <row r="1799" spans="20:46" ht="16.8">
      <c r="T1799" s="112"/>
      <c r="U1799" s="113"/>
      <c r="AF1799" s="2"/>
      <c r="AG1799" s="2"/>
      <c r="AS1799"/>
      <c r="AT1799"/>
    </row>
    <row r="1800" spans="20:46" ht="16.8">
      <c r="T1800" s="112"/>
      <c r="U1800" s="113"/>
      <c r="AF1800" s="2"/>
      <c r="AG1800" s="2"/>
      <c r="AS1800"/>
      <c r="AT1800"/>
    </row>
    <row r="1801" spans="20:46" ht="16.8">
      <c r="T1801" s="112"/>
      <c r="U1801" s="113"/>
      <c r="AF1801" s="2"/>
      <c r="AG1801" s="2"/>
      <c r="AS1801"/>
      <c r="AT1801"/>
    </row>
    <row r="1802" spans="20:46" ht="16.8">
      <c r="T1802" s="112"/>
      <c r="U1802" s="113"/>
      <c r="AF1802" s="2"/>
      <c r="AG1802" s="2"/>
      <c r="AS1802"/>
      <c r="AT1802"/>
    </row>
    <row r="1803" spans="20:46" ht="16.8">
      <c r="T1803" s="112"/>
      <c r="U1803" s="113"/>
      <c r="AF1803" s="2"/>
      <c r="AG1803" s="2"/>
      <c r="AS1803"/>
      <c r="AT1803"/>
    </row>
    <row r="1804" spans="20:46" ht="16.8">
      <c r="T1804" s="112"/>
      <c r="U1804" s="113"/>
      <c r="AF1804" s="2"/>
      <c r="AG1804" s="2"/>
      <c r="AS1804"/>
      <c r="AT1804"/>
    </row>
    <row r="1805" spans="20:46" ht="16.8">
      <c r="T1805" s="112"/>
      <c r="U1805" s="113"/>
      <c r="AF1805" s="2"/>
      <c r="AG1805" s="2"/>
      <c r="AS1805"/>
      <c r="AT1805"/>
    </row>
    <row r="1806" spans="20:46" ht="16.8">
      <c r="T1806" s="112"/>
      <c r="U1806" s="113"/>
      <c r="AF1806" s="2"/>
      <c r="AG1806" s="2"/>
      <c r="AS1806"/>
      <c r="AT1806"/>
    </row>
    <row r="1807" spans="20:46" ht="16.8">
      <c r="T1807" s="112"/>
      <c r="U1807" s="113"/>
      <c r="AF1807" s="2"/>
      <c r="AG1807" s="2"/>
      <c r="AS1807"/>
      <c r="AT1807"/>
    </row>
    <row r="1808" spans="20:46" ht="16.8">
      <c r="T1808" s="112"/>
      <c r="U1808" s="113"/>
      <c r="AF1808" s="2"/>
      <c r="AG1808" s="2"/>
      <c r="AS1808"/>
      <c r="AT1808"/>
    </row>
    <row r="1809" spans="20:46" ht="16.8">
      <c r="T1809" s="112"/>
      <c r="U1809" s="113"/>
      <c r="AF1809" s="2"/>
      <c r="AG1809" s="2"/>
      <c r="AS1809"/>
      <c r="AT1809"/>
    </row>
    <row r="1810" spans="20:46" ht="16.8">
      <c r="T1810" s="112"/>
      <c r="U1810" s="113"/>
      <c r="AF1810" s="2"/>
      <c r="AG1810" s="2"/>
      <c r="AS1810"/>
      <c r="AT1810"/>
    </row>
    <row r="1811" spans="20:46" ht="16.8">
      <c r="T1811" s="112"/>
      <c r="U1811" s="113"/>
      <c r="AF1811" s="2"/>
      <c r="AG1811" s="2"/>
      <c r="AS1811"/>
      <c r="AT1811"/>
    </row>
    <row r="1812" spans="20:46" ht="16.8">
      <c r="T1812" s="112"/>
      <c r="U1812" s="113"/>
      <c r="AF1812" s="2"/>
      <c r="AG1812" s="2"/>
      <c r="AS1812"/>
      <c r="AT1812"/>
    </row>
    <row r="1813" spans="20:46" ht="16.8">
      <c r="T1813" s="112"/>
      <c r="U1813" s="113"/>
      <c r="AF1813" s="2"/>
      <c r="AG1813" s="2"/>
      <c r="AS1813"/>
      <c r="AT1813"/>
    </row>
    <row r="1814" spans="20:46" ht="16.8">
      <c r="T1814" s="112"/>
      <c r="U1814" s="113"/>
      <c r="AF1814" s="2"/>
      <c r="AG1814" s="2"/>
      <c r="AS1814"/>
      <c r="AT1814"/>
    </row>
    <row r="1815" spans="20:46" ht="16.8">
      <c r="T1815" s="112"/>
      <c r="U1815" s="113"/>
      <c r="AF1815" s="2"/>
      <c r="AG1815" s="2"/>
      <c r="AS1815"/>
      <c r="AT1815"/>
    </row>
    <row r="1816" spans="20:46" ht="16.8">
      <c r="T1816" s="112"/>
      <c r="U1816" s="113"/>
      <c r="AF1816" s="2"/>
      <c r="AG1816" s="2"/>
      <c r="AS1816"/>
      <c r="AT1816"/>
    </row>
    <row r="1817" spans="20:46" ht="16.8">
      <c r="T1817" s="112"/>
      <c r="U1817" s="113"/>
      <c r="AF1817" s="2"/>
      <c r="AG1817" s="2"/>
      <c r="AS1817"/>
      <c r="AT1817"/>
    </row>
    <row r="1818" spans="20:46" ht="16.8">
      <c r="T1818" s="112"/>
      <c r="U1818" s="113"/>
      <c r="AF1818" s="2"/>
      <c r="AG1818" s="2"/>
      <c r="AS1818"/>
      <c r="AT1818"/>
    </row>
    <row r="1819" spans="20:46" ht="16.8">
      <c r="T1819" s="112"/>
      <c r="U1819" s="113"/>
      <c r="AF1819" s="2"/>
      <c r="AG1819" s="2"/>
      <c r="AS1819"/>
      <c r="AT1819"/>
    </row>
    <row r="1820" spans="20:46" ht="16.8">
      <c r="T1820" s="112"/>
      <c r="U1820" s="113"/>
      <c r="AF1820" s="2"/>
      <c r="AG1820" s="2"/>
      <c r="AS1820"/>
      <c r="AT1820"/>
    </row>
    <row r="1821" spans="20:46" ht="16.8">
      <c r="T1821" s="112"/>
      <c r="U1821" s="113"/>
      <c r="AF1821" s="2"/>
      <c r="AG1821" s="2"/>
      <c r="AS1821"/>
      <c r="AT1821"/>
    </row>
    <row r="1822" spans="20:46" ht="16.8">
      <c r="T1822" s="112"/>
      <c r="U1822" s="113"/>
      <c r="AF1822" s="2"/>
      <c r="AG1822" s="2"/>
      <c r="AS1822"/>
      <c r="AT1822"/>
    </row>
    <row r="1823" spans="20:46" ht="16.8">
      <c r="T1823" s="112"/>
      <c r="U1823" s="113"/>
      <c r="AF1823" s="2"/>
      <c r="AG1823" s="2"/>
      <c r="AS1823"/>
      <c r="AT1823"/>
    </row>
    <row r="1824" spans="20:46" ht="16.8">
      <c r="T1824" s="112"/>
      <c r="U1824" s="113"/>
      <c r="AF1824" s="2"/>
      <c r="AG1824" s="2"/>
      <c r="AS1824"/>
      <c r="AT1824"/>
    </row>
    <row r="1825" spans="20:46" ht="16.8">
      <c r="T1825" s="112"/>
      <c r="U1825" s="113"/>
      <c r="AF1825" s="2"/>
      <c r="AG1825" s="2"/>
      <c r="AS1825"/>
      <c r="AT1825"/>
    </row>
    <row r="1826" spans="20:46" ht="16.8">
      <c r="T1826" s="112"/>
      <c r="U1826" s="113"/>
      <c r="AF1826" s="2"/>
      <c r="AG1826" s="2"/>
      <c r="AS1826"/>
      <c r="AT1826"/>
    </row>
    <row r="1827" spans="20:46" ht="16.8">
      <c r="T1827" s="112"/>
      <c r="U1827" s="113"/>
      <c r="AF1827" s="2"/>
      <c r="AG1827" s="2"/>
      <c r="AS1827"/>
      <c r="AT1827"/>
    </row>
    <row r="1828" spans="20:46" ht="16.8">
      <c r="T1828" s="112"/>
      <c r="U1828" s="113"/>
      <c r="AF1828" s="2"/>
      <c r="AG1828" s="2"/>
      <c r="AS1828"/>
      <c r="AT1828"/>
    </row>
    <row r="1829" spans="20:46" ht="16.8">
      <c r="T1829" s="112"/>
      <c r="U1829" s="113"/>
      <c r="AF1829" s="2"/>
      <c r="AG1829" s="2"/>
      <c r="AS1829"/>
      <c r="AT1829"/>
    </row>
    <row r="1830" spans="20:46" ht="16.8">
      <c r="T1830" s="112"/>
      <c r="U1830" s="113"/>
      <c r="AF1830" s="2"/>
      <c r="AG1830" s="2"/>
      <c r="AS1830"/>
      <c r="AT1830"/>
    </row>
    <row r="1831" spans="20:46" ht="16.8">
      <c r="T1831" s="112"/>
      <c r="U1831" s="113"/>
      <c r="AF1831" s="2"/>
      <c r="AG1831" s="2"/>
      <c r="AS1831"/>
      <c r="AT1831"/>
    </row>
    <row r="1832" spans="20:46" ht="16.8">
      <c r="T1832" s="112"/>
      <c r="U1832" s="113"/>
      <c r="AF1832" s="2"/>
      <c r="AG1832" s="2"/>
      <c r="AS1832"/>
      <c r="AT1832"/>
    </row>
    <row r="1833" spans="20:46" ht="16.8">
      <c r="T1833" s="112"/>
      <c r="U1833" s="113"/>
      <c r="AF1833" s="2"/>
      <c r="AG1833" s="2"/>
      <c r="AS1833"/>
      <c r="AT1833"/>
    </row>
    <row r="1834" spans="20:46" ht="16.8">
      <c r="T1834" s="112"/>
      <c r="U1834" s="113"/>
      <c r="AF1834" s="2"/>
      <c r="AG1834" s="2"/>
      <c r="AS1834"/>
      <c r="AT1834"/>
    </row>
    <row r="1835" spans="20:46" ht="16.8">
      <c r="T1835" s="112"/>
      <c r="U1835" s="113"/>
      <c r="AF1835" s="2"/>
      <c r="AG1835" s="2"/>
      <c r="AS1835"/>
      <c r="AT1835"/>
    </row>
    <row r="1836" spans="20:46" ht="16.8">
      <c r="T1836" s="112"/>
      <c r="U1836" s="113"/>
      <c r="AF1836" s="2"/>
      <c r="AG1836" s="2"/>
      <c r="AS1836"/>
      <c r="AT1836"/>
    </row>
    <row r="1837" spans="20:46" ht="16.8">
      <c r="T1837" s="112"/>
      <c r="U1837" s="113"/>
      <c r="AF1837" s="2"/>
      <c r="AG1837" s="2"/>
      <c r="AS1837"/>
      <c r="AT1837"/>
    </row>
    <row r="1838" spans="20:46" ht="16.8">
      <c r="T1838" s="112"/>
      <c r="U1838" s="113"/>
      <c r="AF1838" s="2"/>
      <c r="AG1838" s="2"/>
      <c r="AS1838"/>
      <c r="AT1838"/>
    </row>
    <row r="1839" spans="20:46" ht="16.8">
      <c r="T1839" s="112"/>
      <c r="U1839" s="113"/>
      <c r="AF1839" s="2"/>
      <c r="AG1839" s="2"/>
      <c r="AS1839"/>
      <c r="AT1839"/>
    </row>
    <row r="1840" spans="20:46" ht="16.8">
      <c r="T1840" s="112"/>
      <c r="U1840" s="113"/>
      <c r="AF1840" s="2"/>
      <c r="AG1840" s="2"/>
      <c r="AS1840"/>
      <c r="AT1840"/>
    </row>
    <row r="1841" spans="20:46" ht="16.8">
      <c r="T1841" s="112"/>
      <c r="U1841" s="113"/>
      <c r="AF1841" s="2"/>
      <c r="AG1841" s="2"/>
      <c r="AS1841"/>
      <c r="AT1841"/>
    </row>
    <row r="1842" spans="20:46" ht="16.8">
      <c r="T1842" s="112"/>
      <c r="U1842" s="113"/>
      <c r="AF1842" s="2"/>
      <c r="AG1842" s="2"/>
      <c r="AS1842"/>
      <c r="AT1842"/>
    </row>
    <row r="1843" spans="20:46" ht="16.8">
      <c r="T1843" s="112"/>
      <c r="U1843" s="113"/>
      <c r="AF1843" s="2"/>
      <c r="AG1843" s="2"/>
      <c r="AS1843"/>
      <c r="AT1843"/>
    </row>
    <row r="1844" spans="20:46" ht="16.8">
      <c r="T1844" s="112"/>
      <c r="U1844" s="113"/>
      <c r="AF1844" s="2"/>
      <c r="AG1844" s="2"/>
      <c r="AS1844"/>
      <c r="AT1844"/>
    </row>
    <row r="1845" spans="20:46" ht="16.8">
      <c r="T1845" s="112"/>
      <c r="U1845" s="113"/>
      <c r="AF1845" s="2"/>
      <c r="AG1845" s="2"/>
      <c r="AS1845"/>
      <c r="AT1845"/>
    </row>
    <row r="1846" spans="20:46" ht="16.8">
      <c r="T1846" s="112"/>
      <c r="U1846" s="113"/>
      <c r="AF1846" s="2"/>
      <c r="AG1846" s="2"/>
      <c r="AS1846"/>
      <c r="AT1846"/>
    </row>
    <row r="1847" spans="20:46" ht="16.8">
      <c r="T1847" s="112"/>
      <c r="U1847" s="113"/>
      <c r="AF1847" s="2"/>
      <c r="AG1847" s="2"/>
      <c r="AS1847"/>
      <c r="AT1847"/>
    </row>
    <row r="1848" spans="20:46" ht="16.8">
      <c r="T1848" s="112"/>
      <c r="U1848" s="113"/>
      <c r="AF1848" s="2"/>
      <c r="AG1848" s="2"/>
      <c r="AS1848"/>
      <c r="AT1848"/>
    </row>
    <row r="1849" spans="20:46" ht="16.8">
      <c r="T1849" s="112"/>
      <c r="U1849" s="113"/>
      <c r="AF1849" s="2"/>
      <c r="AG1849" s="2"/>
      <c r="AS1849"/>
      <c r="AT1849"/>
    </row>
    <row r="1850" spans="20:46" ht="16.8">
      <c r="T1850" s="112"/>
      <c r="U1850" s="113"/>
      <c r="AF1850" s="2"/>
      <c r="AG1850" s="2"/>
      <c r="AS1850"/>
      <c r="AT1850"/>
    </row>
    <row r="1851" spans="20:46" ht="16.8">
      <c r="T1851" s="112"/>
      <c r="U1851" s="113"/>
      <c r="AF1851" s="2"/>
      <c r="AG1851" s="2"/>
      <c r="AS1851"/>
      <c r="AT1851"/>
    </row>
    <row r="1852" spans="20:46" ht="16.8">
      <c r="T1852" s="112"/>
      <c r="U1852" s="113"/>
      <c r="AF1852" s="2"/>
      <c r="AG1852" s="2"/>
      <c r="AS1852"/>
      <c r="AT1852"/>
    </row>
    <row r="1853" spans="20:46" ht="16.8">
      <c r="T1853" s="112"/>
      <c r="U1853" s="113"/>
      <c r="AF1853" s="2"/>
      <c r="AG1853" s="2"/>
      <c r="AS1853"/>
      <c r="AT1853"/>
    </row>
    <row r="1854" spans="20:46" ht="16.8">
      <c r="T1854" s="112"/>
      <c r="U1854" s="113"/>
      <c r="AF1854" s="2"/>
      <c r="AG1854" s="2"/>
      <c r="AS1854"/>
      <c r="AT1854"/>
    </row>
    <row r="1855" spans="20:46" ht="16.8">
      <c r="T1855" s="112"/>
      <c r="U1855" s="113"/>
      <c r="AF1855" s="2"/>
      <c r="AG1855" s="2"/>
      <c r="AS1855"/>
      <c r="AT1855"/>
    </row>
    <row r="1856" spans="20:46" ht="16.8">
      <c r="T1856" s="112"/>
      <c r="U1856" s="113"/>
      <c r="AF1856" s="2"/>
      <c r="AG1856" s="2"/>
      <c r="AS1856"/>
      <c r="AT1856"/>
    </row>
    <row r="1857" spans="20:46" ht="16.8">
      <c r="T1857" s="112"/>
      <c r="U1857" s="113"/>
      <c r="AF1857" s="2"/>
      <c r="AG1857" s="2"/>
      <c r="AS1857"/>
      <c r="AT1857"/>
    </row>
    <row r="1858" spans="20:46" ht="16.8">
      <c r="T1858" s="112"/>
      <c r="U1858" s="113"/>
      <c r="AF1858" s="2"/>
      <c r="AG1858" s="2"/>
      <c r="AS1858"/>
      <c r="AT1858"/>
    </row>
    <row r="1859" spans="20:46" ht="16.8">
      <c r="T1859" s="112"/>
      <c r="U1859" s="113"/>
      <c r="AF1859" s="2"/>
      <c r="AG1859" s="2"/>
      <c r="AS1859"/>
      <c r="AT1859"/>
    </row>
    <row r="1860" spans="20:46" ht="16.8">
      <c r="T1860" s="112"/>
      <c r="U1860" s="113"/>
      <c r="AF1860" s="2"/>
      <c r="AG1860" s="2"/>
      <c r="AS1860"/>
      <c r="AT1860"/>
    </row>
    <row r="1861" spans="20:46" ht="16.8">
      <c r="T1861" s="112"/>
      <c r="U1861" s="113"/>
      <c r="AF1861" s="2"/>
      <c r="AG1861" s="2"/>
      <c r="AS1861"/>
      <c r="AT1861"/>
    </row>
    <row r="1862" spans="20:46" ht="16.8">
      <c r="T1862" s="112"/>
      <c r="U1862" s="113"/>
      <c r="AF1862" s="2"/>
      <c r="AG1862" s="2"/>
      <c r="AS1862"/>
      <c r="AT1862"/>
    </row>
    <row r="1863" spans="20:46" ht="16.8">
      <c r="T1863" s="112"/>
      <c r="U1863" s="113"/>
      <c r="AF1863" s="2"/>
      <c r="AG1863" s="2"/>
      <c r="AS1863"/>
      <c r="AT1863"/>
    </row>
    <row r="1864" spans="20:46" ht="16.8">
      <c r="T1864" s="112"/>
      <c r="U1864" s="113"/>
      <c r="AF1864" s="2"/>
      <c r="AG1864" s="2"/>
      <c r="AS1864"/>
      <c r="AT1864"/>
    </row>
    <row r="1865" spans="20:46" ht="16.8">
      <c r="T1865" s="112"/>
      <c r="U1865" s="113"/>
      <c r="AF1865" s="2"/>
      <c r="AG1865" s="2"/>
      <c r="AS1865"/>
      <c r="AT1865"/>
    </row>
    <row r="1866" spans="20:46" ht="16.8">
      <c r="T1866" s="112"/>
      <c r="U1866" s="113"/>
      <c r="AF1866" s="2"/>
      <c r="AG1866" s="2"/>
      <c r="AS1866"/>
      <c r="AT1866"/>
    </row>
    <row r="1867" spans="20:46" ht="16.8">
      <c r="T1867" s="112"/>
      <c r="U1867" s="113"/>
      <c r="AF1867" s="2"/>
      <c r="AG1867" s="2"/>
      <c r="AS1867"/>
      <c r="AT1867"/>
    </row>
    <row r="1868" spans="20:46" ht="16.8">
      <c r="T1868" s="112"/>
      <c r="U1868" s="113"/>
      <c r="AF1868" s="2"/>
      <c r="AG1868" s="2"/>
      <c r="AS1868"/>
      <c r="AT1868"/>
    </row>
    <row r="1869" spans="20:46" ht="16.8">
      <c r="T1869" s="112"/>
      <c r="U1869" s="113"/>
      <c r="AF1869" s="2"/>
      <c r="AG1869" s="2"/>
      <c r="AS1869"/>
      <c r="AT1869"/>
    </row>
    <row r="1870" spans="20:46" ht="16.8">
      <c r="T1870" s="112"/>
      <c r="U1870" s="113"/>
      <c r="AF1870" s="2"/>
      <c r="AG1870" s="2"/>
      <c r="AS1870"/>
      <c r="AT1870"/>
    </row>
    <row r="1871" spans="20:46" ht="16.8">
      <c r="T1871" s="112"/>
      <c r="U1871" s="113"/>
      <c r="AF1871" s="2"/>
      <c r="AG1871" s="2"/>
      <c r="AS1871"/>
      <c r="AT1871"/>
    </row>
    <row r="1872" spans="20:46" ht="16.8">
      <c r="T1872" s="112"/>
      <c r="U1872" s="113"/>
      <c r="AF1872" s="2"/>
      <c r="AG1872" s="2"/>
      <c r="AS1872"/>
      <c r="AT1872"/>
    </row>
    <row r="1873" spans="20:46" ht="16.8">
      <c r="T1873" s="112"/>
      <c r="U1873" s="113"/>
      <c r="AF1873" s="2"/>
      <c r="AG1873" s="2"/>
      <c r="AS1873"/>
      <c r="AT1873"/>
    </row>
    <row r="1874" spans="20:46" ht="16.8">
      <c r="T1874" s="112"/>
      <c r="U1874" s="113"/>
      <c r="AF1874" s="2"/>
      <c r="AG1874" s="2"/>
      <c r="AS1874"/>
      <c r="AT1874"/>
    </row>
    <row r="1875" spans="20:46" ht="16.8">
      <c r="T1875" s="112"/>
      <c r="U1875" s="113"/>
      <c r="AF1875" s="2"/>
      <c r="AG1875" s="2"/>
      <c r="AS1875"/>
      <c r="AT1875"/>
    </row>
    <row r="1876" spans="20:46" ht="16.8">
      <c r="T1876" s="112"/>
      <c r="U1876" s="113"/>
      <c r="AF1876" s="2"/>
      <c r="AG1876" s="2"/>
      <c r="AS1876"/>
      <c r="AT1876"/>
    </row>
    <row r="1877" spans="20:46" ht="16.8">
      <c r="T1877" s="112"/>
      <c r="U1877" s="113"/>
      <c r="AF1877" s="2"/>
      <c r="AG1877" s="2"/>
      <c r="AS1877"/>
      <c r="AT1877"/>
    </row>
    <row r="1878" spans="20:46" ht="16.8">
      <c r="T1878" s="112"/>
      <c r="U1878" s="113"/>
      <c r="AF1878" s="2"/>
      <c r="AG1878" s="2"/>
      <c r="AS1878"/>
      <c r="AT1878"/>
    </row>
    <row r="1879" spans="20:46" ht="16.8">
      <c r="T1879" s="112"/>
      <c r="U1879" s="113"/>
      <c r="AF1879" s="2"/>
      <c r="AG1879" s="2"/>
      <c r="AS1879"/>
      <c r="AT1879"/>
    </row>
    <row r="1880" spans="20:46" ht="16.8">
      <c r="T1880" s="112"/>
      <c r="U1880" s="113"/>
      <c r="AF1880" s="2"/>
      <c r="AG1880" s="2"/>
      <c r="AS1880"/>
      <c r="AT1880"/>
    </row>
    <row r="1881" spans="20:46" ht="16.8">
      <c r="T1881" s="112"/>
      <c r="U1881" s="113"/>
      <c r="AF1881" s="2"/>
      <c r="AG1881" s="2"/>
      <c r="AS1881"/>
      <c r="AT1881"/>
    </row>
    <row r="1882" spans="20:46" ht="16.8">
      <c r="T1882" s="112"/>
      <c r="U1882" s="113"/>
      <c r="AF1882" s="2"/>
      <c r="AG1882" s="2"/>
      <c r="AS1882"/>
      <c r="AT1882"/>
    </row>
    <row r="1883" spans="20:46" ht="16.8">
      <c r="T1883" s="112"/>
      <c r="U1883" s="113"/>
      <c r="AF1883" s="2"/>
      <c r="AG1883" s="2"/>
      <c r="AS1883"/>
      <c r="AT1883"/>
    </row>
    <row r="1884" spans="20:46" ht="16.8">
      <c r="T1884" s="112"/>
      <c r="U1884" s="113"/>
      <c r="AF1884" s="2"/>
      <c r="AG1884" s="2"/>
      <c r="AS1884"/>
      <c r="AT1884"/>
    </row>
    <row r="1885" spans="20:46" ht="16.8">
      <c r="T1885" s="112"/>
      <c r="U1885" s="113"/>
      <c r="AF1885" s="2"/>
      <c r="AG1885" s="2"/>
      <c r="AS1885"/>
      <c r="AT1885"/>
    </row>
    <row r="1886" spans="20:46" ht="16.8">
      <c r="T1886" s="112"/>
      <c r="U1886" s="113"/>
      <c r="AF1886" s="2"/>
      <c r="AG1886" s="2"/>
      <c r="AS1886"/>
      <c r="AT1886"/>
    </row>
    <row r="1887" spans="20:46" ht="16.8">
      <c r="T1887" s="112"/>
      <c r="U1887" s="113"/>
      <c r="AF1887" s="2"/>
      <c r="AG1887" s="2"/>
      <c r="AS1887"/>
      <c r="AT1887"/>
    </row>
    <row r="1888" spans="20:46" ht="16.8">
      <c r="T1888" s="112"/>
      <c r="U1888" s="113"/>
      <c r="AF1888" s="2"/>
      <c r="AG1888" s="2"/>
      <c r="AS1888"/>
      <c r="AT1888"/>
    </row>
    <row r="1889" spans="20:46" ht="16.8">
      <c r="T1889" s="112"/>
      <c r="U1889" s="113"/>
      <c r="AF1889" s="2"/>
      <c r="AG1889" s="2"/>
      <c r="AS1889"/>
      <c r="AT1889"/>
    </row>
    <row r="1890" spans="20:46" ht="16.8">
      <c r="T1890" s="112"/>
      <c r="U1890" s="113"/>
      <c r="AF1890" s="2"/>
      <c r="AG1890" s="2"/>
      <c r="AS1890"/>
      <c r="AT1890"/>
    </row>
    <row r="1891" spans="20:46" ht="16.8">
      <c r="T1891" s="112"/>
      <c r="U1891" s="113"/>
      <c r="AF1891" s="2"/>
      <c r="AG1891" s="2"/>
      <c r="AS1891"/>
      <c r="AT1891"/>
    </row>
    <row r="1892" spans="20:46" ht="16.8">
      <c r="T1892" s="112"/>
      <c r="U1892" s="113"/>
      <c r="AF1892" s="2"/>
      <c r="AG1892" s="2"/>
      <c r="AS1892"/>
      <c r="AT1892"/>
    </row>
    <row r="1893" spans="20:46" ht="16.8">
      <c r="T1893" s="112"/>
      <c r="U1893" s="113"/>
      <c r="AF1893" s="2"/>
      <c r="AG1893" s="2"/>
      <c r="AS1893"/>
      <c r="AT1893"/>
    </row>
    <row r="1894" spans="20:46" ht="16.8">
      <c r="T1894" s="112"/>
      <c r="U1894" s="113"/>
      <c r="AF1894" s="2"/>
      <c r="AG1894" s="2"/>
      <c r="AS1894"/>
      <c r="AT1894"/>
    </row>
    <row r="1895" spans="20:46" ht="16.8">
      <c r="T1895" s="112"/>
      <c r="U1895" s="113"/>
      <c r="AF1895" s="2"/>
      <c r="AG1895" s="2"/>
      <c r="AS1895"/>
      <c r="AT1895"/>
    </row>
    <row r="1896" spans="20:46" ht="16.8">
      <c r="T1896" s="112"/>
      <c r="U1896" s="113"/>
      <c r="AF1896" s="2"/>
      <c r="AG1896" s="2"/>
      <c r="AS1896"/>
      <c r="AT1896"/>
    </row>
    <row r="1897" spans="20:46" ht="16.8">
      <c r="T1897" s="112"/>
      <c r="U1897" s="113"/>
      <c r="AF1897" s="2"/>
      <c r="AG1897" s="2"/>
      <c r="AS1897"/>
      <c r="AT1897"/>
    </row>
    <row r="1898" spans="20:46" ht="16.8">
      <c r="T1898" s="112"/>
      <c r="U1898" s="113"/>
      <c r="AF1898" s="2"/>
      <c r="AG1898" s="2"/>
      <c r="AS1898"/>
      <c r="AT1898"/>
    </row>
    <row r="1899" spans="20:46" ht="16.8">
      <c r="T1899" s="112"/>
      <c r="U1899" s="113"/>
      <c r="AF1899" s="2"/>
      <c r="AG1899" s="2"/>
      <c r="AS1899"/>
      <c r="AT1899"/>
    </row>
    <row r="1900" spans="20:46" ht="16.8">
      <c r="T1900" s="112"/>
      <c r="U1900" s="113"/>
      <c r="AF1900" s="2"/>
      <c r="AG1900" s="2"/>
      <c r="AS1900"/>
      <c r="AT1900"/>
    </row>
    <row r="1901" spans="20:46" ht="16.8">
      <c r="T1901" s="112"/>
      <c r="U1901" s="113"/>
      <c r="AF1901" s="2"/>
      <c r="AG1901" s="2"/>
      <c r="AS1901"/>
      <c r="AT1901"/>
    </row>
    <row r="1902" spans="20:46" ht="16.8">
      <c r="T1902" s="112"/>
      <c r="U1902" s="113"/>
      <c r="AF1902" s="2"/>
      <c r="AG1902" s="2"/>
      <c r="AS1902"/>
      <c r="AT1902"/>
    </row>
    <row r="1903" spans="20:46" ht="16.8">
      <c r="T1903" s="112"/>
      <c r="U1903" s="113"/>
      <c r="AF1903" s="2"/>
      <c r="AG1903" s="2"/>
      <c r="AS1903"/>
      <c r="AT1903"/>
    </row>
    <row r="1904" spans="20:46" ht="16.8">
      <c r="T1904" s="112"/>
      <c r="U1904" s="113"/>
      <c r="AF1904" s="2"/>
      <c r="AG1904" s="2"/>
      <c r="AS1904"/>
      <c r="AT1904"/>
    </row>
    <row r="1905" spans="20:46" ht="16.8">
      <c r="T1905" s="112"/>
      <c r="U1905" s="113"/>
      <c r="AF1905" s="2"/>
      <c r="AG1905" s="2"/>
      <c r="AS1905"/>
      <c r="AT1905"/>
    </row>
    <row r="1906" spans="20:46" ht="16.8">
      <c r="T1906" s="112"/>
      <c r="U1906" s="113"/>
      <c r="AF1906" s="2"/>
      <c r="AG1906" s="2"/>
      <c r="AS1906"/>
      <c r="AT1906"/>
    </row>
    <row r="1907" spans="20:46" ht="16.8">
      <c r="T1907" s="112"/>
      <c r="U1907" s="113"/>
      <c r="AF1907" s="2"/>
      <c r="AG1907" s="2"/>
      <c r="AS1907"/>
      <c r="AT1907"/>
    </row>
    <row r="1908" spans="20:46" ht="16.8">
      <c r="T1908" s="112"/>
      <c r="U1908" s="113"/>
      <c r="AF1908" s="2"/>
      <c r="AG1908" s="2"/>
      <c r="AS1908"/>
      <c r="AT1908"/>
    </row>
    <row r="1909" spans="20:46" ht="16.8">
      <c r="T1909" s="112"/>
      <c r="U1909" s="113"/>
      <c r="AF1909" s="2"/>
      <c r="AG1909" s="2"/>
      <c r="AS1909"/>
      <c r="AT1909"/>
    </row>
    <row r="1910" spans="20:46" ht="16.8">
      <c r="T1910" s="112"/>
      <c r="U1910" s="113"/>
      <c r="AF1910" s="2"/>
      <c r="AG1910" s="2"/>
      <c r="AS1910"/>
      <c r="AT1910"/>
    </row>
    <row r="1911" spans="20:46" ht="16.8">
      <c r="T1911" s="112"/>
      <c r="U1911" s="113"/>
      <c r="AF1911" s="2"/>
      <c r="AG1911" s="2"/>
      <c r="AS1911"/>
      <c r="AT1911"/>
    </row>
    <row r="1912" spans="20:46" ht="16.8">
      <c r="T1912" s="112"/>
      <c r="U1912" s="113"/>
      <c r="AF1912" s="2"/>
      <c r="AG1912" s="2"/>
      <c r="AS1912"/>
      <c r="AT1912"/>
    </row>
    <row r="1913" spans="20:46" ht="16.8">
      <c r="T1913" s="112"/>
      <c r="U1913" s="113"/>
      <c r="AF1913" s="2"/>
      <c r="AG1913" s="2"/>
      <c r="AS1913"/>
      <c r="AT1913"/>
    </row>
    <row r="1914" spans="20:46" ht="16.8">
      <c r="T1914" s="112"/>
      <c r="U1914" s="113"/>
      <c r="AF1914" s="2"/>
      <c r="AG1914" s="2"/>
      <c r="AS1914"/>
      <c r="AT1914"/>
    </row>
    <row r="1915" spans="20:46" ht="16.8">
      <c r="T1915" s="112"/>
      <c r="U1915" s="113"/>
      <c r="AF1915" s="2"/>
      <c r="AG1915" s="2"/>
      <c r="AS1915"/>
      <c r="AT1915"/>
    </row>
    <row r="1916" spans="20:46" ht="16.8">
      <c r="T1916" s="112"/>
      <c r="U1916" s="113"/>
      <c r="AF1916" s="2"/>
      <c r="AG1916" s="2"/>
      <c r="AS1916"/>
      <c r="AT1916"/>
    </row>
    <row r="1917" spans="20:46" ht="16.8">
      <c r="T1917" s="112"/>
      <c r="U1917" s="113"/>
      <c r="AF1917" s="2"/>
      <c r="AG1917" s="2"/>
      <c r="AS1917"/>
      <c r="AT1917"/>
    </row>
    <row r="1918" spans="20:46" ht="16.8">
      <c r="T1918" s="112"/>
      <c r="U1918" s="113"/>
      <c r="AF1918" s="2"/>
      <c r="AG1918" s="2"/>
      <c r="AS1918"/>
      <c r="AT1918"/>
    </row>
    <row r="1919" spans="20:46" ht="16.8">
      <c r="T1919" s="112"/>
      <c r="U1919" s="113"/>
      <c r="AF1919" s="2"/>
      <c r="AG1919" s="2"/>
      <c r="AS1919"/>
      <c r="AT1919"/>
    </row>
    <row r="1920" spans="20:46" ht="16.8">
      <c r="T1920" s="112"/>
      <c r="U1920" s="113"/>
      <c r="AF1920" s="2"/>
      <c r="AG1920" s="2"/>
      <c r="AS1920"/>
      <c r="AT1920"/>
    </row>
    <row r="1921" spans="20:46" ht="16.8">
      <c r="T1921" s="112"/>
      <c r="U1921" s="113"/>
      <c r="AF1921" s="2"/>
      <c r="AG1921" s="2"/>
      <c r="AS1921"/>
      <c r="AT1921"/>
    </row>
    <row r="1922" spans="20:46" ht="16.8">
      <c r="T1922" s="112"/>
      <c r="U1922" s="113"/>
      <c r="AF1922" s="2"/>
      <c r="AG1922" s="2"/>
      <c r="AS1922"/>
      <c r="AT1922"/>
    </row>
    <row r="1923" spans="20:46" ht="16.8">
      <c r="T1923" s="112"/>
      <c r="U1923" s="113"/>
      <c r="AF1923" s="2"/>
      <c r="AG1923" s="2"/>
      <c r="AS1923"/>
      <c r="AT1923"/>
    </row>
    <row r="1924" spans="20:46" ht="16.8">
      <c r="T1924" s="112"/>
      <c r="U1924" s="113"/>
      <c r="AF1924" s="2"/>
      <c r="AG1924" s="2"/>
      <c r="AS1924"/>
      <c r="AT1924"/>
    </row>
    <row r="1925" spans="20:46" ht="16.8">
      <c r="T1925" s="112"/>
      <c r="U1925" s="113"/>
      <c r="AF1925" s="2"/>
      <c r="AG1925" s="2"/>
      <c r="AS1925"/>
      <c r="AT1925"/>
    </row>
    <row r="1926" spans="20:46" ht="16.8">
      <c r="T1926" s="112"/>
      <c r="U1926" s="113"/>
      <c r="AF1926" s="2"/>
      <c r="AG1926" s="2"/>
      <c r="AS1926"/>
      <c r="AT1926"/>
    </row>
    <row r="1927" spans="20:46" ht="16.8">
      <c r="T1927" s="112"/>
      <c r="U1927" s="113"/>
      <c r="AF1927" s="2"/>
      <c r="AG1927" s="2"/>
      <c r="AS1927"/>
      <c r="AT1927"/>
    </row>
    <row r="1928" spans="20:46" ht="16.8">
      <c r="T1928" s="112"/>
      <c r="U1928" s="113"/>
      <c r="AF1928" s="2"/>
      <c r="AG1928" s="2"/>
      <c r="AS1928"/>
      <c r="AT1928"/>
    </row>
    <row r="1929" spans="20:46" ht="16.8">
      <c r="T1929" s="112"/>
      <c r="U1929" s="113"/>
      <c r="AF1929" s="2"/>
      <c r="AG1929" s="2"/>
      <c r="AS1929"/>
      <c r="AT1929"/>
    </row>
    <row r="1930" spans="20:46" ht="16.8">
      <c r="T1930" s="112"/>
      <c r="U1930" s="113"/>
      <c r="AF1930" s="2"/>
      <c r="AG1930" s="2"/>
      <c r="AS1930"/>
      <c r="AT1930"/>
    </row>
    <row r="1931" spans="20:46" ht="16.8">
      <c r="T1931" s="112"/>
      <c r="U1931" s="113"/>
      <c r="AF1931" s="2"/>
      <c r="AG1931" s="2"/>
      <c r="AS1931"/>
      <c r="AT1931"/>
    </row>
    <row r="1932" spans="20:46" ht="16.8">
      <c r="T1932" s="112"/>
      <c r="U1932" s="113"/>
      <c r="AF1932" s="2"/>
      <c r="AG1932" s="2"/>
      <c r="AS1932"/>
      <c r="AT1932"/>
    </row>
    <row r="1933" spans="20:46" ht="16.8">
      <c r="T1933" s="112"/>
      <c r="U1933" s="113"/>
      <c r="AF1933" s="2"/>
      <c r="AG1933" s="2"/>
      <c r="AS1933"/>
      <c r="AT1933"/>
    </row>
    <row r="1934" spans="20:46" ht="16.8">
      <c r="T1934" s="112"/>
      <c r="U1934" s="113"/>
      <c r="AF1934" s="2"/>
      <c r="AG1934" s="2"/>
      <c r="AS1934"/>
      <c r="AT1934"/>
    </row>
    <row r="1935" spans="20:46" ht="16.8">
      <c r="T1935" s="112"/>
      <c r="U1935" s="113"/>
      <c r="AF1935" s="2"/>
      <c r="AG1935" s="2"/>
      <c r="AS1935"/>
      <c r="AT1935"/>
    </row>
    <row r="1936" spans="20:46" ht="16.8">
      <c r="T1936" s="112"/>
      <c r="U1936" s="113"/>
      <c r="AF1936" s="2"/>
      <c r="AG1936" s="2"/>
      <c r="AS1936"/>
      <c r="AT1936"/>
    </row>
    <row r="1937" spans="20:46" ht="16.8">
      <c r="T1937" s="112"/>
      <c r="U1937" s="113"/>
      <c r="AF1937" s="2"/>
      <c r="AG1937" s="2"/>
      <c r="AS1937"/>
      <c r="AT1937"/>
    </row>
    <row r="1938" spans="20:46" ht="16.8">
      <c r="T1938" s="112"/>
      <c r="U1938" s="113"/>
      <c r="AF1938" s="2"/>
      <c r="AG1938" s="2"/>
      <c r="AS1938"/>
      <c r="AT1938"/>
    </row>
    <row r="1939" spans="20:46" ht="16.8">
      <c r="T1939" s="112"/>
      <c r="U1939" s="113"/>
      <c r="AF1939" s="2"/>
      <c r="AG1939" s="2"/>
      <c r="AS1939"/>
      <c r="AT1939"/>
    </row>
    <row r="1940" spans="20:46" ht="16.8">
      <c r="T1940" s="112"/>
      <c r="U1940" s="113"/>
      <c r="AF1940" s="2"/>
      <c r="AG1940" s="2"/>
      <c r="AS1940"/>
      <c r="AT1940"/>
    </row>
    <row r="1941" spans="20:46" ht="16.8">
      <c r="T1941" s="112"/>
      <c r="U1941" s="113"/>
      <c r="AF1941" s="2"/>
      <c r="AG1941" s="2"/>
      <c r="AS1941"/>
      <c r="AT1941"/>
    </row>
    <row r="1942" spans="20:46" ht="16.8">
      <c r="T1942" s="112"/>
      <c r="U1942" s="113"/>
      <c r="AF1942" s="2"/>
      <c r="AG1942" s="2"/>
      <c r="AS1942"/>
      <c r="AT1942"/>
    </row>
    <row r="1943" spans="20:46" ht="16.8">
      <c r="T1943" s="112"/>
      <c r="U1943" s="113"/>
      <c r="AF1943" s="2"/>
      <c r="AG1943" s="2"/>
      <c r="AS1943"/>
      <c r="AT1943"/>
    </row>
    <row r="1944" spans="20:46" ht="16.8">
      <c r="T1944" s="112"/>
      <c r="U1944" s="113"/>
      <c r="AF1944" s="2"/>
      <c r="AG1944" s="2"/>
      <c r="AS1944"/>
      <c r="AT1944"/>
    </row>
    <row r="1945" spans="20:46" ht="16.8">
      <c r="T1945" s="112"/>
      <c r="U1945" s="113"/>
      <c r="AF1945" s="2"/>
      <c r="AG1945" s="2"/>
      <c r="AS1945"/>
      <c r="AT1945"/>
    </row>
    <row r="1946" spans="20:46" ht="16.8">
      <c r="T1946" s="112"/>
      <c r="U1946" s="113"/>
      <c r="AF1946" s="2"/>
      <c r="AG1946" s="2"/>
      <c r="AS1946"/>
      <c r="AT1946"/>
    </row>
    <row r="1947" spans="20:46" ht="16.8">
      <c r="T1947" s="112"/>
      <c r="U1947" s="113"/>
      <c r="AF1947" s="2"/>
      <c r="AG1947" s="2"/>
      <c r="AS1947"/>
      <c r="AT1947"/>
    </row>
    <row r="1948" spans="20:46" ht="16.8">
      <c r="T1948" s="112"/>
      <c r="U1948" s="113"/>
      <c r="AF1948" s="2"/>
      <c r="AG1948" s="2"/>
      <c r="AS1948"/>
      <c r="AT1948"/>
    </row>
    <row r="1949" spans="20:46" ht="16.8">
      <c r="T1949" s="112"/>
      <c r="U1949" s="113"/>
      <c r="AF1949" s="2"/>
      <c r="AG1949" s="2"/>
      <c r="AS1949"/>
      <c r="AT1949"/>
    </row>
    <row r="1950" spans="20:46" ht="16.8">
      <c r="T1950" s="112"/>
      <c r="U1950" s="113"/>
      <c r="AF1950" s="2"/>
      <c r="AG1950" s="2"/>
      <c r="AS1950"/>
      <c r="AT1950"/>
    </row>
    <row r="1951" spans="20:46" ht="16.8">
      <c r="T1951" s="112"/>
      <c r="U1951" s="113"/>
      <c r="AF1951" s="2"/>
      <c r="AG1951" s="2"/>
      <c r="AS1951"/>
      <c r="AT1951"/>
    </row>
    <row r="1952" spans="20:46" ht="16.8">
      <c r="T1952" s="112"/>
      <c r="U1952" s="113"/>
      <c r="AF1952" s="2"/>
      <c r="AG1952" s="2"/>
      <c r="AS1952"/>
      <c r="AT1952"/>
    </row>
    <row r="1953" spans="20:46" ht="16.8">
      <c r="T1953" s="112"/>
      <c r="U1953" s="113"/>
      <c r="AF1953" s="2"/>
      <c r="AG1953" s="2"/>
      <c r="AS1953"/>
      <c r="AT1953"/>
    </row>
    <row r="1954" spans="20:46" ht="16.8">
      <c r="T1954" s="112"/>
      <c r="U1954" s="113"/>
      <c r="AF1954" s="2"/>
      <c r="AG1954" s="2"/>
      <c r="AS1954"/>
      <c r="AT1954"/>
    </row>
    <row r="1955" spans="20:46" ht="16.8">
      <c r="T1955" s="112"/>
      <c r="U1955" s="113"/>
      <c r="AF1955" s="2"/>
      <c r="AG1955" s="2"/>
      <c r="AS1955"/>
      <c r="AT1955"/>
    </row>
    <row r="1956" spans="20:46" ht="16.8">
      <c r="T1956" s="112"/>
      <c r="U1956" s="113"/>
      <c r="AF1956" s="2"/>
      <c r="AG1956" s="2"/>
      <c r="AS1956"/>
      <c r="AT1956"/>
    </row>
    <row r="1957" spans="20:46" ht="16.8">
      <c r="T1957" s="112"/>
      <c r="U1957" s="113"/>
      <c r="AF1957" s="2"/>
      <c r="AG1957" s="2"/>
      <c r="AS1957"/>
      <c r="AT1957"/>
    </row>
    <row r="1958" spans="20:46" ht="16.8">
      <c r="T1958" s="112"/>
      <c r="U1958" s="113"/>
      <c r="AF1958" s="2"/>
      <c r="AG1958" s="2"/>
      <c r="AS1958"/>
      <c r="AT1958"/>
    </row>
    <row r="1959" spans="20:46" ht="16.8">
      <c r="T1959" s="112"/>
      <c r="U1959" s="113"/>
      <c r="AF1959" s="2"/>
      <c r="AG1959" s="2"/>
      <c r="AS1959"/>
      <c r="AT1959"/>
    </row>
    <row r="1960" spans="20:46" ht="16.8">
      <c r="T1960" s="112"/>
      <c r="U1960" s="113"/>
      <c r="AF1960" s="2"/>
      <c r="AG1960" s="2"/>
      <c r="AS1960"/>
      <c r="AT1960"/>
    </row>
    <row r="1961" spans="20:46" ht="16.8">
      <c r="T1961" s="112"/>
      <c r="U1961" s="113"/>
      <c r="AF1961" s="2"/>
      <c r="AG1961" s="2"/>
      <c r="AS1961"/>
      <c r="AT1961"/>
    </row>
    <row r="1962" spans="20:46" ht="16.8">
      <c r="T1962" s="112"/>
      <c r="U1962" s="113"/>
      <c r="AF1962" s="2"/>
      <c r="AG1962" s="2"/>
      <c r="AS1962"/>
      <c r="AT1962"/>
    </row>
    <row r="1963" spans="20:46" ht="16.8">
      <c r="T1963" s="112"/>
      <c r="U1963" s="113"/>
      <c r="AF1963" s="2"/>
      <c r="AG1963" s="2"/>
      <c r="AS1963"/>
      <c r="AT1963"/>
    </row>
    <row r="1964" spans="20:46" ht="16.8">
      <c r="T1964" s="112"/>
      <c r="U1964" s="113"/>
      <c r="AF1964" s="2"/>
      <c r="AG1964" s="2"/>
      <c r="AS1964"/>
      <c r="AT1964"/>
    </row>
    <row r="1965" spans="20:46" ht="16.8">
      <c r="T1965" s="112"/>
      <c r="U1965" s="113"/>
      <c r="AF1965" s="2"/>
      <c r="AG1965" s="2"/>
      <c r="AS1965"/>
      <c r="AT1965"/>
    </row>
    <row r="1966" spans="20:46" ht="16.8">
      <c r="T1966" s="112"/>
      <c r="U1966" s="113"/>
      <c r="AF1966" s="2"/>
      <c r="AG1966" s="2"/>
      <c r="AS1966"/>
      <c r="AT1966"/>
    </row>
    <row r="1967" spans="20:46" ht="16.8">
      <c r="T1967" s="112"/>
      <c r="U1967" s="113"/>
      <c r="AF1967" s="2"/>
      <c r="AG1967" s="2"/>
      <c r="AS1967"/>
      <c r="AT1967"/>
    </row>
    <row r="1968" spans="20:46" ht="16.8">
      <c r="T1968" s="112"/>
      <c r="U1968" s="113"/>
      <c r="AF1968" s="2"/>
      <c r="AG1968" s="2"/>
      <c r="AS1968"/>
      <c r="AT1968"/>
    </row>
    <row r="1969" spans="20:46" ht="16.8">
      <c r="T1969" s="112"/>
      <c r="U1969" s="113"/>
      <c r="AF1969" s="2"/>
      <c r="AG1969" s="2"/>
      <c r="AS1969"/>
      <c r="AT1969"/>
    </row>
    <row r="1970" spans="20:46" ht="16.8">
      <c r="T1970" s="112"/>
      <c r="U1970" s="113"/>
      <c r="AF1970" s="2"/>
      <c r="AG1970" s="2"/>
      <c r="AS1970"/>
      <c r="AT1970"/>
    </row>
    <row r="1971" spans="20:46" ht="16.8">
      <c r="T1971" s="112"/>
      <c r="U1971" s="113"/>
      <c r="AF1971" s="2"/>
      <c r="AG1971" s="2"/>
      <c r="AS1971"/>
      <c r="AT1971"/>
    </row>
    <row r="1972" spans="20:46" ht="16.8">
      <c r="T1972" s="112"/>
      <c r="U1972" s="113"/>
      <c r="AF1972" s="2"/>
      <c r="AG1972" s="2"/>
      <c r="AS1972"/>
      <c r="AT1972"/>
    </row>
    <row r="1973" spans="20:46" ht="16.8">
      <c r="T1973" s="112"/>
      <c r="U1973" s="113"/>
      <c r="AF1973" s="2"/>
      <c r="AG1973" s="2"/>
      <c r="AS1973"/>
      <c r="AT1973"/>
    </row>
    <row r="1974" spans="20:46" ht="16.8">
      <c r="T1974" s="112"/>
      <c r="U1974" s="113"/>
      <c r="AF1974" s="2"/>
      <c r="AG1974" s="2"/>
      <c r="AS1974"/>
      <c r="AT1974"/>
    </row>
    <row r="1975" spans="20:46" ht="16.8">
      <c r="T1975" s="112"/>
      <c r="U1975" s="113"/>
      <c r="AF1975" s="2"/>
      <c r="AG1975" s="2"/>
      <c r="AS1975"/>
      <c r="AT1975"/>
    </row>
    <row r="1976" spans="20:46" ht="16.8">
      <c r="T1976" s="112"/>
      <c r="U1976" s="113"/>
      <c r="AF1976" s="2"/>
      <c r="AG1976" s="2"/>
      <c r="AS1976"/>
      <c r="AT1976"/>
    </row>
    <row r="1977" spans="20:46" ht="16.8">
      <c r="T1977" s="112"/>
      <c r="U1977" s="113"/>
      <c r="AF1977" s="2"/>
      <c r="AG1977" s="2"/>
      <c r="AS1977"/>
      <c r="AT1977"/>
    </row>
    <row r="1978" spans="20:46" ht="16.8">
      <c r="T1978" s="112"/>
      <c r="U1978" s="113"/>
      <c r="AF1978" s="2"/>
      <c r="AG1978" s="2"/>
      <c r="AS1978"/>
      <c r="AT1978"/>
    </row>
    <row r="1979" spans="20:46" ht="16.8">
      <c r="T1979" s="112"/>
      <c r="U1979" s="113"/>
      <c r="AF1979" s="2"/>
      <c r="AG1979" s="2"/>
      <c r="AS1979"/>
      <c r="AT1979"/>
    </row>
    <row r="1980" spans="20:46" ht="16.8">
      <c r="T1980" s="112"/>
      <c r="U1980" s="113"/>
      <c r="AF1980" s="2"/>
      <c r="AG1980" s="2"/>
      <c r="AS1980"/>
      <c r="AT1980"/>
    </row>
    <row r="1981" spans="20:46" ht="16.8">
      <c r="T1981" s="112"/>
      <c r="U1981" s="113"/>
      <c r="AF1981" s="2"/>
      <c r="AG1981" s="2"/>
      <c r="AS1981"/>
      <c r="AT1981"/>
    </row>
    <row r="1982" spans="20:46" ht="16.8">
      <c r="T1982" s="112"/>
      <c r="U1982" s="113"/>
      <c r="AF1982" s="2"/>
      <c r="AG1982" s="2"/>
      <c r="AS1982"/>
      <c r="AT1982"/>
    </row>
    <row r="1983" spans="20:46" ht="16.8">
      <c r="T1983" s="112"/>
      <c r="U1983" s="113"/>
      <c r="AF1983" s="2"/>
      <c r="AG1983" s="2"/>
      <c r="AS1983"/>
      <c r="AT1983"/>
    </row>
    <row r="1984" spans="20:46" ht="16.8">
      <c r="T1984" s="112"/>
      <c r="U1984" s="113"/>
      <c r="AF1984" s="2"/>
      <c r="AG1984" s="2"/>
      <c r="AS1984"/>
      <c r="AT1984"/>
    </row>
    <row r="1985" spans="20:46" ht="16.8">
      <c r="T1985" s="112"/>
      <c r="U1985" s="113"/>
      <c r="AF1985" s="2"/>
      <c r="AG1985" s="2"/>
      <c r="AS1985"/>
      <c r="AT1985"/>
    </row>
    <row r="1986" spans="20:46" ht="16.8">
      <c r="T1986" s="112"/>
      <c r="U1986" s="113"/>
      <c r="AF1986" s="2"/>
      <c r="AG1986" s="2"/>
      <c r="AS1986"/>
      <c r="AT1986"/>
    </row>
    <row r="1987" spans="20:46" ht="16.8">
      <c r="T1987" s="112"/>
      <c r="U1987" s="113"/>
      <c r="AF1987" s="2"/>
      <c r="AG1987" s="2"/>
      <c r="AS1987"/>
      <c r="AT1987"/>
    </row>
    <row r="1988" spans="20:46" ht="16.8">
      <c r="T1988" s="112"/>
      <c r="U1988" s="113"/>
      <c r="AF1988" s="2"/>
      <c r="AG1988" s="2"/>
      <c r="AS1988"/>
      <c r="AT1988"/>
    </row>
    <row r="1989" spans="20:46" ht="16.8">
      <c r="T1989" s="112"/>
      <c r="U1989" s="113"/>
      <c r="AF1989" s="2"/>
      <c r="AG1989" s="2"/>
      <c r="AS1989"/>
      <c r="AT1989"/>
    </row>
    <row r="1990" spans="20:46" ht="16.8">
      <c r="T1990" s="112"/>
      <c r="U1990" s="113"/>
      <c r="AF1990" s="2"/>
      <c r="AG1990" s="2"/>
      <c r="AS1990"/>
      <c r="AT1990"/>
    </row>
    <row r="1991" spans="20:46" ht="16.8">
      <c r="T1991" s="112"/>
      <c r="U1991" s="113"/>
      <c r="AF1991" s="2"/>
      <c r="AG1991" s="2"/>
      <c r="AS1991"/>
      <c r="AT1991"/>
    </row>
    <row r="1992" spans="20:46" ht="16.8">
      <c r="T1992" s="112"/>
      <c r="U1992" s="113"/>
      <c r="AF1992" s="2"/>
      <c r="AG1992" s="2"/>
      <c r="AS1992"/>
      <c r="AT1992"/>
    </row>
    <row r="1993" spans="20:46" ht="16.8">
      <c r="T1993" s="112"/>
      <c r="U1993" s="113"/>
      <c r="AF1993" s="2"/>
      <c r="AG1993" s="2"/>
      <c r="AS1993"/>
      <c r="AT1993"/>
    </row>
    <row r="1994" spans="20:46" ht="16.8">
      <c r="T1994" s="112"/>
      <c r="U1994" s="113"/>
      <c r="AF1994" s="2"/>
      <c r="AG1994" s="2"/>
      <c r="AS1994"/>
      <c r="AT1994"/>
    </row>
    <row r="1995" spans="20:46" ht="16.8">
      <c r="T1995" s="112"/>
      <c r="U1995" s="113"/>
      <c r="AF1995" s="2"/>
      <c r="AG1995" s="2"/>
      <c r="AS1995"/>
      <c r="AT1995"/>
    </row>
    <row r="1996" spans="20:46" ht="16.8">
      <c r="T1996" s="112"/>
      <c r="U1996" s="113"/>
      <c r="AF1996" s="2"/>
      <c r="AG1996" s="2"/>
      <c r="AS1996"/>
      <c r="AT1996"/>
    </row>
    <row r="1997" spans="20:46" ht="16.8">
      <c r="T1997" s="112"/>
      <c r="U1997" s="113"/>
      <c r="AF1997" s="2"/>
      <c r="AG1997" s="2"/>
      <c r="AS1997"/>
      <c r="AT1997"/>
    </row>
    <row r="1998" spans="20:46" ht="16.8">
      <c r="T1998" s="112"/>
      <c r="U1998" s="113"/>
      <c r="AF1998" s="2"/>
      <c r="AG1998" s="2"/>
      <c r="AS1998"/>
      <c r="AT1998"/>
    </row>
    <row r="1999" spans="20:46" ht="16.8">
      <c r="T1999" s="112"/>
      <c r="U1999" s="113"/>
      <c r="AF1999" s="2"/>
      <c r="AG1999" s="2"/>
      <c r="AS1999"/>
      <c r="AT1999"/>
    </row>
    <row r="2000" spans="20:46" ht="16.8">
      <c r="T2000" s="112"/>
      <c r="U2000" s="113"/>
      <c r="AF2000" s="2"/>
      <c r="AG2000" s="2"/>
      <c r="AS2000"/>
      <c r="AT2000"/>
    </row>
    <row r="2001" spans="20:46" ht="16.8">
      <c r="T2001" s="112"/>
      <c r="U2001" s="113"/>
      <c r="AF2001" s="2"/>
      <c r="AG2001" s="2"/>
      <c r="AS2001"/>
      <c r="AT2001"/>
    </row>
    <row r="2002" spans="20:46" ht="16.8">
      <c r="T2002" s="112"/>
      <c r="U2002" s="113"/>
      <c r="AF2002" s="2"/>
      <c r="AG2002" s="2"/>
      <c r="AS2002"/>
      <c r="AT2002"/>
    </row>
    <row r="2003" spans="20:46" ht="16.8">
      <c r="T2003" s="112"/>
      <c r="U2003" s="113"/>
      <c r="AF2003" s="2"/>
      <c r="AG2003" s="2"/>
      <c r="AS2003"/>
      <c r="AT2003"/>
    </row>
    <row r="2004" spans="20:46" ht="16.8">
      <c r="T2004" s="112"/>
      <c r="U2004" s="113"/>
      <c r="AF2004" s="2"/>
      <c r="AG2004" s="2"/>
      <c r="AS2004"/>
      <c r="AT2004"/>
    </row>
    <row r="2005" spans="20:46" ht="16.8">
      <c r="T2005" s="112"/>
      <c r="U2005" s="113"/>
      <c r="AF2005" s="2"/>
      <c r="AG2005" s="2"/>
      <c r="AS2005"/>
      <c r="AT2005"/>
    </row>
    <row r="2006" spans="20:46" ht="16.8">
      <c r="T2006" s="112"/>
      <c r="U2006" s="113"/>
      <c r="AF2006" s="2"/>
      <c r="AG2006" s="2"/>
      <c r="AS2006"/>
      <c r="AT2006"/>
    </row>
    <row r="2007" spans="20:46" ht="16.8">
      <c r="T2007" s="112"/>
      <c r="U2007" s="113"/>
      <c r="AF2007" s="2"/>
      <c r="AG2007" s="2"/>
      <c r="AS2007"/>
      <c r="AT2007"/>
    </row>
    <row r="2008" spans="20:46" ht="16.8">
      <c r="T2008" s="112"/>
      <c r="U2008" s="113"/>
      <c r="AF2008" s="2"/>
      <c r="AG2008" s="2"/>
      <c r="AS2008"/>
      <c r="AT2008"/>
    </row>
    <row r="2009" spans="20:46" ht="16.8">
      <c r="T2009" s="112"/>
      <c r="U2009" s="113"/>
      <c r="AF2009" s="2"/>
      <c r="AG2009" s="2"/>
      <c r="AS2009"/>
      <c r="AT2009"/>
    </row>
    <row r="2010" spans="20:46" ht="16.8">
      <c r="T2010" s="112"/>
      <c r="U2010" s="113"/>
      <c r="AF2010" s="2"/>
      <c r="AG2010" s="2"/>
      <c r="AS2010"/>
      <c r="AT2010"/>
    </row>
    <row r="2011" spans="20:46" ht="16.8">
      <c r="T2011" s="112"/>
      <c r="U2011" s="113"/>
      <c r="AF2011" s="2"/>
      <c r="AG2011" s="2"/>
      <c r="AS2011"/>
      <c r="AT2011"/>
    </row>
    <row r="2012" spans="20:46" ht="16.8">
      <c r="T2012" s="112"/>
      <c r="U2012" s="113"/>
      <c r="AF2012" s="2"/>
      <c r="AG2012" s="2"/>
      <c r="AS2012"/>
      <c r="AT2012"/>
    </row>
    <row r="2013" spans="20:46" ht="16.8">
      <c r="T2013" s="112"/>
      <c r="U2013" s="113"/>
      <c r="AF2013" s="2"/>
      <c r="AG2013" s="2"/>
      <c r="AS2013"/>
      <c r="AT2013"/>
    </row>
    <row r="2014" spans="20:46" ht="16.8">
      <c r="T2014" s="112"/>
      <c r="U2014" s="113"/>
      <c r="AF2014" s="2"/>
      <c r="AG2014" s="2"/>
      <c r="AS2014"/>
      <c r="AT2014"/>
    </row>
    <row r="2015" spans="20:46" ht="16.8">
      <c r="T2015" s="112"/>
      <c r="U2015" s="113"/>
      <c r="AF2015" s="2"/>
      <c r="AG2015" s="2"/>
      <c r="AS2015"/>
      <c r="AT2015"/>
    </row>
    <row r="2016" spans="20:46" ht="16.8">
      <c r="T2016" s="112"/>
      <c r="U2016" s="113"/>
      <c r="AF2016" s="2"/>
      <c r="AG2016" s="2"/>
      <c r="AS2016"/>
      <c r="AT2016"/>
    </row>
    <row r="2017" spans="20:46" ht="16.8">
      <c r="T2017" s="112"/>
      <c r="U2017" s="113"/>
      <c r="AF2017" s="2"/>
      <c r="AG2017" s="2"/>
      <c r="AS2017"/>
      <c r="AT2017"/>
    </row>
    <row r="2018" spans="20:46" ht="16.8">
      <c r="T2018" s="112"/>
      <c r="U2018" s="113"/>
      <c r="AF2018" s="2"/>
      <c r="AG2018" s="2"/>
      <c r="AS2018"/>
      <c r="AT2018"/>
    </row>
    <row r="2019" spans="20:46" ht="16.8">
      <c r="T2019" s="112"/>
      <c r="U2019" s="113"/>
      <c r="AF2019" s="2"/>
      <c r="AG2019" s="2"/>
      <c r="AS2019"/>
      <c r="AT2019"/>
    </row>
    <row r="2020" spans="20:46" ht="16.8">
      <c r="T2020" s="112"/>
      <c r="U2020" s="113"/>
      <c r="AF2020" s="2"/>
      <c r="AG2020" s="2"/>
      <c r="AS2020"/>
      <c r="AT2020"/>
    </row>
    <row r="2021" spans="20:46" ht="16.8">
      <c r="T2021" s="112"/>
      <c r="U2021" s="113"/>
      <c r="AF2021" s="2"/>
      <c r="AG2021" s="2"/>
      <c r="AS2021"/>
      <c r="AT2021"/>
    </row>
    <row r="2022" spans="20:46" ht="16.8">
      <c r="T2022" s="112"/>
      <c r="U2022" s="113"/>
      <c r="AF2022" s="2"/>
      <c r="AG2022" s="2"/>
      <c r="AS2022"/>
      <c r="AT2022"/>
    </row>
    <row r="2023" spans="20:46" ht="16.8">
      <c r="T2023" s="112"/>
      <c r="U2023" s="113"/>
      <c r="AF2023" s="2"/>
      <c r="AG2023" s="2"/>
      <c r="AS2023"/>
      <c r="AT2023"/>
    </row>
    <row r="2024" spans="20:46" ht="16.8">
      <c r="T2024" s="112"/>
      <c r="U2024" s="113"/>
      <c r="AF2024" s="2"/>
      <c r="AG2024" s="2"/>
      <c r="AS2024"/>
      <c r="AT2024"/>
    </row>
    <row r="2025" spans="20:46" ht="16.8">
      <c r="T2025" s="112"/>
      <c r="U2025" s="113"/>
      <c r="AF2025" s="2"/>
      <c r="AG2025" s="2"/>
      <c r="AS2025"/>
      <c r="AT2025"/>
    </row>
    <row r="2026" spans="20:46" ht="16.8">
      <c r="T2026" s="112"/>
      <c r="U2026" s="113"/>
      <c r="AF2026" s="2"/>
      <c r="AG2026" s="2"/>
      <c r="AS2026"/>
      <c r="AT2026"/>
    </row>
    <row r="2027" spans="20:46" ht="16.8">
      <c r="T2027" s="112"/>
      <c r="U2027" s="113"/>
      <c r="AF2027" s="2"/>
      <c r="AG2027" s="2"/>
      <c r="AS2027"/>
      <c r="AT2027"/>
    </row>
    <row r="2028" spans="20:46" ht="16.8">
      <c r="T2028" s="112"/>
      <c r="U2028" s="113"/>
      <c r="AF2028" s="2"/>
      <c r="AG2028" s="2"/>
      <c r="AS2028"/>
      <c r="AT2028"/>
    </row>
    <row r="2029" spans="20:46" ht="16.8">
      <c r="T2029" s="112"/>
      <c r="U2029" s="113"/>
      <c r="AF2029" s="2"/>
      <c r="AG2029" s="2"/>
      <c r="AS2029"/>
      <c r="AT2029"/>
    </row>
    <row r="2030" spans="20:46" ht="16.8">
      <c r="T2030" s="112"/>
      <c r="U2030" s="113"/>
      <c r="AF2030" s="2"/>
      <c r="AG2030" s="2"/>
      <c r="AS2030"/>
      <c r="AT2030"/>
    </row>
    <row r="2031" spans="20:46" ht="16.8">
      <c r="T2031" s="112"/>
      <c r="U2031" s="113"/>
      <c r="AF2031" s="2"/>
      <c r="AG2031" s="2"/>
      <c r="AS2031"/>
      <c r="AT2031"/>
    </row>
    <row r="2032" spans="20:46" ht="16.8">
      <c r="T2032" s="112"/>
      <c r="U2032" s="113"/>
      <c r="AF2032" s="2"/>
      <c r="AG2032" s="2"/>
      <c r="AS2032"/>
      <c r="AT2032"/>
    </row>
    <row r="2033" spans="20:46" ht="16.8">
      <c r="T2033" s="112"/>
      <c r="U2033" s="113"/>
      <c r="AF2033" s="2"/>
      <c r="AG2033" s="2"/>
      <c r="AS2033"/>
      <c r="AT2033"/>
    </row>
    <row r="2034" spans="20:46" ht="16.8">
      <c r="T2034" s="112"/>
      <c r="U2034" s="113"/>
      <c r="AF2034" s="2"/>
      <c r="AG2034" s="2"/>
      <c r="AS2034"/>
      <c r="AT2034"/>
    </row>
    <row r="2035" spans="20:46" ht="16.8">
      <c r="T2035" s="112"/>
      <c r="U2035" s="113"/>
      <c r="AF2035" s="2"/>
      <c r="AG2035" s="2"/>
      <c r="AS2035"/>
      <c r="AT2035"/>
    </row>
    <row r="2036" spans="20:46" ht="16.8">
      <c r="T2036" s="112"/>
      <c r="U2036" s="113"/>
      <c r="AF2036" s="2"/>
      <c r="AG2036" s="2"/>
      <c r="AS2036"/>
      <c r="AT2036"/>
    </row>
    <row r="2037" spans="20:46" ht="16.8">
      <c r="T2037" s="112"/>
      <c r="U2037" s="113"/>
      <c r="AF2037" s="2"/>
      <c r="AG2037" s="2"/>
      <c r="AS2037"/>
      <c r="AT2037"/>
    </row>
    <row r="2038" spans="20:46" ht="16.8">
      <c r="T2038" s="112"/>
      <c r="U2038" s="113"/>
      <c r="AF2038" s="2"/>
      <c r="AG2038" s="2"/>
      <c r="AS2038"/>
      <c r="AT2038"/>
    </row>
    <row r="2039" spans="20:46" ht="16.8">
      <c r="T2039" s="112"/>
      <c r="U2039" s="113"/>
      <c r="AF2039" s="2"/>
      <c r="AG2039" s="2"/>
      <c r="AS2039"/>
      <c r="AT2039"/>
    </row>
    <row r="2040" spans="20:46" ht="16.8">
      <c r="T2040" s="112"/>
      <c r="U2040" s="113"/>
      <c r="AF2040" s="2"/>
      <c r="AG2040" s="2"/>
      <c r="AS2040"/>
      <c r="AT2040"/>
    </row>
    <row r="2041" spans="20:46" ht="16.8">
      <c r="T2041" s="112"/>
      <c r="U2041" s="113"/>
      <c r="AF2041" s="2"/>
      <c r="AG2041" s="2"/>
      <c r="AS2041"/>
      <c r="AT2041"/>
    </row>
    <row r="2042" spans="20:46" ht="16.8">
      <c r="T2042" s="112"/>
      <c r="U2042" s="113"/>
      <c r="AF2042" s="2"/>
      <c r="AG2042" s="2"/>
      <c r="AS2042"/>
      <c r="AT2042"/>
    </row>
    <row r="2043" spans="20:46" ht="16.8">
      <c r="T2043" s="112"/>
      <c r="U2043" s="113"/>
      <c r="AF2043" s="2"/>
      <c r="AG2043" s="2"/>
      <c r="AS2043"/>
      <c r="AT2043"/>
    </row>
    <row r="2044" spans="20:46" ht="16.8">
      <c r="T2044" s="112"/>
      <c r="U2044" s="113"/>
      <c r="AF2044" s="2"/>
      <c r="AG2044" s="2"/>
      <c r="AS2044"/>
      <c r="AT2044"/>
    </row>
    <row r="2045" spans="20:46" ht="16.8">
      <c r="T2045" s="112"/>
      <c r="U2045" s="113"/>
      <c r="AF2045" s="2"/>
      <c r="AG2045" s="2"/>
      <c r="AS2045"/>
      <c r="AT2045"/>
    </row>
    <row r="2046" spans="20:46" ht="16.8">
      <c r="T2046" s="112"/>
      <c r="U2046" s="113"/>
      <c r="AF2046" s="2"/>
      <c r="AG2046" s="2"/>
      <c r="AS2046"/>
      <c r="AT2046"/>
    </row>
    <row r="2047" spans="20:46" ht="16.8">
      <c r="T2047" s="112"/>
      <c r="U2047" s="113"/>
      <c r="AF2047" s="2"/>
      <c r="AG2047" s="2"/>
      <c r="AS2047"/>
      <c r="AT2047"/>
    </row>
    <row r="2048" spans="20:46" ht="16.8">
      <c r="T2048" s="112"/>
      <c r="U2048" s="113"/>
      <c r="AF2048" s="2"/>
      <c r="AG2048" s="2"/>
      <c r="AS2048"/>
      <c r="AT2048"/>
    </row>
    <row r="2049" spans="20:46" ht="16.8">
      <c r="T2049" s="112"/>
      <c r="U2049" s="113"/>
      <c r="AF2049" s="2"/>
      <c r="AG2049" s="2"/>
      <c r="AS2049"/>
      <c r="AT2049"/>
    </row>
    <row r="2050" spans="20:46" ht="16.8">
      <c r="T2050" s="112"/>
      <c r="U2050" s="113"/>
      <c r="AF2050" s="2"/>
      <c r="AG2050" s="2"/>
      <c r="AS2050"/>
      <c r="AT2050"/>
    </row>
    <row r="2051" spans="20:46" ht="16.8">
      <c r="T2051" s="112"/>
      <c r="U2051" s="113"/>
      <c r="AF2051" s="2"/>
      <c r="AG2051" s="2"/>
      <c r="AS2051"/>
      <c r="AT2051"/>
    </row>
    <row r="2052" spans="20:46" ht="16.8">
      <c r="T2052" s="112"/>
      <c r="U2052" s="113"/>
      <c r="AF2052" s="2"/>
      <c r="AG2052" s="2"/>
      <c r="AS2052"/>
      <c r="AT2052"/>
    </row>
    <row r="2053" spans="20:46" ht="16.8">
      <c r="T2053" s="112"/>
      <c r="U2053" s="113"/>
      <c r="AF2053" s="2"/>
      <c r="AG2053" s="2"/>
      <c r="AS2053"/>
      <c r="AT2053"/>
    </row>
    <row r="2054" spans="20:46" ht="16.8">
      <c r="T2054" s="112"/>
      <c r="U2054" s="113"/>
      <c r="AF2054" s="2"/>
      <c r="AG2054" s="2"/>
      <c r="AS2054"/>
      <c r="AT2054"/>
    </row>
    <row r="2055" spans="20:46" ht="16.8">
      <c r="T2055" s="112"/>
      <c r="U2055" s="113"/>
      <c r="AF2055" s="2"/>
      <c r="AG2055" s="2"/>
      <c r="AS2055"/>
      <c r="AT2055"/>
    </row>
    <row r="2056" spans="20:46" ht="16.8">
      <c r="T2056" s="112"/>
      <c r="U2056" s="113"/>
      <c r="AF2056" s="2"/>
      <c r="AG2056" s="2"/>
      <c r="AS2056"/>
      <c r="AT2056"/>
    </row>
    <row r="2057" spans="20:46" ht="16.8">
      <c r="T2057" s="112"/>
      <c r="U2057" s="113"/>
      <c r="AF2057" s="2"/>
      <c r="AG2057" s="2"/>
      <c r="AS2057"/>
      <c r="AT2057"/>
    </row>
    <row r="2058" spans="20:46" ht="16.8">
      <c r="T2058" s="112"/>
      <c r="U2058" s="113"/>
      <c r="AF2058" s="2"/>
      <c r="AG2058" s="2"/>
      <c r="AS2058"/>
      <c r="AT2058"/>
    </row>
    <row r="2059" spans="20:46" ht="16.8">
      <c r="T2059" s="112"/>
      <c r="U2059" s="113"/>
      <c r="AF2059" s="2"/>
      <c r="AG2059" s="2"/>
      <c r="AS2059"/>
      <c r="AT2059"/>
    </row>
    <row r="2060" spans="20:46" ht="16.8">
      <c r="T2060" s="112"/>
      <c r="U2060" s="113"/>
      <c r="AF2060" s="2"/>
      <c r="AG2060" s="2"/>
      <c r="AS2060"/>
      <c r="AT2060"/>
    </row>
    <row r="2061" spans="20:46" ht="16.8">
      <c r="T2061" s="112"/>
      <c r="U2061" s="113"/>
      <c r="AF2061" s="2"/>
      <c r="AG2061" s="2"/>
      <c r="AS2061"/>
      <c r="AT2061"/>
    </row>
    <row r="2062" spans="20:46" ht="16.8">
      <c r="T2062" s="112"/>
      <c r="U2062" s="113"/>
      <c r="AF2062" s="2"/>
      <c r="AG2062" s="2"/>
      <c r="AS2062"/>
      <c r="AT2062"/>
    </row>
    <row r="2063" spans="20:46" ht="16.8">
      <c r="T2063" s="112"/>
      <c r="U2063" s="113"/>
      <c r="AF2063" s="2"/>
      <c r="AG2063" s="2"/>
      <c r="AS2063"/>
      <c r="AT2063"/>
    </row>
    <row r="2064" spans="20:46" ht="16.8">
      <c r="T2064" s="112"/>
      <c r="U2064" s="113"/>
      <c r="AF2064" s="2"/>
      <c r="AG2064" s="2"/>
      <c r="AS2064"/>
      <c r="AT2064"/>
    </row>
    <row r="2065" spans="20:46" ht="16.8">
      <c r="T2065" s="112"/>
      <c r="U2065" s="113"/>
      <c r="AF2065" s="2"/>
      <c r="AG2065" s="2"/>
      <c r="AS2065"/>
      <c r="AT2065"/>
    </row>
    <row r="2066" spans="20:46" ht="16.8">
      <c r="T2066" s="112"/>
      <c r="U2066" s="113"/>
      <c r="AF2066" s="2"/>
      <c r="AG2066" s="2"/>
      <c r="AS2066"/>
      <c r="AT2066"/>
    </row>
    <row r="2067" spans="20:46" ht="16.8">
      <c r="T2067" s="112"/>
      <c r="U2067" s="113"/>
      <c r="AF2067" s="2"/>
      <c r="AG2067" s="2"/>
      <c r="AS2067"/>
      <c r="AT2067"/>
    </row>
    <row r="2068" spans="20:46" ht="16.8">
      <c r="T2068" s="112"/>
      <c r="U2068" s="113"/>
      <c r="AF2068" s="2"/>
      <c r="AG2068" s="2"/>
      <c r="AS2068"/>
      <c r="AT2068"/>
    </row>
    <row r="2069" spans="20:46" ht="16.8">
      <c r="T2069" s="112"/>
      <c r="U2069" s="113"/>
      <c r="AF2069" s="2"/>
      <c r="AG2069" s="2"/>
      <c r="AS2069"/>
      <c r="AT2069"/>
    </row>
    <row r="2070" spans="20:46" ht="16.8">
      <c r="T2070" s="112"/>
      <c r="U2070" s="113"/>
      <c r="AF2070" s="2"/>
      <c r="AG2070" s="2"/>
      <c r="AS2070"/>
      <c r="AT2070"/>
    </row>
    <row r="2071" spans="20:46" ht="16.8">
      <c r="T2071" s="112"/>
      <c r="U2071" s="113"/>
      <c r="AF2071" s="2"/>
      <c r="AG2071" s="2"/>
      <c r="AS2071"/>
      <c r="AT2071"/>
    </row>
    <row r="2072" spans="20:46" ht="16.8">
      <c r="T2072" s="112"/>
      <c r="U2072" s="113"/>
      <c r="AF2072" s="2"/>
      <c r="AG2072" s="2"/>
      <c r="AS2072"/>
      <c r="AT2072"/>
    </row>
    <row r="2073" spans="20:46" ht="16.8">
      <c r="T2073" s="112"/>
      <c r="U2073" s="113"/>
      <c r="AF2073" s="2"/>
      <c r="AG2073" s="2"/>
      <c r="AS2073"/>
      <c r="AT2073"/>
    </row>
    <row r="2074" spans="20:46" ht="16.8">
      <c r="T2074" s="112"/>
      <c r="U2074" s="113"/>
      <c r="AF2074" s="2"/>
      <c r="AG2074" s="2"/>
      <c r="AS2074"/>
      <c r="AT2074"/>
    </row>
    <row r="2075" spans="20:46" ht="16.8">
      <c r="T2075" s="112"/>
      <c r="U2075" s="113"/>
      <c r="AF2075" s="2"/>
      <c r="AG2075" s="2"/>
      <c r="AS2075"/>
      <c r="AT2075"/>
    </row>
    <row r="2076" spans="20:46" ht="16.8">
      <c r="T2076" s="112"/>
      <c r="U2076" s="113"/>
      <c r="AF2076" s="2"/>
      <c r="AG2076" s="2"/>
      <c r="AS2076"/>
      <c r="AT2076"/>
    </row>
    <row r="2077" spans="20:46" ht="16.8">
      <c r="T2077" s="112"/>
      <c r="U2077" s="113"/>
      <c r="AF2077" s="2"/>
      <c r="AG2077" s="2"/>
      <c r="AS2077"/>
      <c r="AT2077"/>
    </row>
    <row r="2078" spans="20:46" ht="16.8">
      <c r="T2078" s="112"/>
      <c r="U2078" s="113"/>
      <c r="AF2078" s="2"/>
      <c r="AG2078" s="2"/>
      <c r="AS2078"/>
      <c r="AT2078"/>
    </row>
    <row r="2079" spans="20:46" ht="16.8">
      <c r="T2079" s="112"/>
      <c r="U2079" s="113"/>
      <c r="AF2079" s="2"/>
      <c r="AG2079" s="2"/>
      <c r="AS2079"/>
      <c r="AT2079"/>
    </row>
    <row r="2080" spans="20:46" ht="16.8">
      <c r="T2080" s="112"/>
      <c r="U2080" s="113"/>
      <c r="AF2080" s="2"/>
      <c r="AG2080" s="2"/>
      <c r="AS2080"/>
      <c r="AT2080"/>
    </row>
    <row r="2081" spans="20:46" ht="16.8">
      <c r="T2081" s="112"/>
      <c r="U2081" s="113"/>
      <c r="AF2081" s="2"/>
      <c r="AG2081" s="2"/>
      <c r="AS2081"/>
      <c r="AT2081"/>
    </row>
    <row r="2082" spans="20:46" ht="16.8">
      <c r="T2082" s="112"/>
      <c r="U2082" s="113"/>
      <c r="AF2082" s="2"/>
      <c r="AG2082" s="2"/>
      <c r="AS2082"/>
      <c r="AT2082"/>
    </row>
    <row r="2083" spans="20:46" ht="16.8">
      <c r="T2083" s="112"/>
      <c r="U2083" s="113"/>
      <c r="AF2083" s="2"/>
      <c r="AG2083" s="2"/>
      <c r="AS2083"/>
      <c r="AT2083"/>
    </row>
    <row r="2084" spans="20:46" ht="16.8">
      <c r="T2084" s="112"/>
      <c r="U2084" s="113"/>
      <c r="AF2084" s="2"/>
      <c r="AG2084" s="2"/>
      <c r="AS2084"/>
      <c r="AT2084"/>
    </row>
    <row r="2085" spans="20:46" ht="16.8">
      <c r="T2085" s="112"/>
      <c r="U2085" s="113"/>
      <c r="AF2085" s="2"/>
      <c r="AG2085" s="2"/>
      <c r="AS2085"/>
      <c r="AT2085"/>
    </row>
    <row r="2086" spans="20:46" ht="16.8">
      <c r="T2086" s="112"/>
      <c r="U2086" s="113"/>
      <c r="AF2086" s="2"/>
      <c r="AG2086" s="2"/>
      <c r="AS2086"/>
      <c r="AT2086"/>
    </row>
    <row r="2087" spans="20:46" ht="16.8">
      <c r="T2087" s="112"/>
      <c r="U2087" s="113"/>
      <c r="AF2087" s="2"/>
      <c r="AG2087" s="2"/>
      <c r="AS2087"/>
      <c r="AT2087"/>
    </row>
    <row r="2088" spans="20:46" ht="16.8">
      <c r="T2088" s="112"/>
      <c r="U2088" s="113"/>
      <c r="AF2088" s="2"/>
      <c r="AG2088" s="2"/>
      <c r="AS2088"/>
      <c r="AT2088"/>
    </row>
    <row r="2089" spans="20:46" ht="16.8">
      <c r="T2089" s="112"/>
      <c r="U2089" s="113"/>
      <c r="AF2089" s="2"/>
      <c r="AG2089" s="2"/>
      <c r="AS2089"/>
      <c r="AT2089"/>
    </row>
    <row r="2090" spans="20:46" ht="16.8">
      <c r="T2090" s="112"/>
      <c r="U2090" s="113"/>
      <c r="AF2090" s="2"/>
      <c r="AG2090" s="2"/>
      <c r="AS2090"/>
      <c r="AT2090"/>
    </row>
    <row r="2091" spans="20:46" ht="16.8">
      <c r="T2091" s="112"/>
      <c r="U2091" s="113"/>
      <c r="AF2091" s="2"/>
      <c r="AG2091" s="2"/>
      <c r="AS2091"/>
      <c r="AT2091"/>
    </row>
    <row r="2092" spans="20:46" ht="16.8">
      <c r="T2092" s="112"/>
      <c r="U2092" s="113"/>
      <c r="AF2092" s="2"/>
      <c r="AG2092" s="2"/>
      <c r="AS2092"/>
      <c r="AT2092"/>
    </row>
    <row r="2093" spans="20:46" ht="16.8">
      <c r="T2093" s="112"/>
      <c r="U2093" s="113"/>
      <c r="AF2093" s="2"/>
      <c r="AG2093" s="2"/>
      <c r="AS2093"/>
      <c r="AT2093"/>
    </row>
    <row r="2094" spans="20:46" ht="16.8">
      <c r="T2094" s="112"/>
      <c r="U2094" s="113"/>
      <c r="AF2094" s="2"/>
      <c r="AG2094" s="2"/>
      <c r="AS2094"/>
      <c r="AT2094"/>
    </row>
    <row r="2095" spans="20:46" ht="16.8">
      <c r="T2095" s="112"/>
      <c r="U2095" s="113"/>
      <c r="AF2095" s="2"/>
      <c r="AG2095" s="2"/>
      <c r="AS2095"/>
      <c r="AT2095"/>
    </row>
    <row r="2096" spans="20:46" ht="16.8">
      <c r="T2096" s="112"/>
      <c r="U2096" s="113"/>
      <c r="AF2096" s="2"/>
      <c r="AG2096" s="2"/>
      <c r="AS2096"/>
      <c r="AT2096"/>
    </row>
    <row r="2097" spans="20:46" ht="16.8">
      <c r="T2097" s="112"/>
      <c r="U2097" s="113"/>
      <c r="AF2097" s="2"/>
      <c r="AG2097" s="2"/>
      <c r="AS2097"/>
      <c r="AT2097"/>
    </row>
    <row r="2098" spans="20:46" ht="16.8">
      <c r="T2098" s="112"/>
      <c r="U2098" s="113"/>
      <c r="AF2098" s="2"/>
      <c r="AG2098" s="2"/>
      <c r="AS2098"/>
      <c r="AT2098"/>
    </row>
    <row r="2099" spans="20:46" ht="16.8">
      <c r="T2099" s="112"/>
      <c r="U2099" s="113"/>
      <c r="AF2099" s="2"/>
      <c r="AG2099" s="2"/>
      <c r="AS2099"/>
      <c r="AT2099"/>
    </row>
    <row r="2100" spans="20:46" ht="16.8">
      <c r="T2100" s="112"/>
      <c r="U2100" s="113"/>
      <c r="AF2100" s="2"/>
      <c r="AG2100" s="2"/>
      <c r="AS2100"/>
      <c r="AT2100"/>
    </row>
    <row r="2101" spans="20:46" ht="16.8">
      <c r="T2101" s="112"/>
      <c r="U2101" s="113"/>
      <c r="AF2101" s="2"/>
      <c r="AG2101" s="2"/>
      <c r="AS2101"/>
      <c r="AT2101"/>
    </row>
    <row r="2102" spans="20:46" ht="16.8">
      <c r="T2102" s="112"/>
      <c r="U2102" s="113"/>
      <c r="AF2102" s="2"/>
      <c r="AG2102" s="2"/>
      <c r="AS2102"/>
      <c r="AT2102"/>
    </row>
    <row r="2103" spans="20:46" ht="16.8">
      <c r="T2103" s="112"/>
      <c r="U2103" s="113"/>
      <c r="AF2103" s="2"/>
      <c r="AG2103" s="2"/>
      <c r="AS2103"/>
      <c r="AT2103"/>
    </row>
    <row r="2104" spans="20:46" ht="16.8">
      <c r="T2104" s="112"/>
      <c r="U2104" s="113"/>
      <c r="AF2104" s="2"/>
      <c r="AG2104" s="2"/>
      <c r="AS2104"/>
      <c r="AT2104"/>
    </row>
    <row r="2105" spans="20:46" ht="16.8">
      <c r="T2105" s="112"/>
      <c r="U2105" s="113"/>
      <c r="AF2105" s="2"/>
      <c r="AG2105" s="2"/>
      <c r="AS2105"/>
      <c r="AT2105"/>
    </row>
    <row r="2106" spans="20:46" ht="16.8">
      <c r="T2106" s="112"/>
      <c r="U2106" s="113"/>
      <c r="AF2106" s="2"/>
      <c r="AG2106" s="2"/>
      <c r="AS2106"/>
      <c r="AT2106"/>
    </row>
    <row r="2107" spans="20:46" ht="16.8">
      <c r="T2107" s="112"/>
      <c r="U2107" s="113"/>
      <c r="AF2107" s="2"/>
      <c r="AG2107" s="2"/>
      <c r="AS2107"/>
      <c r="AT2107"/>
    </row>
    <row r="2108" spans="20:46" ht="16.8">
      <c r="T2108" s="112"/>
      <c r="U2108" s="113"/>
      <c r="AF2108" s="2"/>
      <c r="AG2108" s="2"/>
      <c r="AS2108"/>
      <c r="AT2108"/>
    </row>
    <row r="2109" spans="20:46" ht="16.8">
      <c r="T2109" s="112"/>
      <c r="U2109" s="113"/>
      <c r="AF2109" s="2"/>
      <c r="AG2109" s="2"/>
      <c r="AS2109"/>
      <c r="AT2109"/>
    </row>
    <row r="2110" spans="20:46" ht="16.8">
      <c r="T2110" s="112"/>
      <c r="U2110" s="113"/>
      <c r="AF2110" s="2"/>
      <c r="AG2110" s="2"/>
      <c r="AS2110"/>
      <c r="AT2110"/>
    </row>
    <row r="2111" spans="20:46" ht="16.8">
      <c r="T2111" s="112"/>
      <c r="U2111" s="113"/>
      <c r="AF2111" s="2"/>
      <c r="AG2111" s="2"/>
      <c r="AS2111"/>
      <c r="AT2111"/>
    </row>
    <row r="2112" spans="20:46" ht="16.8">
      <c r="T2112" s="112"/>
      <c r="U2112" s="113"/>
      <c r="AF2112" s="2"/>
      <c r="AG2112" s="2"/>
      <c r="AS2112"/>
      <c r="AT2112"/>
    </row>
    <row r="2113" spans="20:46" ht="16.8">
      <c r="T2113" s="112"/>
      <c r="U2113" s="113"/>
      <c r="AF2113" s="2"/>
      <c r="AG2113" s="2"/>
      <c r="AS2113"/>
      <c r="AT2113"/>
    </row>
    <row r="2114" spans="20:46" ht="16.8">
      <c r="T2114" s="112"/>
      <c r="U2114" s="113"/>
      <c r="AF2114" s="2"/>
      <c r="AG2114" s="2"/>
      <c r="AS2114"/>
      <c r="AT2114"/>
    </row>
    <row r="2115" spans="20:46" ht="16.8">
      <c r="T2115" s="112"/>
      <c r="U2115" s="113"/>
      <c r="AF2115" s="2"/>
      <c r="AG2115" s="2"/>
      <c r="AS2115"/>
      <c r="AT2115"/>
    </row>
    <row r="2116" spans="20:46" ht="16.8">
      <c r="T2116" s="112"/>
      <c r="U2116" s="113"/>
      <c r="AF2116" s="2"/>
      <c r="AG2116" s="2"/>
      <c r="AS2116"/>
      <c r="AT2116"/>
    </row>
    <row r="2117" spans="20:46" ht="16.8">
      <c r="T2117" s="112"/>
      <c r="U2117" s="113"/>
      <c r="AF2117" s="2"/>
      <c r="AG2117" s="2"/>
      <c r="AS2117"/>
      <c r="AT2117"/>
    </row>
    <row r="2118" spans="20:46" ht="16.8">
      <c r="T2118" s="112"/>
      <c r="U2118" s="113"/>
      <c r="AF2118" s="2"/>
      <c r="AG2118" s="2"/>
      <c r="AS2118"/>
      <c r="AT2118"/>
    </row>
    <row r="2119" spans="20:46" ht="16.8">
      <c r="T2119" s="112"/>
      <c r="U2119" s="113"/>
      <c r="AF2119" s="2"/>
      <c r="AG2119" s="2"/>
      <c r="AS2119"/>
      <c r="AT2119"/>
    </row>
    <row r="2120" spans="20:46" ht="16.8">
      <c r="T2120" s="112"/>
      <c r="U2120" s="113"/>
      <c r="AF2120" s="2"/>
      <c r="AG2120" s="2"/>
      <c r="AS2120"/>
      <c r="AT2120"/>
    </row>
    <row r="2121" spans="20:46" ht="16.8">
      <c r="T2121" s="112"/>
      <c r="U2121" s="113"/>
      <c r="AF2121" s="2"/>
      <c r="AG2121" s="2"/>
      <c r="AS2121"/>
      <c r="AT2121"/>
    </row>
    <row r="2122" spans="20:46" ht="16.8">
      <c r="T2122" s="112"/>
      <c r="U2122" s="113"/>
      <c r="AF2122" s="2"/>
      <c r="AG2122" s="2"/>
      <c r="AS2122"/>
      <c r="AT2122"/>
    </row>
    <row r="2123" spans="20:46" ht="16.8">
      <c r="T2123" s="112"/>
      <c r="U2123" s="113"/>
      <c r="AF2123" s="2"/>
      <c r="AG2123" s="2"/>
      <c r="AS2123"/>
      <c r="AT2123"/>
    </row>
    <row r="2124" spans="20:46" ht="16.8">
      <c r="T2124" s="112"/>
      <c r="U2124" s="113"/>
      <c r="AF2124" s="2"/>
      <c r="AG2124" s="2"/>
      <c r="AS2124"/>
      <c r="AT2124"/>
    </row>
    <row r="2125" spans="20:46" ht="16.8">
      <c r="T2125" s="112"/>
      <c r="U2125" s="113"/>
      <c r="AF2125" s="2"/>
      <c r="AG2125" s="2"/>
      <c r="AS2125"/>
      <c r="AT2125"/>
    </row>
    <row r="2126" spans="20:46" ht="16.8">
      <c r="T2126" s="112"/>
      <c r="U2126" s="113"/>
      <c r="AF2126" s="2"/>
      <c r="AG2126" s="2"/>
      <c r="AS2126"/>
      <c r="AT2126"/>
    </row>
    <row r="2127" spans="20:46" ht="16.8">
      <c r="T2127" s="112"/>
      <c r="U2127" s="113"/>
      <c r="AF2127" s="2"/>
      <c r="AG2127" s="2"/>
      <c r="AS2127"/>
      <c r="AT2127"/>
    </row>
    <row r="2128" spans="20:46" ht="16.8">
      <c r="T2128" s="112"/>
      <c r="U2128" s="113"/>
      <c r="AF2128" s="2"/>
      <c r="AG2128" s="2"/>
      <c r="AS2128"/>
      <c r="AT2128"/>
    </row>
    <row r="2129" spans="20:46" ht="16.8">
      <c r="T2129" s="112"/>
      <c r="U2129" s="113"/>
      <c r="AF2129" s="2"/>
      <c r="AG2129" s="2"/>
      <c r="AS2129"/>
      <c r="AT2129"/>
    </row>
    <row r="2130" spans="20:46" ht="16.8">
      <c r="T2130" s="112"/>
      <c r="U2130" s="113"/>
      <c r="AF2130" s="2"/>
      <c r="AG2130" s="2"/>
      <c r="AS2130"/>
      <c r="AT2130"/>
    </row>
    <row r="2131" spans="20:46" ht="16.8">
      <c r="T2131" s="112"/>
      <c r="U2131" s="113"/>
      <c r="AF2131" s="2"/>
      <c r="AG2131" s="2"/>
      <c r="AS2131"/>
      <c r="AT2131"/>
    </row>
    <row r="2132" spans="20:46" ht="16.8">
      <c r="T2132" s="112"/>
      <c r="U2132" s="113"/>
      <c r="AF2132" s="2"/>
      <c r="AG2132" s="2"/>
      <c r="AS2132"/>
      <c r="AT2132"/>
    </row>
    <row r="2133" spans="20:46" ht="16.8">
      <c r="T2133" s="112"/>
      <c r="U2133" s="113"/>
      <c r="AF2133" s="2"/>
      <c r="AG2133" s="2"/>
      <c r="AS2133"/>
      <c r="AT2133"/>
    </row>
    <row r="2134" spans="20:46" ht="16.8">
      <c r="T2134" s="112"/>
      <c r="U2134" s="113"/>
      <c r="AF2134" s="2"/>
      <c r="AG2134" s="2"/>
      <c r="AS2134"/>
      <c r="AT2134"/>
    </row>
    <row r="2135" spans="20:46" ht="16.8">
      <c r="T2135" s="112"/>
      <c r="U2135" s="113"/>
      <c r="AF2135" s="2"/>
      <c r="AG2135" s="2"/>
      <c r="AS2135"/>
      <c r="AT2135"/>
    </row>
    <row r="2136" spans="20:46" ht="16.8">
      <c r="T2136" s="112"/>
      <c r="U2136" s="113"/>
      <c r="AF2136" s="2"/>
      <c r="AG2136" s="2"/>
      <c r="AS2136"/>
      <c r="AT2136"/>
    </row>
    <row r="2137" spans="20:46" ht="16.8">
      <c r="T2137" s="112"/>
      <c r="U2137" s="113"/>
      <c r="AF2137" s="2"/>
      <c r="AG2137" s="2"/>
      <c r="AS2137"/>
      <c r="AT2137"/>
    </row>
    <row r="2138" spans="20:46" ht="16.8">
      <c r="T2138" s="112"/>
      <c r="U2138" s="113"/>
      <c r="AF2138" s="2"/>
      <c r="AG2138" s="2"/>
      <c r="AS2138"/>
      <c r="AT2138"/>
    </row>
    <row r="2139" spans="20:46" ht="16.8">
      <c r="T2139" s="112"/>
      <c r="U2139" s="113"/>
      <c r="AF2139" s="2"/>
      <c r="AG2139" s="2"/>
      <c r="AS2139"/>
      <c r="AT2139"/>
    </row>
    <row r="2140" spans="20:46" ht="16.8">
      <c r="T2140" s="112"/>
      <c r="U2140" s="113"/>
      <c r="AF2140" s="2"/>
      <c r="AG2140" s="2"/>
      <c r="AS2140"/>
      <c r="AT2140"/>
    </row>
    <row r="2141" spans="20:46" ht="16.8">
      <c r="T2141" s="112"/>
      <c r="U2141" s="113"/>
      <c r="AF2141" s="2"/>
      <c r="AG2141" s="2"/>
      <c r="AS2141"/>
      <c r="AT2141"/>
    </row>
    <row r="2142" spans="20:46" ht="16.8">
      <c r="T2142" s="112"/>
      <c r="U2142" s="113"/>
      <c r="AF2142" s="2"/>
      <c r="AG2142" s="2"/>
      <c r="AS2142"/>
      <c r="AT2142"/>
    </row>
    <row r="2143" spans="20:46" ht="16.8">
      <c r="T2143" s="112"/>
      <c r="U2143" s="113"/>
      <c r="AF2143" s="2"/>
      <c r="AG2143" s="2"/>
      <c r="AS2143"/>
      <c r="AT2143"/>
    </row>
    <row r="2144" spans="20:46" ht="16.8">
      <c r="T2144" s="112"/>
      <c r="U2144" s="113"/>
      <c r="AF2144" s="2"/>
      <c r="AG2144" s="2"/>
      <c r="AS2144"/>
      <c r="AT2144"/>
    </row>
    <row r="2145" spans="20:46" ht="16.8">
      <c r="T2145" s="112"/>
      <c r="U2145" s="113"/>
      <c r="AF2145" s="2"/>
      <c r="AG2145" s="2"/>
      <c r="AS2145"/>
      <c r="AT2145"/>
    </row>
    <row r="2146" spans="20:46" ht="16.8">
      <c r="T2146" s="112"/>
      <c r="U2146" s="113"/>
      <c r="AF2146" s="2"/>
      <c r="AG2146" s="2"/>
      <c r="AS2146"/>
      <c r="AT2146"/>
    </row>
    <row r="2147" spans="20:46" ht="16.8">
      <c r="T2147" s="112"/>
      <c r="U2147" s="113"/>
      <c r="AF2147" s="2"/>
      <c r="AG2147" s="2"/>
      <c r="AS2147"/>
      <c r="AT2147"/>
    </row>
    <row r="2148" spans="20:46" ht="16.8">
      <c r="T2148" s="112"/>
      <c r="U2148" s="113"/>
      <c r="AF2148" s="2"/>
      <c r="AG2148" s="2"/>
      <c r="AS2148"/>
      <c r="AT2148"/>
    </row>
    <row r="2149" spans="20:46" ht="16.8">
      <c r="T2149" s="112"/>
      <c r="U2149" s="113"/>
      <c r="AF2149" s="2"/>
      <c r="AG2149" s="2"/>
      <c r="AS2149"/>
      <c r="AT2149"/>
    </row>
    <row r="2150" spans="20:46" ht="16.8">
      <c r="T2150" s="112"/>
      <c r="U2150" s="113"/>
      <c r="AF2150" s="2"/>
      <c r="AG2150" s="2"/>
      <c r="AS2150"/>
      <c r="AT2150"/>
    </row>
    <row r="2151" spans="20:46" ht="16.8">
      <c r="T2151" s="112"/>
      <c r="U2151" s="113"/>
      <c r="AF2151" s="2"/>
      <c r="AG2151" s="2"/>
      <c r="AS2151"/>
      <c r="AT2151"/>
    </row>
    <row r="2152" spans="20:46" ht="16.8">
      <c r="T2152" s="112"/>
      <c r="U2152" s="113"/>
      <c r="AF2152" s="2"/>
      <c r="AG2152" s="2"/>
      <c r="AS2152"/>
      <c r="AT2152"/>
    </row>
    <row r="2153" spans="20:46" ht="16.8">
      <c r="T2153" s="112"/>
      <c r="U2153" s="113"/>
      <c r="AF2153" s="2"/>
      <c r="AG2153" s="2"/>
      <c r="AS2153"/>
      <c r="AT2153"/>
    </row>
    <row r="2154" spans="20:46" ht="16.8">
      <c r="T2154" s="112"/>
      <c r="U2154" s="113"/>
      <c r="AF2154" s="2"/>
      <c r="AG2154" s="2"/>
      <c r="AS2154"/>
      <c r="AT2154"/>
    </row>
    <row r="2155" spans="20:46" ht="16.8">
      <c r="T2155" s="112"/>
      <c r="U2155" s="113"/>
      <c r="AF2155" s="2"/>
      <c r="AG2155" s="2"/>
      <c r="AS2155"/>
      <c r="AT2155"/>
    </row>
    <row r="2156" spans="20:46" ht="16.8">
      <c r="T2156" s="112"/>
      <c r="U2156" s="113"/>
      <c r="AF2156" s="2"/>
      <c r="AG2156" s="2"/>
      <c r="AS2156"/>
      <c r="AT2156"/>
    </row>
    <row r="2157" spans="20:46" ht="16.8">
      <c r="T2157" s="112"/>
      <c r="U2157" s="113"/>
      <c r="AF2157" s="2"/>
      <c r="AG2157" s="2"/>
      <c r="AS2157"/>
      <c r="AT2157"/>
    </row>
    <row r="2158" spans="20:46" ht="16.8">
      <c r="T2158" s="112"/>
      <c r="U2158" s="113"/>
      <c r="AF2158" s="2"/>
      <c r="AG2158" s="2"/>
      <c r="AS2158"/>
      <c r="AT2158"/>
    </row>
    <row r="2159" spans="20:46" ht="16.8">
      <c r="T2159" s="112"/>
      <c r="U2159" s="113"/>
      <c r="AF2159" s="2"/>
      <c r="AG2159" s="2"/>
      <c r="AS2159"/>
      <c r="AT2159"/>
    </row>
    <row r="2160" spans="20:46" ht="16.8">
      <c r="T2160" s="112"/>
      <c r="U2160" s="113"/>
      <c r="AF2160" s="2"/>
      <c r="AG2160" s="2"/>
      <c r="AS2160"/>
      <c r="AT2160"/>
    </row>
    <row r="2161" spans="20:46" ht="16.8">
      <c r="T2161" s="112"/>
      <c r="U2161" s="113"/>
      <c r="AF2161" s="2"/>
      <c r="AG2161" s="2"/>
      <c r="AS2161"/>
      <c r="AT2161"/>
    </row>
    <row r="2162" spans="20:46" ht="16.8">
      <c r="T2162" s="112"/>
      <c r="U2162" s="113"/>
      <c r="AF2162" s="2"/>
      <c r="AG2162" s="2"/>
      <c r="AS2162"/>
      <c r="AT2162"/>
    </row>
    <row r="2163" spans="20:46" ht="16.8">
      <c r="T2163" s="112"/>
      <c r="U2163" s="113"/>
      <c r="AF2163" s="2"/>
      <c r="AG2163" s="2"/>
      <c r="AS2163"/>
      <c r="AT2163"/>
    </row>
    <row r="2164" spans="20:46" ht="16.8">
      <c r="T2164" s="112"/>
      <c r="U2164" s="113"/>
      <c r="AF2164" s="2"/>
      <c r="AG2164" s="2"/>
      <c r="AS2164"/>
      <c r="AT2164"/>
    </row>
    <row r="2165" spans="20:46" ht="16.8">
      <c r="T2165" s="112"/>
      <c r="U2165" s="113"/>
      <c r="AF2165" s="2"/>
      <c r="AG2165" s="2"/>
      <c r="AS2165"/>
      <c r="AT2165"/>
    </row>
    <row r="2166" spans="20:46" ht="16.8">
      <c r="T2166" s="112"/>
      <c r="U2166" s="113"/>
      <c r="AF2166" s="2"/>
      <c r="AG2166" s="2"/>
      <c r="AS2166"/>
      <c r="AT2166"/>
    </row>
    <row r="2167" spans="20:46" ht="16.8">
      <c r="T2167" s="112"/>
      <c r="U2167" s="113"/>
      <c r="AF2167" s="2"/>
      <c r="AG2167" s="2"/>
      <c r="AS2167"/>
      <c r="AT2167"/>
    </row>
    <row r="2168" spans="20:46" ht="16.8">
      <c r="T2168" s="112"/>
      <c r="U2168" s="113"/>
      <c r="AF2168" s="2"/>
      <c r="AG2168" s="2"/>
      <c r="AS2168"/>
      <c r="AT2168"/>
    </row>
    <row r="2169" spans="20:46" ht="16.8">
      <c r="T2169" s="112"/>
      <c r="U2169" s="113"/>
      <c r="AF2169" s="2"/>
      <c r="AG2169" s="2"/>
      <c r="AS2169"/>
      <c r="AT2169"/>
    </row>
    <row r="2170" spans="20:46" ht="16.8">
      <c r="T2170" s="112"/>
      <c r="U2170" s="113"/>
      <c r="AF2170" s="2"/>
      <c r="AG2170" s="2"/>
      <c r="AS2170"/>
      <c r="AT2170"/>
    </row>
    <row r="2171" spans="20:46" ht="16.8">
      <c r="T2171" s="112"/>
      <c r="U2171" s="113"/>
      <c r="AF2171" s="2"/>
      <c r="AG2171" s="2"/>
      <c r="AS2171"/>
      <c r="AT2171"/>
    </row>
    <row r="2172" spans="20:46" ht="16.8">
      <c r="T2172" s="112"/>
      <c r="U2172" s="113"/>
      <c r="AF2172" s="2"/>
      <c r="AG2172" s="2"/>
      <c r="AS2172"/>
      <c r="AT2172"/>
    </row>
    <row r="2173" spans="20:46" ht="16.8">
      <c r="T2173" s="112"/>
      <c r="U2173" s="113"/>
      <c r="AF2173" s="2"/>
      <c r="AG2173" s="2"/>
      <c r="AS2173"/>
      <c r="AT2173"/>
    </row>
    <row r="2174" spans="20:46" ht="16.8">
      <c r="T2174" s="112"/>
      <c r="U2174" s="113"/>
      <c r="AF2174" s="2"/>
      <c r="AG2174" s="2"/>
      <c r="AS2174"/>
      <c r="AT2174"/>
    </row>
    <row r="2175" spans="20:46" ht="16.8">
      <c r="T2175" s="112"/>
      <c r="U2175" s="113"/>
      <c r="AF2175" s="2"/>
      <c r="AG2175" s="2"/>
      <c r="AS2175"/>
      <c r="AT2175"/>
    </row>
    <row r="2176" spans="20:46" ht="16.8">
      <c r="T2176" s="112"/>
      <c r="U2176" s="113"/>
      <c r="AF2176" s="2"/>
      <c r="AG2176" s="2"/>
      <c r="AS2176"/>
      <c r="AT2176"/>
    </row>
    <row r="2177" spans="20:46" ht="16.8">
      <c r="T2177" s="112"/>
      <c r="U2177" s="113"/>
      <c r="AF2177" s="2"/>
      <c r="AG2177" s="2"/>
      <c r="AS2177"/>
      <c r="AT2177"/>
    </row>
    <row r="2178" spans="20:46" ht="16.8">
      <c r="T2178" s="112"/>
      <c r="U2178" s="113"/>
      <c r="AF2178" s="2"/>
      <c r="AG2178" s="2"/>
      <c r="AS2178"/>
      <c r="AT2178"/>
    </row>
    <row r="2179" spans="20:46" ht="16.8">
      <c r="T2179" s="112"/>
      <c r="U2179" s="113"/>
      <c r="AF2179" s="2"/>
      <c r="AG2179" s="2"/>
      <c r="AS2179"/>
      <c r="AT2179"/>
    </row>
    <row r="2180" spans="20:46" ht="16.8">
      <c r="T2180" s="112"/>
      <c r="U2180" s="113"/>
      <c r="AF2180" s="2"/>
      <c r="AG2180" s="2"/>
      <c r="AS2180"/>
      <c r="AT2180"/>
    </row>
    <row r="2181" spans="20:46" ht="16.8">
      <c r="T2181" s="112"/>
      <c r="U2181" s="113"/>
      <c r="AF2181" s="2"/>
      <c r="AG2181" s="2"/>
      <c r="AS2181"/>
      <c r="AT2181"/>
    </row>
    <row r="2182" spans="20:46" ht="16.8">
      <c r="T2182" s="112"/>
      <c r="U2182" s="113"/>
      <c r="AF2182" s="2"/>
      <c r="AG2182" s="2"/>
      <c r="AS2182"/>
      <c r="AT2182"/>
    </row>
    <row r="2183" spans="20:46" ht="16.8">
      <c r="T2183" s="112"/>
      <c r="U2183" s="113"/>
      <c r="AF2183" s="2"/>
      <c r="AG2183" s="2"/>
      <c r="AS2183"/>
      <c r="AT2183"/>
    </row>
    <row r="2184" spans="20:46" ht="16.8">
      <c r="T2184" s="112"/>
      <c r="U2184" s="113"/>
      <c r="AF2184" s="2"/>
      <c r="AG2184" s="2"/>
      <c r="AS2184"/>
      <c r="AT2184"/>
    </row>
    <row r="2185" spans="20:46" ht="16.8">
      <c r="T2185" s="112"/>
      <c r="U2185" s="113"/>
      <c r="AF2185" s="2"/>
      <c r="AG2185" s="2"/>
      <c r="AS2185"/>
      <c r="AT2185"/>
    </row>
    <row r="2186" spans="20:46" ht="16.8">
      <c r="T2186" s="112"/>
      <c r="U2186" s="113"/>
      <c r="AF2186" s="2"/>
      <c r="AG2186" s="2"/>
      <c r="AS2186"/>
      <c r="AT2186"/>
    </row>
    <row r="2187" spans="20:46" ht="16.8">
      <c r="T2187" s="112"/>
      <c r="U2187" s="113"/>
      <c r="AF2187" s="2"/>
      <c r="AG2187" s="2"/>
      <c r="AS2187"/>
      <c r="AT2187"/>
    </row>
    <row r="2188" spans="20:46" ht="16.8">
      <c r="T2188" s="112"/>
      <c r="U2188" s="113"/>
      <c r="AF2188" s="2"/>
      <c r="AG2188" s="2"/>
      <c r="AS2188"/>
      <c r="AT2188"/>
    </row>
    <row r="2189" spans="20:46" ht="16.8">
      <c r="T2189" s="112"/>
      <c r="U2189" s="113"/>
      <c r="AF2189" s="2"/>
      <c r="AG2189" s="2"/>
      <c r="AS2189"/>
      <c r="AT2189"/>
    </row>
    <row r="2190" spans="20:46" ht="16.8">
      <c r="T2190" s="112"/>
      <c r="U2190" s="113"/>
      <c r="AF2190" s="2"/>
      <c r="AG2190" s="2"/>
      <c r="AS2190"/>
      <c r="AT2190"/>
    </row>
    <row r="2191" spans="20:46" ht="16.8">
      <c r="T2191" s="112"/>
      <c r="U2191" s="113"/>
      <c r="AF2191" s="2"/>
      <c r="AG2191" s="2"/>
      <c r="AS2191"/>
      <c r="AT2191"/>
    </row>
    <row r="2192" spans="20:46" ht="16.8">
      <c r="T2192" s="112"/>
      <c r="U2192" s="113"/>
      <c r="AF2192" s="2"/>
      <c r="AG2192" s="2"/>
      <c r="AS2192"/>
      <c r="AT2192"/>
    </row>
    <row r="2193" spans="20:46" ht="16.8">
      <c r="T2193" s="112"/>
      <c r="U2193" s="113"/>
      <c r="AF2193" s="2"/>
      <c r="AG2193" s="2"/>
      <c r="AS2193"/>
      <c r="AT2193"/>
    </row>
    <row r="2194" spans="20:46" ht="16.8">
      <c r="T2194" s="112"/>
      <c r="U2194" s="113"/>
      <c r="AF2194" s="2"/>
      <c r="AG2194" s="2"/>
      <c r="AS2194"/>
      <c r="AT2194"/>
    </row>
    <row r="2195" spans="20:46" ht="16.8">
      <c r="T2195" s="112"/>
      <c r="U2195" s="113"/>
      <c r="AF2195" s="2"/>
      <c r="AG2195" s="2"/>
      <c r="AS2195"/>
      <c r="AT2195"/>
    </row>
    <row r="2196" spans="20:46" ht="16.8">
      <c r="T2196" s="112"/>
      <c r="U2196" s="113"/>
      <c r="AF2196" s="2"/>
      <c r="AG2196" s="2"/>
      <c r="AS2196"/>
      <c r="AT2196"/>
    </row>
    <row r="2197" spans="20:46" ht="16.8">
      <c r="T2197" s="112"/>
      <c r="U2197" s="113"/>
      <c r="AF2197" s="2"/>
      <c r="AG2197" s="2"/>
      <c r="AS2197"/>
      <c r="AT2197"/>
    </row>
    <row r="2198" spans="20:46" ht="16.8">
      <c r="T2198" s="112"/>
      <c r="U2198" s="113"/>
      <c r="AF2198" s="2"/>
      <c r="AG2198" s="2"/>
      <c r="AS2198"/>
      <c r="AT2198"/>
    </row>
    <row r="2199" spans="20:46" ht="16.8">
      <c r="T2199" s="112"/>
      <c r="U2199" s="113"/>
      <c r="AF2199" s="2"/>
      <c r="AG2199" s="2"/>
      <c r="AS2199"/>
      <c r="AT2199"/>
    </row>
    <row r="2200" spans="20:46" ht="16.8">
      <c r="T2200" s="112"/>
      <c r="U2200" s="113"/>
      <c r="AF2200" s="2"/>
      <c r="AG2200" s="2"/>
      <c r="AS2200"/>
      <c r="AT2200"/>
    </row>
    <row r="2201" spans="20:46" ht="16.8">
      <c r="T2201" s="112"/>
      <c r="U2201" s="113"/>
      <c r="AF2201" s="2"/>
      <c r="AG2201" s="2"/>
      <c r="AS2201"/>
      <c r="AT2201"/>
    </row>
    <row r="2202" spans="20:46" ht="16.8">
      <c r="T2202" s="112"/>
      <c r="U2202" s="113"/>
      <c r="AF2202" s="2"/>
      <c r="AG2202" s="2"/>
      <c r="AS2202"/>
      <c r="AT2202"/>
    </row>
    <row r="2203" spans="20:46" ht="16.8">
      <c r="T2203" s="112"/>
      <c r="U2203" s="113"/>
      <c r="AF2203" s="2"/>
      <c r="AG2203" s="2"/>
      <c r="AS2203"/>
      <c r="AT2203"/>
    </row>
    <row r="2204" spans="20:46" ht="16.8">
      <c r="T2204" s="112"/>
      <c r="U2204" s="113"/>
      <c r="AF2204" s="2"/>
      <c r="AG2204" s="2"/>
      <c r="AS2204"/>
      <c r="AT2204"/>
    </row>
    <row r="2205" spans="20:46" ht="16.8">
      <c r="T2205" s="112"/>
      <c r="U2205" s="113"/>
      <c r="AF2205" s="2"/>
      <c r="AG2205" s="2"/>
      <c r="AS2205"/>
      <c r="AT2205"/>
    </row>
    <row r="2206" spans="20:46" ht="16.8">
      <c r="T2206" s="112"/>
      <c r="U2206" s="113"/>
      <c r="AF2206" s="2"/>
      <c r="AG2206" s="2"/>
      <c r="AS2206"/>
      <c r="AT2206"/>
    </row>
    <row r="2207" spans="20:46" ht="16.8">
      <c r="T2207" s="112"/>
      <c r="U2207" s="113"/>
      <c r="AF2207" s="2"/>
      <c r="AG2207" s="2"/>
      <c r="AS2207"/>
      <c r="AT2207"/>
    </row>
    <row r="2208" spans="20:46" ht="16.8">
      <c r="T2208" s="112"/>
      <c r="U2208" s="113"/>
      <c r="AF2208" s="2"/>
      <c r="AG2208" s="2"/>
      <c r="AS2208"/>
      <c r="AT2208"/>
    </row>
    <row r="2209" spans="20:46" ht="16.8">
      <c r="T2209" s="112"/>
      <c r="U2209" s="113"/>
      <c r="AF2209" s="2"/>
      <c r="AG2209" s="2"/>
      <c r="AS2209"/>
      <c r="AT2209"/>
    </row>
    <row r="2210" spans="20:46" ht="16.8">
      <c r="T2210" s="112"/>
      <c r="U2210" s="113"/>
      <c r="AF2210" s="2"/>
      <c r="AG2210" s="2"/>
      <c r="AS2210"/>
      <c r="AT2210"/>
    </row>
    <row r="2211" spans="20:46" ht="16.8">
      <c r="T2211" s="112"/>
      <c r="U2211" s="113"/>
      <c r="AF2211" s="2"/>
      <c r="AG2211" s="2"/>
      <c r="AS2211"/>
      <c r="AT2211"/>
    </row>
    <row r="2212" spans="20:46" ht="16.8">
      <c r="T2212" s="112"/>
      <c r="U2212" s="113"/>
      <c r="AF2212" s="2"/>
      <c r="AG2212" s="2"/>
      <c r="AS2212"/>
      <c r="AT2212"/>
    </row>
    <row r="2213" spans="20:46" ht="16.8">
      <c r="T2213" s="112"/>
      <c r="U2213" s="113"/>
      <c r="AF2213" s="2"/>
      <c r="AG2213" s="2"/>
      <c r="AS2213"/>
      <c r="AT2213"/>
    </row>
    <row r="2214" spans="20:46" ht="16.8">
      <c r="T2214" s="112"/>
      <c r="U2214" s="113"/>
      <c r="AF2214" s="2"/>
      <c r="AG2214" s="2"/>
      <c r="AS2214"/>
      <c r="AT2214"/>
    </row>
    <row r="2215" spans="20:46" ht="16.8">
      <c r="T2215" s="112"/>
      <c r="U2215" s="113"/>
      <c r="AF2215" s="2"/>
      <c r="AG2215" s="2"/>
      <c r="AS2215"/>
      <c r="AT2215"/>
    </row>
    <row r="2216" spans="20:46" ht="16.8">
      <c r="T2216" s="112"/>
      <c r="U2216" s="113"/>
      <c r="AF2216" s="2"/>
      <c r="AG2216" s="2"/>
      <c r="AS2216"/>
      <c r="AT2216"/>
    </row>
    <row r="2217" spans="20:46" ht="16.8">
      <c r="T2217" s="112"/>
      <c r="U2217" s="113"/>
      <c r="AF2217" s="2"/>
      <c r="AG2217" s="2"/>
      <c r="AS2217"/>
      <c r="AT2217"/>
    </row>
    <row r="2218" spans="20:46" ht="16.8">
      <c r="T2218" s="112"/>
      <c r="U2218" s="113"/>
      <c r="AF2218" s="2"/>
      <c r="AG2218" s="2"/>
      <c r="AS2218"/>
      <c r="AT2218"/>
    </row>
    <row r="2219" spans="20:46" ht="16.8">
      <c r="T2219" s="112"/>
      <c r="U2219" s="113"/>
      <c r="AF2219" s="2"/>
      <c r="AG2219" s="2"/>
      <c r="AS2219"/>
      <c r="AT2219"/>
    </row>
    <row r="2220" spans="20:46" ht="16.8">
      <c r="T2220" s="112"/>
      <c r="U2220" s="113"/>
      <c r="AF2220" s="2"/>
      <c r="AG2220" s="2"/>
      <c r="AS2220"/>
      <c r="AT2220"/>
    </row>
    <row r="2221" spans="20:46" ht="16.8">
      <c r="T2221" s="112"/>
      <c r="U2221" s="113"/>
      <c r="AF2221" s="2"/>
      <c r="AG2221" s="2"/>
      <c r="AS2221"/>
      <c r="AT2221"/>
    </row>
    <row r="2222" spans="20:46" ht="16.8">
      <c r="T2222" s="112"/>
      <c r="U2222" s="113"/>
      <c r="AF2222" s="2"/>
      <c r="AG2222" s="2"/>
      <c r="AS2222"/>
      <c r="AT2222"/>
    </row>
    <row r="2223" spans="20:46" ht="16.8">
      <c r="T2223" s="112"/>
      <c r="U2223" s="113"/>
      <c r="AF2223" s="2"/>
      <c r="AG2223" s="2"/>
      <c r="AS2223"/>
      <c r="AT2223"/>
    </row>
    <row r="2224" spans="20:46" ht="16.8">
      <c r="T2224" s="112"/>
      <c r="U2224" s="113"/>
      <c r="AF2224" s="2"/>
      <c r="AG2224" s="2"/>
      <c r="AS2224"/>
      <c r="AT2224"/>
    </row>
    <row r="2225" spans="20:46" ht="16.8">
      <c r="T2225" s="112"/>
      <c r="U2225" s="113"/>
      <c r="AF2225" s="2"/>
      <c r="AG2225" s="2"/>
      <c r="AS2225"/>
      <c r="AT2225"/>
    </row>
    <row r="2226" spans="20:46" ht="16.8">
      <c r="T2226" s="112"/>
      <c r="U2226" s="113"/>
      <c r="AF2226" s="2"/>
      <c r="AG2226" s="2"/>
      <c r="AS2226"/>
      <c r="AT2226"/>
    </row>
    <row r="2227" spans="20:46" ht="16.8">
      <c r="T2227" s="112"/>
      <c r="U2227" s="113"/>
      <c r="AF2227" s="2"/>
      <c r="AG2227" s="2"/>
      <c r="AS2227"/>
      <c r="AT2227"/>
    </row>
    <row r="2228" spans="20:46" ht="16.8">
      <c r="T2228" s="112"/>
      <c r="U2228" s="113"/>
      <c r="AF2228" s="2"/>
      <c r="AG2228" s="2"/>
      <c r="AS2228"/>
      <c r="AT2228"/>
    </row>
    <row r="2229" spans="20:46" ht="16.8">
      <c r="T2229" s="112"/>
      <c r="U2229" s="113"/>
      <c r="AF2229" s="2"/>
      <c r="AG2229" s="2"/>
      <c r="AS2229"/>
      <c r="AT2229"/>
    </row>
    <row r="2230" spans="20:46" ht="16.8">
      <c r="T2230" s="112"/>
      <c r="U2230" s="113"/>
      <c r="AF2230" s="2"/>
      <c r="AG2230" s="2"/>
      <c r="AS2230"/>
      <c r="AT2230"/>
    </row>
    <row r="2231" spans="20:46" ht="16.8">
      <c r="T2231" s="112"/>
      <c r="U2231" s="113"/>
      <c r="AF2231" s="2"/>
      <c r="AG2231" s="2"/>
      <c r="AS2231"/>
      <c r="AT2231"/>
    </row>
    <row r="2232" spans="20:46" ht="16.8">
      <c r="T2232" s="112"/>
      <c r="U2232" s="113"/>
      <c r="AF2232" s="2"/>
      <c r="AG2232" s="2"/>
      <c r="AS2232"/>
      <c r="AT2232"/>
    </row>
    <row r="2233" spans="20:46" ht="16.8">
      <c r="T2233" s="112"/>
      <c r="U2233" s="113"/>
      <c r="AF2233" s="2"/>
      <c r="AG2233" s="2"/>
      <c r="AS2233"/>
      <c r="AT2233"/>
    </row>
    <row r="2234" spans="20:46" ht="16.8">
      <c r="T2234" s="112"/>
      <c r="U2234" s="113"/>
      <c r="AF2234" s="2"/>
      <c r="AG2234" s="2"/>
      <c r="AS2234"/>
      <c r="AT2234"/>
    </row>
    <row r="2235" spans="20:46" ht="16.8">
      <c r="T2235" s="112"/>
      <c r="U2235" s="113"/>
      <c r="AF2235" s="2"/>
      <c r="AG2235" s="2"/>
      <c r="AS2235"/>
      <c r="AT2235"/>
    </row>
    <row r="2236" spans="20:46" ht="16.8">
      <c r="T2236" s="112"/>
      <c r="U2236" s="113"/>
      <c r="AF2236" s="2"/>
      <c r="AG2236" s="2"/>
      <c r="AS2236"/>
      <c r="AT2236"/>
    </row>
    <row r="2237" spans="20:46" ht="16.8">
      <c r="T2237" s="112"/>
      <c r="U2237" s="113"/>
      <c r="AF2237" s="2"/>
      <c r="AG2237" s="2"/>
      <c r="AS2237"/>
      <c r="AT2237"/>
    </row>
    <row r="2238" spans="20:46" ht="16.8">
      <c r="T2238" s="112"/>
      <c r="U2238" s="113"/>
      <c r="AF2238" s="2"/>
      <c r="AG2238" s="2"/>
      <c r="AS2238"/>
      <c r="AT2238"/>
    </row>
    <row r="2239" spans="20:46" ht="16.8">
      <c r="T2239" s="112"/>
      <c r="U2239" s="113"/>
      <c r="AF2239" s="2"/>
      <c r="AG2239" s="2"/>
      <c r="AS2239"/>
      <c r="AT2239"/>
    </row>
    <row r="2240" spans="20:46" ht="16.8">
      <c r="T2240" s="112"/>
      <c r="U2240" s="113"/>
      <c r="AF2240" s="2"/>
      <c r="AG2240" s="2"/>
      <c r="AS2240"/>
      <c r="AT2240"/>
    </row>
    <row r="2241" spans="20:46" ht="16.8">
      <c r="T2241" s="112"/>
      <c r="U2241" s="113"/>
      <c r="AF2241" s="2"/>
      <c r="AG2241" s="2"/>
      <c r="AS2241"/>
      <c r="AT2241"/>
    </row>
    <row r="2242" spans="20:46" ht="16.8">
      <c r="T2242" s="112"/>
      <c r="U2242" s="113"/>
      <c r="AF2242" s="2"/>
      <c r="AG2242" s="2"/>
      <c r="AS2242"/>
      <c r="AT2242"/>
    </row>
    <row r="2243" spans="20:46" ht="16.8">
      <c r="T2243" s="112"/>
      <c r="U2243" s="113"/>
      <c r="AF2243" s="2"/>
      <c r="AG2243" s="2"/>
      <c r="AS2243"/>
      <c r="AT2243"/>
    </row>
    <row r="2244" spans="20:46" ht="16.8">
      <c r="T2244" s="112"/>
      <c r="U2244" s="113"/>
      <c r="AF2244" s="2"/>
      <c r="AG2244" s="2"/>
      <c r="AS2244"/>
      <c r="AT2244"/>
    </row>
    <row r="2245" spans="20:46" ht="16.8">
      <c r="T2245" s="112"/>
      <c r="U2245" s="113"/>
      <c r="AF2245" s="2"/>
      <c r="AG2245" s="2"/>
      <c r="AS2245"/>
      <c r="AT2245"/>
    </row>
    <row r="2246" spans="20:46" ht="16.8">
      <c r="T2246" s="112"/>
      <c r="U2246" s="113"/>
      <c r="AF2246" s="2"/>
      <c r="AG2246" s="2"/>
      <c r="AS2246"/>
      <c r="AT2246"/>
    </row>
    <row r="2247" spans="20:46" ht="16.8">
      <c r="T2247" s="112"/>
      <c r="U2247" s="113"/>
      <c r="AF2247" s="2"/>
      <c r="AG2247" s="2"/>
      <c r="AS2247"/>
      <c r="AT2247"/>
    </row>
    <row r="2248" spans="20:46" ht="16.8">
      <c r="T2248" s="112"/>
      <c r="U2248" s="113"/>
      <c r="AF2248" s="2"/>
      <c r="AG2248" s="2"/>
      <c r="AS2248"/>
      <c r="AT2248"/>
    </row>
    <row r="2249" spans="20:46" ht="16.8">
      <c r="T2249" s="112"/>
      <c r="U2249" s="113"/>
      <c r="AF2249" s="2"/>
      <c r="AG2249" s="2"/>
      <c r="AS2249"/>
      <c r="AT2249"/>
    </row>
    <row r="2250" spans="20:46" ht="16.8">
      <c r="T2250" s="112"/>
      <c r="U2250" s="113"/>
      <c r="AF2250" s="2"/>
      <c r="AG2250" s="2"/>
      <c r="AS2250"/>
      <c r="AT2250"/>
    </row>
    <row r="2251" spans="20:46" ht="16.8">
      <c r="T2251" s="112"/>
      <c r="U2251" s="113"/>
      <c r="AF2251" s="2"/>
      <c r="AG2251" s="2"/>
      <c r="AS2251"/>
      <c r="AT2251"/>
    </row>
    <row r="2252" spans="20:46" ht="16.8">
      <c r="T2252" s="112"/>
      <c r="U2252" s="113"/>
      <c r="AF2252" s="2"/>
      <c r="AG2252" s="2"/>
      <c r="AS2252"/>
      <c r="AT2252"/>
    </row>
    <row r="2253" spans="20:46" ht="16.8">
      <c r="T2253" s="112"/>
      <c r="U2253" s="113"/>
      <c r="AF2253" s="2"/>
      <c r="AG2253" s="2"/>
      <c r="AS2253"/>
      <c r="AT2253"/>
    </row>
    <row r="2254" spans="20:46" ht="16.8">
      <c r="T2254" s="112"/>
      <c r="U2254" s="113"/>
      <c r="AF2254" s="2"/>
      <c r="AG2254" s="2"/>
      <c r="AS2254"/>
      <c r="AT2254"/>
    </row>
    <row r="2255" spans="20:46" ht="16.8">
      <c r="T2255" s="112"/>
      <c r="U2255" s="113"/>
      <c r="AF2255" s="2"/>
      <c r="AG2255" s="2"/>
      <c r="AS2255"/>
      <c r="AT2255"/>
    </row>
    <row r="2256" spans="20:46" ht="16.8">
      <c r="T2256" s="112"/>
      <c r="U2256" s="113"/>
      <c r="AF2256" s="2"/>
      <c r="AG2256" s="2"/>
      <c r="AS2256"/>
      <c r="AT2256"/>
    </row>
    <row r="2257" spans="20:46" ht="16.8">
      <c r="T2257" s="112"/>
      <c r="U2257" s="113"/>
      <c r="AF2257" s="2"/>
      <c r="AG2257" s="2"/>
      <c r="AS2257"/>
      <c r="AT2257"/>
    </row>
    <row r="2258" spans="20:46" ht="16.8">
      <c r="T2258" s="112"/>
      <c r="U2258" s="113"/>
      <c r="AF2258" s="2"/>
      <c r="AG2258" s="2"/>
      <c r="AS2258"/>
      <c r="AT2258"/>
    </row>
    <row r="2259" spans="20:46" ht="16.8">
      <c r="T2259" s="112"/>
      <c r="U2259" s="113"/>
      <c r="AF2259" s="2"/>
      <c r="AG2259" s="2"/>
      <c r="AS2259"/>
      <c r="AT2259"/>
    </row>
    <row r="2260" spans="20:46" ht="16.8">
      <c r="T2260" s="112"/>
      <c r="U2260" s="113"/>
      <c r="AF2260" s="2"/>
      <c r="AG2260" s="2"/>
      <c r="AS2260"/>
      <c r="AT2260"/>
    </row>
    <row r="2261" spans="20:46" ht="16.8">
      <c r="T2261" s="112"/>
      <c r="U2261" s="113"/>
      <c r="AF2261" s="2"/>
      <c r="AG2261" s="2"/>
      <c r="AS2261"/>
      <c r="AT2261"/>
    </row>
    <row r="2262" spans="20:46" ht="16.8">
      <c r="T2262" s="112"/>
      <c r="U2262" s="113"/>
      <c r="AF2262" s="2"/>
      <c r="AG2262" s="2"/>
      <c r="AS2262"/>
      <c r="AT2262"/>
    </row>
    <row r="2263" spans="20:46" ht="16.8">
      <c r="T2263" s="112"/>
      <c r="U2263" s="113"/>
      <c r="AF2263" s="2"/>
      <c r="AG2263" s="2"/>
      <c r="AS2263"/>
      <c r="AT2263"/>
    </row>
    <row r="2264" spans="20:46" ht="16.8">
      <c r="T2264" s="112"/>
      <c r="U2264" s="113"/>
      <c r="AF2264" s="2"/>
      <c r="AG2264" s="2"/>
      <c r="AS2264"/>
      <c r="AT2264"/>
    </row>
    <row r="2265" spans="20:46" ht="16.8">
      <c r="T2265" s="112"/>
      <c r="U2265" s="113"/>
      <c r="AF2265" s="2"/>
      <c r="AG2265" s="2"/>
      <c r="AS2265"/>
      <c r="AT2265"/>
    </row>
    <row r="2266" spans="20:46" ht="16.8">
      <c r="T2266" s="112"/>
      <c r="U2266" s="113"/>
      <c r="AF2266" s="2"/>
      <c r="AG2266" s="2"/>
      <c r="AS2266"/>
      <c r="AT2266"/>
    </row>
    <row r="2267" spans="20:46" ht="16.8">
      <c r="T2267" s="112"/>
      <c r="U2267" s="113"/>
      <c r="AF2267" s="2"/>
      <c r="AG2267" s="2"/>
      <c r="AS2267"/>
      <c r="AT2267"/>
    </row>
    <row r="2268" spans="20:46" ht="16.8">
      <c r="T2268" s="112"/>
      <c r="U2268" s="113"/>
      <c r="AF2268" s="2"/>
      <c r="AG2268" s="2"/>
      <c r="AS2268"/>
      <c r="AT2268"/>
    </row>
    <row r="2269" spans="20:46" ht="16.8">
      <c r="T2269" s="112"/>
      <c r="U2269" s="113"/>
      <c r="AF2269" s="2"/>
      <c r="AG2269" s="2"/>
      <c r="AS2269"/>
      <c r="AT2269"/>
    </row>
    <row r="2270" spans="20:46" ht="16.8">
      <c r="T2270" s="112"/>
      <c r="U2270" s="113"/>
      <c r="AF2270" s="2"/>
      <c r="AG2270" s="2"/>
      <c r="AS2270"/>
      <c r="AT2270"/>
    </row>
    <row r="2271" spans="20:46" ht="16.8">
      <c r="T2271" s="112"/>
      <c r="U2271" s="113"/>
      <c r="AF2271" s="2"/>
      <c r="AG2271" s="2"/>
      <c r="AS2271"/>
      <c r="AT2271"/>
    </row>
    <row r="2272" spans="20:46" ht="16.8">
      <c r="T2272" s="112"/>
      <c r="U2272" s="113"/>
      <c r="AF2272" s="2"/>
      <c r="AG2272" s="2"/>
      <c r="AS2272"/>
      <c r="AT2272"/>
    </row>
    <row r="2273" spans="20:46" ht="16.8">
      <c r="T2273" s="112"/>
      <c r="U2273" s="113"/>
      <c r="AF2273" s="2"/>
      <c r="AG2273" s="2"/>
      <c r="AS2273"/>
      <c r="AT2273"/>
    </row>
    <row r="2274" spans="20:46" ht="16.8">
      <c r="T2274" s="112"/>
      <c r="U2274" s="113"/>
      <c r="AF2274" s="2"/>
      <c r="AG2274" s="2"/>
      <c r="AS2274"/>
      <c r="AT2274"/>
    </row>
    <row r="2275" spans="20:46" ht="16.8">
      <c r="T2275" s="112"/>
      <c r="U2275" s="113"/>
      <c r="AF2275" s="2"/>
      <c r="AG2275" s="2"/>
      <c r="AS2275"/>
      <c r="AT2275"/>
    </row>
    <row r="2276" spans="20:46" ht="16.8">
      <c r="T2276" s="112"/>
      <c r="U2276" s="113"/>
      <c r="AF2276" s="2"/>
      <c r="AG2276" s="2"/>
      <c r="AS2276"/>
      <c r="AT2276"/>
    </row>
    <row r="2277" spans="20:46" ht="16.8">
      <c r="T2277" s="112"/>
      <c r="U2277" s="113"/>
      <c r="AF2277" s="2"/>
      <c r="AG2277" s="2"/>
      <c r="AS2277"/>
      <c r="AT2277"/>
    </row>
    <row r="2278" spans="20:46" ht="16.8">
      <c r="T2278" s="112"/>
      <c r="U2278" s="113"/>
      <c r="AF2278" s="2"/>
      <c r="AG2278" s="2"/>
      <c r="AS2278"/>
      <c r="AT2278"/>
    </row>
    <row r="2279" spans="20:46" ht="16.8">
      <c r="T2279" s="112"/>
      <c r="U2279" s="113"/>
      <c r="AF2279" s="2"/>
      <c r="AG2279" s="2"/>
      <c r="AS2279"/>
      <c r="AT2279"/>
    </row>
    <row r="2280" spans="20:46" ht="16.8">
      <c r="T2280" s="112"/>
      <c r="U2280" s="113"/>
      <c r="AF2280" s="2"/>
      <c r="AG2280" s="2"/>
      <c r="AS2280"/>
      <c r="AT2280"/>
    </row>
    <row r="2281" spans="20:46" ht="16.8">
      <c r="T2281" s="112"/>
      <c r="U2281" s="113"/>
      <c r="AF2281" s="2"/>
      <c r="AG2281" s="2"/>
      <c r="AS2281"/>
      <c r="AT2281"/>
    </row>
    <row r="2282" spans="20:46" ht="16.8">
      <c r="T2282" s="112"/>
      <c r="U2282" s="113"/>
      <c r="AF2282" s="2"/>
      <c r="AG2282" s="2"/>
      <c r="AS2282"/>
      <c r="AT2282"/>
    </row>
    <row r="2283" spans="20:46" ht="16.8">
      <c r="T2283" s="112"/>
      <c r="U2283" s="113"/>
      <c r="AF2283" s="2"/>
      <c r="AG2283" s="2"/>
      <c r="AS2283"/>
      <c r="AT2283"/>
    </row>
    <row r="2284" spans="20:46" ht="16.8">
      <c r="T2284" s="112"/>
      <c r="U2284" s="113"/>
      <c r="AF2284" s="2"/>
      <c r="AG2284" s="2"/>
      <c r="AS2284"/>
      <c r="AT2284"/>
    </row>
    <row r="2285" spans="20:46" ht="16.8">
      <c r="T2285" s="112"/>
      <c r="U2285" s="113"/>
      <c r="AF2285" s="2"/>
      <c r="AG2285" s="2"/>
      <c r="AS2285"/>
      <c r="AT2285"/>
    </row>
    <row r="2286" spans="20:46" ht="16.8">
      <c r="T2286" s="112"/>
      <c r="U2286" s="113"/>
      <c r="AF2286" s="2"/>
      <c r="AG2286" s="2"/>
      <c r="AS2286"/>
      <c r="AT2286"/>
    </row>
    <row r="2287" spans="20:46" ht="16.8">
      <c r="T2287" s="112"/>
      <c r="U2287" s="113"/>
      <c r="AF2287" s="2"/>
      <c r="AG2287" s="2"/>
      <c r="AS2287"/>
      <c r="AT2287"/>
    </row>
    <row r="2288" spans="20:46" ht="16.8">
      <c r="T2288" s="112"/>
      <c r="U2288" s="113"/>
      <c r="AF2288" s="2"/>
      <c r="AG2288" s="2"/>
      <c r="AS2288"/>
      <c r="AT2288"/>
    </row>
    <row r="2289" spans="20:46" ht="16.8">
      <c r="T2289" s="112"/>
      <c r="U2289" s="113"/>
      <c r="AF2289" s="2"/>
      <c r="AG2289" s="2"/>
      <c r="AS2289"/>
      <c r="AT2289"/>
    </row>
    <row r="2290" spans="20:46" ht="16.8">
      <c r="T2290" s="112"/>
      <c r="U2290" s="113"/>
      <c r="AF2290" s="2"/>
      <c r="AG2290" s="2"/>
      <c r="AS2290"/>
      <c r="AT2290"/>
    </row>
    <row r="2291" spans="20:46" ht="16.8">
      <c r="T2291" s="112"/>
      <c r="U2291" s="113"/>
      <c r="AF2291" s="2"/>
      <c r="AG2291" s="2"/>
      <c r="AS2291"/>
      <c r="AT2291"/>
    </row>
    <row r="2292" spans="20:46" ht="16.8">
      <c r="T2292" s="112"/>
      <c r="U2292" s="113"/>
      <c r="AF2292" s="2"/>
      <c r="AG2292" s="2"/>
      <c r="AS2292"/>
      <c r="AT2292"/>
    </row>
    <row r="2293" spans="20:46" ht="16.8">
      <c r="T2293" s="112"/>
      <c r="U2293" s="113"/>
      <c r="AF2293" s="2"/>
      <c r="AG2293" s="2"/>
      <c r="AS2293"/>
      <c r="AT2293"/>
    </row>
    <row r="2294" spans="20:46" ht="16.8">
      <c r="T2294" s="112"/>
      <c r="U2294" s="113"/>
      <c r="AF2294" s="2"/>
      <c r="AG2294" s="2"/>
      <c r="AS2294"/>
      <c r="AT2294"/>
    </row>
    <row r="2295" spans="20:46" ht="16.8">
      <c r="T2295" s="112"/>
      <c r="U2295" s="113"/>
      <c r="AF2295" s="2"/>
      <c r="AG2295" s="2"/>
      <c r="AS2295"/>
      <c r="AT2295"/>
    </row>
    <row r="2296" spans="20:46" ht="16.8">
      <c r="T2296" s="112"/>
      <c r="U2296" s="113"/>
      <c r="AF2296" s="2"/>
      <c r="AG2296" s="2"/>
      <c r="AS2296"/>
      <c r="AT2296"/>
    </row>
    <row r="2297" spans="20:46" ht="16.8">
      <c r="T2297" s="112"/>
      <c r="U2297" s="113"/>
      <c r="AF2297" s="2"/>
      <c r="AG2297" s="2"/>
      <c r="AS2297"/>
      <c r="AT2297"/>
    </row>
    <row r="2298" spans="20:46" ht="16.8">
      <c r="T2298" s="112"/>
      <c r="U2298" s="113"/>
      <c r="AF2298" s="2"/>
      <c r="AG2298" s="2"/>
      <c r="AS2298"/>
      <c r="AT2298"/>
    </row>
    <row r="2299" spans="20:46" ht="16.8">
      <c r="T2299" s="112"/>
      <c r="U2299" s="113"/>
      <c r="AF2299" s="2"/>
      <c r="AG2299" s="2"/>
      <c r="AS2299"/>
      <c r="AT2299"/>
    </row>
    <row r="2300" spans="20:46" ht="16.8">
      <c r="T2300" s="112"/>
      <c r="U2300" s="113"/>
      <c r="AF2300" s="2"/>
      <c r="AG2300" s="2"/>
      <c r="AS2300"/>
      <c r="AT2300"/>
    </row>
    <row r="2301" spans="20:46" ht="16.8">
      <c r="T2301" s="112"/>
      <c r="U2301" s="113"/>
      <c r="AF2301" s="2"/>
      <c r="AG2301" s="2"/>
      <c r="AS2301"/>
      <c r="AT2301"/>
    </row>
    <row r="2302" spans="20:46" ht="16.8">
      <c r="T2302" s="112"/>
      <c r="U2302" s="113"/>
      <c r="AF2302" s="2"/>
      <c r="AG2302" s="2"/>
      <c r="AS2302"/>
      <c r="AT2302"/>
    </row>
    <row r="2303" spans="20:46" ht="16.8">
      <c r="T2303" s="112"/>
      <c r="U2303" s="113"/>
      <c r="AF2303" s="2"/>
      <c r="AG2303" s="2"/>
      <c r="AS2303"/>
      <c r="AT2303"/>
    </row>
    <row r="2304" spans="20:46" ht="16.8">
      <c r="T2304" s="112"/>
      <c r="U2304" s="113"/>
      <c r="AF2304" s="2"/>
      <c r="AG2304" s="2"/>
      <c r="AS2304"/>
      <c r="AT2304"/>
    </row>
    <row r="2305" spans="20:46" ht="16.8">
      <c r="T2305" s="112"/>
      <c r="U2305" s="113"/>
      <c r="AF2305" s="2"/>
      <c r="AG2305" s="2"/>
      <c r="AS2305"/>
      <c r="AT2305"/>
    </row>
    <row r="2306" spans="20:46" ht="16.8">
      <c r="T2306" s="112"/>
      <c r="U2306" s="113"/>
      <c r="AF2306" s="2"/>
      <c r="AG2306" s="2"/>
      <c r="AS2306"/>
      <c r="AT2306"/>
    </row>
    <row r="2307" spans="20:46" ht="16.8">
      <c r="T2307" s="112"/>
      <c r="U2307" s="113"/>
      <c r="AF2307" s="2"/>
      <c r="AG2307" s="2"/>
      <c r="AS2307"/>
      <c r="AT2307"/>
    </row>
    <row r="2308" spans="20:46" ht="16.8">
      <c r="T2308" s="112"/>
      <c r="U2308" s="113"/>
      <c r="AF2308" s="2"/>
      <c r="AG2308" s="2"/>
      <c r="AS2308"/>
      <c r="AT2308"/>
    </row>
    <row r="2309" spans="20:46" ht="16.8">
      <c r="T2309" s="112"/>
      <c r="U2309" s="113"/>
      <c r="AF2309" s="2"/>
      <c r="AG2309" s="2"/>
      <c r="AS2309"/>
      <c r="AT2309"/>
    </row>
    <row r="2310" spans="20:46" ht="16.8">
      <c r="T2310" s="112"/>
      <c r="U2310" s="113"/>
      <c r="AF2310" s="2"/>
      <c r="AG2310" s="2"/>
      <c r="AS2310"/>
      <c r="AT2310"/>
    </row>
    <row r="2311" spans="20:46" ht="16.8">
      <c r="T2311" s="112"/>
      <c r="U2311" s="113"/>
      <c r="AF2311" s="2"/>
      <c r="AG2311" s="2"/>
      <c r="AS2311"/>
      <c r="AT2311"/>
    </row>
    <row r="2312" spans="20:46" ht="16.8">
      <c r="T2312" s="112"/>
      <c r="U2312" s="113"/>
      <c r="AF2312" s="2"/>
      <c r="AG2312" s="2"/>
      <c r="AS2312"/>
      <c r="AT2312"/>
    </row>
    <row r="2313" spans="20:46" ht="16.8">
      <c r="T2313" s="112"/>
      <c r="U2313" s="113"/>
      <c r="AF2313" s="2"/>
      <c r="AG2313" s="2"/>
      <c r="AS2313"/>
      <c r="AT2313"/>
    </row>
    <row r="2314" spans="20:46" ht="16.8">
      <c r="T2314" s="112"/>
      <c r="U2314" s="113"/>
      <c r="AF2314" s="2"/>
      <c r="AG2314" s="2"/>
      <c r="AS2314"/>
      <c r="AT2314"/>
    </row>
    <row r="2315" spans="20:46" ht="16.8">
      <c r="T2315" s="112"/>
      <c r="U2315" s="113"/>
      <c r="AF2315" s="2"/>
      <c r="AG2315" s="2"/>
      <c r="AS2315"/>
      <c r="AT2315"/>
    </row>
    <row r="2316" spans="20:46" ht="16.8">
      <c r="T2316" s="112"/>
      <c r="U2316" s="113"/>
      <c r="AF2316" s="2"/>
      <c r="AG2316" s="2"/>
      <c r="AS2316"/>
      <c r="AT2316"/>
    </row>
    <row r="2317" spans="20:46" ht="16.8">
      <c r="T2317" s="112"/>
      <c r="U2317" s="113"/>
      <c r="AF2317" s="2"/>
      <c r="AG2317" s="2"/>
      <c r="AS2317"/>
      <c r="AT2317"/>
    </row>
    <row r="2318" spans="20:46" ht="16.8">
      <c r="T2318" s="112"/>
      <c r="U2318" s="113"/>
      <c r="AF2318" s="2"/>
      <c r="AG2318" s="2"/>
      <c r="AS2318"/>
      <c r="AT2318"/>
    </row>
    <row r="2319" spans="20:46" ht="16.8">
      <c r="T2319" s="112"/>
      <c r="U2319" s="113"/>
      <c r="AF2319" s="2"/>
      <c r="AG2319" s="2"/>
      <c r="AS2319"/>
      <c r="AT2319"/>
    </row>
    <row r="2320" spans="20:46" ht="16.8">
      <c r="T2320" s="112"/>
      <c r="U2320" s="113"/>
      <c r="AF2320" s="2"/>
      <c r="AG2320" s="2"/>
      <c r="AS2320"/>
      <c r="AT2320"/>
    </row>
    <row r="2321" spans="20:46" ht="16.8">
      <c r="T2321" s="112"/>
      <c r="U2321" s="113"/>
      <c r="AF2321" s="2"/>
      <c r="AG2321" s="2"/>
      <c r="AS2321"/>
      <c r="AT2321"/>
    </row>
    <row r="2322" spans="20:46" ht="16.8">
      <c r="T2322" s="112"/>
      <c r="U2322" s="113"/>
      <c r="AF2322" s="2"/>
      <c r="AG2322" s="2"/>
      <c r="AS2322"/>
      <c r="AT2322"/>
    </row>
    <row r="2323" spans="20:46" ht="16.8">
      <c r="T2323" s="112"/>
      <c r="U2323" s="113"/>
      <c r="AF2323" s="2"/>
      <c r="AG2323" s="2"/>
      <c r="AS2323"/>
      <c r="AT2323"/>
    </row>
    <row r="2324" spans="20:46" ht="16.8">
      <c r="T2324" s="112"/>
      <c r="U2324" s="113"/>
      <c r="AF2324" s="2"/>
      <c r="AG2324" s="2"/>
      <c r="AS2324"/>
      <c r="AT2324"/>
    </row>
    <row r="2325" spans="20:46" ht="16.8">
      <c r="T2325" s="112"/>
      <c r="U2325" s="113"/>
      <c r="AF2325" s="2"/>
      <c r="AG2325" s="2"/>
      <c r="AS2325"/>
      <c r="AT2325"/>
    </row>
    <row r="2326" spans="20:46" ht="16.8">
      <c r="T2326" s="112"/>
      <c r="U2326" s="113"/>
      <c r="AF2326" s="2"/>
      <c r="AG2326" s="2"/>
      <c r="AS2326"/>
      <c r="AT2326"/>
    </row>
    <row r="2327" spans="20:46" ht="16.8">
      <c r="T2327" s="112"/>
      <c r="U2327" s="113"/>
      <c r="AF2327" s="2"/>
      <c r="AG2327" s="2"/>
      <c r="AS2327"/>
      <c r="AT2327"/>
    </row>
    <row r="2328" spans="20:46" ht="16.8">
      <c r="T2328" s="112"/>
      <c r="U2328" s="113"/>
      <c r="AF2328" s="2"/>
      <c r="AG2328" s="2"/>
      <c r="AS2328"/>
      <c r="AT2328"/>
    </row>
    <row r="2329" spans="20:46" ht="16.8">
      <c r="T2329" s="112"/>
      <c r="U2329" s="113"/>
      <c r="AF2329" s="2"/>
      <c r="AG2329" s="2"/>
      <c r="AS2329"/>
      <c r="AT2329"/>
    </row>
    <row r="2330" spans="20:46" ht="16.8">
      <c r="T2330" s="112"/>
      <c r="U2330" s="113"/>
      <c r="AF2330" s="2"/>
      <c r="AG2330" s="2"/>
      <c r="AS2330"/>
      <c r="AT2330"/>
    </row>
    <row r="2331" spans="20:46" ht="16.8">
      <c r="T2331" s="112"/>
      <c r="U2331" s="113"/>
      <c r="AF2331" s="2"/>
      <c r="AG2331" s="2"/>
      <c r="AS2331"/>
      <c r="AT2331"/>
    </row>
    <row r="2332" spans="20:46" ht="16.8">
      <c r="T2332" s="112"/>
      <c r="U2332" s="113"/>
      <c r="AF2332" s="2"/>
      <c r="AG2332" s="2"/>
      <c r="AS2332"/>
      <c r="AT2332"/>
    </row>
    <row r="2333" spans="20:46" ht="16.8">
      <c r="T2333" s="112"/>
      <c r="U2333" s="113"/>
      <c r="AF2333" s="2"/>
      <c r="AG2333" s="2"/>
      <c r="AS2333"/>
      <c r="AT2333"/>
    </row>
    <row r="2334" spans="20:46" ht="16.8">
      <c r="T2334" s="112"/>
      <c r="U2334" s="113"/>
      <c r="AF2334" s="2"/>
      <c r="AG2334" s="2"/>
      <c r="AS2334"/>
      <c r="AT2334"/>
    </row>
    <row r="2335" spans="20:46" ht="16.8">
      <c r="T2335" s="112"/>
      <c r="U2335" s="113"/>
      <c r="AF2335" s="2"/>
      <c r="AG2335" s="2"/>
      <c r="AS2335"/>
      <c r="AT2335"/>
    </row>
    <row r="2336" spans="20:46" ht="16.8">
      <c r="T2336" s="112"/>
      <c r="U2336" s="113"/>
      <c r="AF2336" s="2"/>
      <c r="AG2336" s="2"/>
      <c r="AS2336"/>
      <c r="AT2336"/>
    </row>
    <row r="2337" spans="20:46" ht="16.8">
      <c r="T2337" s="112"/>
      <c r="U2337" s="113"/>
      <c r="AF2337" s="2"/>
      <c r="AG2337" s="2"/>
      <c r="AS2337"/>
      <c r="AT2337"/>
    </row>
    <row r="2338" spans="20:46" ht="16.8">
      <c r="T2338" s="112"/>
      <c r="U2338" s="113"/>
      <c r="AF2338" s="2"/>
      <c r="AG2338" s="2"/>
      <c r="AS2338"/>
      <c r="AT2338"/>
    </row>
    <row r="2339" spans="20:46" ht="16.8">
      <c r="T2339" s="112"/>
      <c r="U2339" s="113"/>
      <c r="AF2339" s="2"/>
      <c r="AG2339" s="2"/>
      <c r="AS2339"/>
      <c r="AT2339"/>
    </row>
    <row r="2340" spans="20:46" ht="16.8">
      <c r="T2340" s="112"/>
      <c r="U2340" s="113"/>
      <c r="AF2340" s="2"/>
      <c r="AG2340" s="2"/>
      <c r="AS2340"/>
      <c r="AT2340"/>
    </row>
    <row r="2341" spans="20:46" ht="16.8">
      <c r="T2341" s="112"/>
      <c r="U2341" s="113"/>
      <c r="AF2341" s="2"/>
      <c r="AG2341" s="2"/>
      <c r="AS2341"/>
      <c r="AT2341"/>
    </row>
    <row r="2342" spans="20:46" ht="16.8">
      <c r="T2342" s="112"/>
      <c r="U2342" s="113"/>
      <c r="AF2342" s="2"/>
      <c r="AG2342" s="2"/>
      <c r="AS2342"/>
      <c r="AT2342"/>
    </row>
    <row r="2343" spans="20:46" ht="16.8">
      <c r="T2343" s="112"/>
      <c r="U2343" s="113"/>
      <c r="AF2343" s="2"/>
      <c r="AG2343" s="2"/>
      <c r="AS2343"/>
      <c r="AT2343"/>
    </row>
    <row r="2344" spans="20:46" ht="16.8">
      <c r="T2344" s="112"/>
      <c r="U2344" s="113"/>
      <c r="AF2344" s="2"/>
      <c r="AG2344" s="2"/>
      <c r="AS2344"/>
      <c r="AT2344"/>
    </row>
    <row r="2345" spans="20:46" ht="16.8">
      <c r="T2345" s="112"/>
      <c r="U2345" s="113"/>
      <c r="AF2345" s="2"/>
      <c r="AG2345" s="2"/>
      <c r="AS2345"/>
      <c r="AT2345"/>
    </row>
    <row r="2346" spans="20:46" ht="16.8">
      <c r="T2346" s="112"/>
      <c r="U2346" s="113"/>
      <c r="AF2346" s="2"/>
      <c r="AG2346" s="2"/>
      <c r="AS2346"/>
      <c r="AT2346"/>
    </row>
    <row r="2347" spans="20:46" ht="16.8">
      <c r="T2347" s="112"/>
      <c r="U2347" s="113"/>
      <c r="AF2347" s="2"/>
      <c r="AG2347" s="2"/>
      <c r="AS2347"/>
      <c r="AT2347"/>
    </row>
    <row r="2348" spans="20:46" ht="16.8">
      <c r="T2348" s="112"/>
      <c r="U2348" s="113"/>
      <c r="AF2348" s="2"/>
      <c r="AG2348" s="2"/>
      <c r="AS2348"/>
      <c r="AT2348"/>
    </row>
    <row r="2349" spans="20:46" ht="16.8">
      <c r="T2349" s="112"/>
      <c r="U2349" s="113"/>
      <c r="AF2349" s="2"/>
      <c r="AG2349" s="2"/>
      <c r="AS2349"/>
      <c r="AT2349"/>
    </row>
    <row r="2350" spans="20:46" ht="16.8">
      <c r="T2350" s="112"/>
      <c r="U2350" s="113"/>
      <c r="AF2350" s="2"/>
      <c r="AG2350" s="2"/>
      <c r="AS2350"/>
      <c r="AT2350"/>
    </row>
    <row r="2351" spans="20:46" ht="16.8">
      <c r="T2351" s="112"/>
      <c r="U2351" s="113"/>
      <c r="AF2351" s="2"/>
      <c r="AG2351" s="2"/>
      <c r="AS2351"/>
      <c r="AT2351"/>
    </row>
    <row r="2352" spans="20:46" ht="16.8">
      <c r="T2352" s="112"/>
      <c r="U2352" s="113"/>
      <c r="AF2352" s="2"/>
      <c r="AG2352" s="2"/>
      <c r="AS2352"/>
      <c r="AT2352"/>
    </row>
    <row r="2353" spans="20:46" ht="16.8">
      <c r="T2353" s="112"/>
      <c r="U2353" s="113"/>
      <c r="AF2353" s="2"/>
      <c r="AG2353" s="2"/>
      <c r="AS2353"/>
      <c r="AT2353"/>
    </row>
    <row r="2354" spans="20:46" ht="16.8">
      <c r="T2354" s="112"/>
      <c r="U2354" s="113"/>
      <c r="AF2354" s="2"/>
      <c r="AG2354" s="2"/>
      <c r="AS2354"/>
      <c r="AT2354"/>
    </row>
    <row r="2355" spans="20:46" ht="16.8">
      <c r="T2355" s="112"/>
      <c r="U2355" s="113"/>
      <c r="AF2355" s="2"/>
      <c r="AG2355" s="2"/>
      <c r="AS2355"/>
      <c r="AT2355"/>
    </row>
    <row r="2356" spans="20:46" ht="16.8">
      <c r="T2356" s="112"/>
      <c r="U2356" s="113"/>
      <c r="AF2356" s="2"/>
      <c r="AG2356" s="2"/>
      <c r="AS2356"/>
      <c r="AT2356"/>
    </row>
    <row r="2357" spans="20:46" ht="16.8">
      <c r="T2357" s="112"/>
      <c r="U2357" s="113"/>
      <c r="AF2357" s="2"/>
      <c r="AG2357" s="2"/>
      <c r="AS2357"/>
      <c r="AT2357"/>
    </row>
    <row r="2358" spans="20:46" ht="16.8">
      <c r="T2358" s="112"/>
      <c r="U2358" s="113"/>
      <c r="AF2358" s="2"/>
      <c r="AG2358" s="2"/>
      <c r="AS2358"/>
      <c r="AT2358"/>
    </row>
    <row r="2359" spans="20:46" ht="16.8">
      <c r="T2359" s="112"/>
      <c r="U2359" s="113"/>
      <c r="AF2359" s="2"/>
      <c r="AG2359" s="2"/>
      <c r="AS2359"/>
      <c r="AT2359"/>
    </row>
    <row r="2360" spans="20:46" ht="16.8">
      <c r="T2360" s="112"/>
      <c r="U2360" s="113"/>
      <c r="AF2360" s="2"/>
      <c r="AG2360" s="2"/>
      <c r="AS2360"/>
      <c r="AT2360"/>
    </row>
    <row r="2361" spans="20:46" ht="16.8">
      <c r="T2361" s="112"/>
      <c r="U2361" s="113"/>
      <c r="AF2361" s="2"/>
      <c r="AG2361" s="2"/>
      <c r="AS2361"/>
      <c r="AT2361"/>
    </row>
    <row r="2362" spans="20:46" ht="16.8">
      <c r="T2362" s="112"/>
      <c r="U2362" s="113"/>
      <c r="AF2362" s="2"/>
      <c r="AG2362" s="2"/>
      <c r="AS2362"/>
      <c r="AT2362"/>
    </row>
    <row r="2363" spans="20:46" ht="16.8">
      <c r="T2363" s="112"/>
      <c r="U2363" s="113"/>
      <c r="AF2363" s="2"/>
      <c r="AG2363" s="2"/>
      <c r="AS2363"/>
      <c r="AT2363"/>
    </row>
    <row r="2364" spans="20:46" ht="16.8">
      <c r="T2364" s="112"/>
      <c r="U2364" s="113"/>
      <c r="AF2364" s="2"/>
      <c r="AG2364" s="2"/>
      <c r="AS2364"/>
      <c r="AT2364"/>
    </row>
    <row r="2365" spans="20:46" ht="16.8">
      <c r="T2365" s="112"/>
      <c r="U2365" s="113"/>
      <c r="AF2365" s="2"/>
      <c r="AG2365" s="2"/>
      <c r="AS2365"/>
      <c r="AT2365"/>
    </row>
    <row r="2366" spans="20:46" ht="16.8">
      <c r="T2366" s="112"/>
      <c r="U2366" s="113"/>
      <c r="AF2366" s="2"/>
      <c r="AG2366" s="2"/>
      <c r="AS2366"/>
      <c r="AT2366"/>
    </row>
    <row r="2367" spans="20:46" ht="16.8">
      <c r="T2367" s="112"/>
      <c r="U2367" s="113"/>
      <c r="AF2367" s="2"/>
      <c r="AG2367" s="2"/>
      <c r="AS2367"/>
      <c r="AT2367"/>
    </row>
    <row r="2368" spans="20:46" ht="16.8">
      <c r="T2368" s="112"/>
      <c r="U2368" s="113"/>
      <c r="AF2368" s="2"/>
      <c r="AG2368" s="2"/>
      <c r="AS2368"/>
      <c r="AT2368"/>
    </row>
    <row r="2369" spans="20:46" ht="16.8">
      <c r="T2369" s="112"/>
      <c r="U2369" s="113"/>
      <c r="AF2369" s="2"/>
      <c r="AG2369" s="2"/>
      <c r="AS2369"/>
      <c r="AT2369"/>
    </row>
    <row r="2370" spans="20:46" ht="16.8">
      <c r="T2370" s="112"/>
      <c r="U2370" s="113"/>
      <c r="AF2370" s="2"/>
      <c r="AG2370" s="2"/>
      <c r="AS2370"/>
      <c r="AT2370"/>
    </row>
    <row r="2371" spans="20:46" ht="16.8">
      <c r="T2371" s="112"/>
      <c r="U2371" s="113"/>
      <c r="AF2371" s="2"/>
      <c r="AG2371" s="2"/>
      <c r="AS2371"/>
      <c r="AT2371"/>
    </row>
    <row r="2372" spans="20:46" ht="16.8">
      <c r="T2372" s="112"/>
      <c r="U2372" s="113"/>
      <c r="AF2372" s="2"/>
      <c r="AG2372" s="2"/>
      <c r="AS2372"/>
      <c r="AT2372"/>
    </row>
    <row r="2373" spans="20:46" ht="16.8">
      <c r="T2373" s="112"/>
      <c r="U2373" s="113"/>
      <c r="AF2373" s="2"/>
      <c r="AG2373" s="2"/>
      <c r="AS2373"/>
      <c r="AT2373"/>
    </row>
    <row r="2374" spans="20:46" ht="16.8">
      <c r="T2374" s="112"/>
      <c r="U2374" s="113"/>
      <c r="AF2374" s="2"/>
      <c r="AG2374" s="2"/>
      <c r="AS2374"/>
      <c r="AT2374"/>
    </row>
    <row r="2375" spans="20:46" ht="16.8">
      <c r="T2375" s="112"/>
      <c r="U2375" s="113"/>
      <c r="AF2375" s="2"/>
      <c r="AG2375" s="2"/>
      <c r="AS2375"/>
      <c r="AT2375"/>
    </row>
    <row r="2376" spans="20:46" ht="16.8">
      <c r="T2376" s="112"/>
      <c r="U2376" s="113"/>
      <c r="AF2376" s="2"/>
      <c r="AG2376" s="2"/>
      <c r="AS2376"/>
      <c r="AT2376"/>
    </row>
    <row r="2377" spans="20:46" ht="16.8">
      <c r="T2377" s="112"/>
      <c r="U2377" s="113"/>
      <c r="AF2377" s="2"/>
      <c r="AG2377" s="2"/>
      <c r="AS2377"/>
      <c r="AT2377"/>
    </row>
    <row r="2378" spans="20:46" ht="16.8">
      <c r="T2378" s="112"/>
      <c r="U2378" s="113"/>
      <c r="AF2378" s="2"/>
      <c r="AG2378" s="2"/>
      <c r="AS2378"/>
      <c r="AT2378"/>
    </row>
    <row r="2379" spans="20:46" ht="16.8">
      <c r="T2379" s="112"/>
      <c r="U2379" s="113"/>
      <c r="AF2379" s="2"/>
      <c r="AG2379" s="2"/>
      <c r="AS2379"/>
      <c r="AT2379"/>
    </row>
    <row r="2380" spans="20:46" ht="16.8">
      <c r="T2380" s="112"/>
      <c r="U2380" s="113"/>
      <c r="AF2380" s="2"/>
      <c r="AG2380" s="2"/>
      <c r="AS2380"/>
      <c r="AT2380"/>
    </row>
    <row r="2381" spans="20:46" ht="16.8">
      <c r="T2381" s="112"/>
      <c r="U2381" s="113"/>
      <c r="AF2381" s="2"/>
      <c r="AG2381" s="2"/>
      <c r="AS2381"/>
      <c r="AT2381"/>
    </row>
    <row r="2382" spans="20:46" ht="16.8">
      <c r="T2382" s="112"/>
      <c r="U2382" s="113"/>
      <c r="AF2382" s="2"/>
      <c r="AG2382" s="2"/>
      <c r="AS2382"/>
      <c r="AT2382"/>
    </row>
    <row r="2383" spans="20:46" ht="16.8">
      <c r="T2383" s="112"/>
      <c r="U2383" s="113"/>
      <c r="AF2383" s="2"/>
      <c r="AG2383" s="2"/>
      <c r="AS2383"/>
      <c r="AT2383"/>
    </row>
    <row r="2384" spans="20:46" ht="16.8">
      <c r="T2384" s="112"/>
      <c r="U2384" s="113"/>
      <c r="AF2384" s="2"/>
      <c r="AG2384" s="2"/>
      <c r="AS2384"/>
      <c r="AT2384"/>
    </row>
    <row r="2385" spans="20:46" ht="16.8">
      <c r="T2385" s="112"/>
      <c r="U2385" s="113"/>
      <c r="AF2385" s="2"/>
      <c r="AG2385" s="2"/>
      <c r="AS2385"/>
      <c r="AT2385"/>
    </row>
    <row r="2386" spans="20:46" ht="16.8">
      <c r="T2386" s="112"/>
      <c r="U2386" s="113"/>
      <c r="AF2386" s="2"/>
      <c r="AG2386" s="2"/>
      <c r="AS2386"/>
      <c r="AT2386"/>
    </row>
    <row r="2387" spans="20:46" ht="16.8">
      <c r="T2387" s="112"/>
      <c r="U2387" s="113"/>
      <c r="AF2387" s="2"/>
      <c r="AG2387" s="2"/>
      <c r="AS2387"/>
      <c r="AT2387"/>
    </row>
    <row r="2388" spans="20:46" ht="16.8">
      <c r="T2388" s="112"/>
      <c r="U2388" s="113"/>
      <c r="AF2388" s="2"/>
      <c r="AG2388" s="2"/>
      <c r="AS2388"/>
      <c r="AT2388"/>
    </row>
    <row r="2389" spans="20:46" ht="16.8">
      <c r="T2389" s="112"/>
      <c r="U2389" s="113"/>
      <c r="AF2389" s="2"/>
      <c r="AG2389" s="2"/>
      <c r="AS2389"/>
      <c r="AT2389"/>
    </row>
    <row r="2390" spans="20:46" ht="16.8">
      <c r="T2390" s="112"/>
      <c r="U2390" s="113"/>
      <c r="AF2390" s="2"/>
      <c r="AG2390" s="2"/>
      <c r="AS2390"/>
      <c r="AT2390"/>
    </row>
    <row r="2391" spans="20:46" ht="16.8">
      <c r="T2391" s="112"/>
      <c r="U2391" s="113"/>
      <c r="AF2391" s="2"/>
      <c r="AG2391" s="2"/>
      <c r="AS2391"/>
      <c r="AT2391"/>
    </row>
    <row r="2392" spans="20:46" ht="16.8">
      <c r="T2392" s="112"/>
      <c r="U2392" s="113"/>
      <c r="AF2392" s="2"/>
      <c r="AG2392" s="2"/>
      <c r="AS2392"/>
      <c r="AT2392"/>
    </row>
    <row r="2393" spans="20:46" ht="16.8">
      <c r="T2393" s="112"/>
      <c r="U2393" s="113"/>
      <c r="AF2393" s="2"/>
      <c r="AG2393" s="2"/>
      <c r="AS2393"/>
      <c r="AT2393"/>
    </row>
    <row r="2394" spans="20:46" ht="16.8">
      <c r="T2394" s="112"/>
      <c r="U2394" s="113"/>
      <c r="AF2394" s="2"/>
      <c r="AG2394" s="2"/>
      <c r="AS2394"/>
      <c r="AT2394"/>
    </row>
    <row r="2395" spans="20:46" ht="16.8">
      <c r="T2395" s="112"/>
      <c r="U2395" s="113"/>
      <c r="AF2395" s="2"/>
      <c r="AG2395" s="2"/>
      <c r="AS2395"/>
      <c r="AT2395"/>
    </row>
    <row r="2396" spans="20:46" ht="16.8">
      <c r="T2396" s="112"/>
      <c r="U2396" s="113"/>
      <c r="AF2396" s="2"/>
      <c r="AG2396" s="2"/>
      <c r="AS2396"/>
      <c r="AT2396"/>
    </row>
    <row r="2397" spans="20:46" ht="16.8">
      <c r="T2397" s="112"/>
      <c r="U2397" s="113"/>
      <c r="AF2397" s="2"/>
      <c r="AG2397" s="2"/>
      <c r="AS2397"/>
      <c r="AT2397"/>
    </row>
    <row r="2398" spans="20:46" ht="16.8">
      <c r="T2398" s="112"/>
      <c r="U2398" s="113"/>
      <c r="AF2398" s="2"/>
      <c r="AG2398" s="2"/>
      <c r="AS2398"/>
      <c r="AT2398"/>
    </row>
    <row r="2399" spans="20:46" ht="16.8">
      <c r="T2399" s="112"/>
      <c r="U2399" s="113"/>
      <c r="AF2399" s="2"/>
      <c r="AG2399" s="2"/>
      <c r="AS2399"/>
      <c r="AT2399"/>
    </row>
    <row r="2400" spans="20:46" ht="16.8">
      <c r="T2400" s="112"/>
      <c r="U2400" s="113"/>
      <c r="AF2400" s="2"/>
      <c r="AG2400" s="2"/>
      <c r="AS2400"/>
      <c r="AT2400"/>
    </row>
    <row r="2401" spans="20:46" ht="16.8">
      <c r="T2401" s="112"/>
      <c r="U2401" s="113"/>
      <c r="AF2401" s="2"/>
      <c r="AG2401" s="2"/>
      <c r="AS2401"/>
      <c r="AT2401"/>
    </row>
    <row r="2402" spans="20:46" ht="16.8">
      <c r="T2402" s="112"/>
      <c r="U2402" s="113"/>
      <c r="AF2402" s="2"/>
      <c r="AG2402" s="2"/>
      <c r="AS2402"/>
      <c r="AT2402"/>
    </row>
    <row r="2403" spans="20:46" ht="16.8">
      <c r="T2403" s="112"/>
      <c r="U2403" s="113"/>
      <c r="AF2403" s="2"/>
      <c r="AG2403" s="2"/>
      <c r="AS2403"/>
      <c r="AT2403"/>
    </row>
    <row r="2404" spans="20:46" ht="16.8">
      <c r="T2404" s="112"/>
      <c r="U2404" s="113"/>
      <c r="AF2404" s="2"/>
      <c r="AG2404" s="2"/>
      <c r="AS2404"/>
      <c r="AT2404"/>
    </row>
    <row r="2405" spans="20:46" ht="16.8">
      <c r="T2405" s="112"/>
      <c r="U2405" s="113"/>
      <c r="AF2405" s="2"/>
      <c r="AG2405" s="2"/>
      <c r="AS2405"/>
      <c r="AT2405"/>
    </row>
    <row r="2406" spans="20:46" ht="16.8">
      <c r="T2406" s="112"/>
      <c r="U2406" s="113"/>
      <c r="AF2406" s="2"/>
      <c r="AG2406" s="2"/>
      <c r="AS2406"/>
      <c r="AT2406"/>
    </row>
    <row r="2407" spans="20:46" ht="16.8">
      <c r="T2407" s="112"/>
      <c r="U2407" s="113"/>
      <c r="AF2407" s="2"/>
      <c r="AG2407" s="2"/>
      <c r="AS2407"/>
      <c r="AT2407"/>
    </row>
    <row r="2408" spans="20:46" ht="16.8">
      <c r="T2408" s="112"/>
      <c r="U2408" s="113"/>
      <c r="AF2408" s="2"/>
      <c r="AG2408" s="2"/>
      <c r="AS2408"/>
      <c r="AT2408"/>
    </row>
    <row r="2409" spans="20:46" ht="16.8">
      <c r="T2409" s="112"/>
      <c r="U2409" s="113"/>
      <c r="AF2409" s="2"/>
      <c r="AG2409" s="2"/>
      <c r="AS2409"/>
      <c r="AT2409"/>
    </row>
    <row r="2410" spans="20:46" ht="16.8">
      <c r="T2410" s="112"/>
      <c r="U2410" s="113"/>
      <c r="AF2410" s="2"/>
      <c r="AG2410" s="2"/>
      <c r="AS2410"/>
      <c r="AT2410"/>
    </row>
    <row r="2411" spans="20:46" ht="16.8">
      <c r="T2411" s="112"/>
      <c r="U2411" s="113"/>
      <c r="AF2411" s="2"/>
      <c r="AG2411" s="2"/>
      <c r="AS2411"/>
      <c r="AT2411"/>
    </row>
    <row r="2412" spans="20:46" ht="16.8">
      <c r="T2412" s="112"/>
      <c r="U2412" s="113"/>
      <c r="AF2412" s="2"/>
      <c r="AG2412" s="2"/>
      <c r="AS2412"/>
      <c r="AT2412"/>
    </row>
    <row r="2413" spans="20:46" ht="16.8">
      <c r="T2413" s="112"/>
      <c r="U2413" s="113"/>
      <c r="AF2413" s="2"/>
      <c r="AG2413" s="2"/>
      <c r="AS2413"/>
      <c r="AT2413"/>
    </row>
    <row r="2414" spans="20:46" ht="16.8">
      <c r="T2414" s="112"/>
      <c r="U2414" s="113"/>
      <c r="AF2414" s="2"/>
      <c r="AG2414" s="2"/>
      <c r="AS2414"/>
      <c r="AT2414"/>
    </row>
    <row r="2415" spans="20:46" ht="16.8">
      <c r="T2415" s="112"/>
      <c r="U2415" s="113"/>
      <c r="AF2415" s="2"/>
      <c r="AG2415" s="2"/>
      <c r="AS2415"/>
      <c r="AT2415"/>
    </row>
    <row r="2416" spans="20:46" ht="16.8">
      <c r="T2416" s="112"/>
      <c r="U2416" s="113"/>
      <c r="AF2416" s="2"/>
      <c r="AG2416" s="2"/>
      <c r="AS2416"/>
      <c r="AT2416"/>
    </row>
    <row r="2417" spans="20:46" ht="16.8">
      <c r="T2417" s="112"/>
      <c r="U2417" s="113"/>
      <c r="AF2417" s="2"/>
      <c r="AG2417" s="2"/>
      <c r="AS2417"/>
      <c r="AT2417"/>
    </row>
    <row r="2418" spans="20:46" ht="16.8">
      <c r="T2418" s="112"/>
      <c r="U2418" s="113"/>
      <c r="AF2418" s="2"/>
      <c r="AG2418" s="2"/>
      <c r="AS2418"/>
      <c r="AT2418"/>
    </row>
    <row r="2419" spans="20:46" ht="16.8">
      <c r="T2419" s="112"/>
      <c r="U2419" s="113"/>
      <c r="AF2419" s="2"/>
      <c r="AG2419" s="2"/>
      <c r="AS2419"/>
      <c r="AT2419"/>
    </row>
    <row r="2420" spans="20:46" ht="16.8">
      <c r="T2420" s="112"/>
      <c r="U2420" s="113"/>
      <c r="AF2420" s="2"/>
      <c r="AG2420" s="2"/>
      <c r="AS2420"/>
      <c r="AT2420"/>
    </row>
    <row r="2421" spans="20:46" ht="16.8">
      <c r="T2421" s="112"/>
      <c r="U2421" s="113"/>
      <c r="AF2421" s="2"/>
      <c r="AG2421" s="2"/>
      <c r="AS2421"/>
      <c r="AT2421"/>
    </row>
    <row r="2422" spans="20:46" ht="16.8">
      <c r="T2422" s="112"/>
      <c r="U2422" s="113"/>
      <c r="AF2422" s="2"/>
      <c r="AG2422" s="2"/>
      <c r="AS2422"/>
      <c r="AT2422"/>
    </row>
    <row r="2423" spans="20:46" ht="16.8">
      <c r="T2423" s="112"/>
      <c r="U2423" s="113"/>
      <c r="AF2423" s="2"/>
      <c r="AG2423" s="2"/>
      <c r="AS2423"/>
      <c r="AT2423"/>
    </row>
    <row r="2424" spans="20:46" ht="16.8">
      <c r="T2424" s="112"/>
      <c r="U2424" s="113"/>
      <c r="AF2424" s="2"/>
      <c r="AG2424" s="2"/>
      <c r="AS2424"/>
      <c r="AT2424"/>
    </row>
    <row r="2425" spans="20:46" ht="16.8">
      <c r="T2425" s="112"/>
      <c r="U2425" s="113"/>
      <c r="AF2425" s="2"/>
      <c r="AG2425" s="2"/>
      <c r="AS2425"/>
      <c r="AT2425"/>
    </row>
    <row r="2426" spans="20:46" ht="16.8">
      <c r="T2426" s="112"/>
      <c r="U2426" s="113"/>
      <c r="AF2426" s="2"/>
      <c r="AG2426" s="2"/>
      <c r="AS2426"/>
      <c r="AT2426"/>
    </row>
    <row r="2427" spans="20:46" ht="16.8">
      <c r="T2427" s="112"/>
      <c r="U2427" s="113"/>
      <c r="AF2427" s="2"/>
      <c r="AG2427" s="2"/>
      <c r="AS2427"/>
      <c r="AT2427"/>
    </row>
    <row r="2428" spans="20:46" ht="16.8">
      <c r="T2428" s="112"/>
      <c r="U2428" s="113"/>
      <c r="AF2428" s="2"/>
      <c r="AG2428" s="2"/>
      <c r="AS2428"/>
      <c r="AT2428"/>
    </row>
    <row r="2429" spans="20:46" ht="16.8">
      <c r="T2429" s="112"/>
      <c r="U2429" s="113"/>
      <c r="AF2429" s="2"/>
      <c r="AG2429" s="2"/>
      <c r="AS2429"/>
      <c r="AT2429"/>
    </row>
    <row r="2430" spans="20:46" ht="16.8">
      <c r="T2430" s="112"/>
      <c r="U2430" s="113"/>
      <c r="AF2430" s="2"/>
      <c r="AG2430" s="2"/>
      <c r="AS2430"/>
      <c r="AT2430"/>
    </row>
    <row r="2431" spans="20:46" ht="16.8">
      <c r="T2431" s="112"/>
      <c r="U2431" s="113"/>
      <c r="AF2431" s="2"/>
      <c r="AG2431" s="2"/>
      <c r="AS2431"/>
      <c r="AT2431"/>
    </row>
    <row r="2432" spans="20:46" ht="16.8">
      <c r="T2432" s="112"/>
      <c r="U2432" s="113"/>
      <c r="AF2432" s="2"/>
      <c r="AG2432" s="2"/>
      <c r="AS2432"/>
      <c r="AT2432"/>
    </row>
    <row r="2433" spans="20:46" ht="16.8">
      <c r="T2433" s="112"/>
      <c r="U2433" s="113"/>
      <c r="AF2433" s="2"/>
      <c r="AG2433" s="2"/>
      <c r="AS2433"/>
      <c r="AT2433"/>
    </row>
    <row r="2434" spans="20:46" ht="16.8">
      <c r="T2434" s="112"/>
      <c r="U2434" s="113"/>
      <c r="AF2434" s="2"/>
      <c r="AG2434" s="2"/>
      <c r="AS2434"/>
      <c r="AT2434"/>
    </row>
    <row r="2435" spans="20:46" ht="16.8">
      <c r="T2435" s="112"/>
      <c r="U2435" s="113"/>
      <c r="AF2435" s="2"/>
      <c r="AG2435" s="2"/>
      <c r="AS2435"/>
      <c r="AT2435"/>
    </row>
    <row r="2436" spans="20:46" ht="16.8">
      <c r="T2436" s="112"/>
      <c r="U2436" s="113"/>
      <c r="AF2436" s="2"/>
      <c r="AG2436" s="2"/>
      <c r="AS2436"/>
      <c r="AT2436"/>
    </row>
    <row r="2437" spans="20:46" ht="16.8">
      <c r="T2437" s="112"/>
      <c r="U2437" s="113"/>
      <c r="AF2437" s="2"/>
      <c r="AG2437" s="2"/>
      <c r="AS2437"/>
      <c r="AT2437"/>
    </row>
    <row r="2438" spans="20:46" ht="16.8">
      <c r="T2438" s="112"/>
      <c r="U2438" s="113"/>
      <c r="AF2438" s="2"/>
      <c r="AG2438" s="2"/>
      <c r="AS2438"/>
      <c r="AT2438"/>
    </row>
    <row r="2439" spans="20:46" ht="16.8">
      <c r="T2439" s="112"/>
      <c r="U2439" s="113"/>
      <c r="AF2439" s="2"/>
      <c r="AG2439" s="2"/>
      <c r="AS2439"/>
      <c r="AT2439"/>
    </row>
    <row r="2440" spans="20:46" ht="16.8">
      <c r="T2440" s="112"/>
      <c r="U2440" s="113"/>
      <c r="AF2440" s="2"/>
      <c r="AG2440" s="2"/>
      <c r="AS2440"/>
      <c r="AT2440"/>
    </row>
    <row r="2441" spans="20:46" ht="16.8">
      <c r="T2441" s="112"/>
      <c r="U2441" s="113"/>
      <c r="AF2441" s="2"/>
      <c r="AG2441" s="2"/>
      <c r="AS2441"/>
      <c r="AT2441"/>
    </row>
    <row r="2442" spans="20:46" ht="16.8">
      <c r="T2442" s="112"/>
      <c r="U2442" s="113"/>
      <c r="AF2442" s="2"/>
      <c r="AG2442" s="2"/>
      <c r="AS2442"/>
      <c r="AT2442"/>
    </row>
    <row r="2443" spans="20:46" ht="16.8">
      <c r="T2443" s="112"/>
      <c r="U2443" s="113"/>
      <c r="AF2443" s="2"/>
      <c r="AG2443" s="2"/>
      <c r="AS2443"/>
      <c r="AT2443"/>
    </row>
    <row r="2444" spans="20:46" ht="16.8">
      <c r="T2444" s="112"/>
      <c r="U2444" s="113"/>
      <c r="AF2444" s="2"/>
      <c r="AG2444" s="2"/>
      <c r="AS2444"/>
      <c r="AT2444"/>
    </row>
    <row r="2445" spans="20:46" ht="16.8">
      <c r="T2445" s="112"/>
      <c r="U2445" s="113"/>
      <c r="AF2445" s="2"/>
      <c r="AG2445" s="2"/>
      <c r="AS2445"/>
      <c r="AT2445"/>
    </row>
    <row r="2446" spans="20:46" ht="16.8">
      <c r="T2446" s="112"/>
      <c r="U2446" s="113"/>
      <c r="AF2446" s="2"/>
      <c r="AG2446" s="2"/>
      <c r="AS2446"/>
      <c r="AT2446"/>
    </row>
    <row r="2447" spans="20:46" ht="16.8">
      <c r="T2447" s="112"/>
      <c r="U2447" s="113"/>
      <c r="AF2447" s="2"/>
      <c r="AG2447" s="2"/>
      <c r="AS2447"/>
      <c r="AT2447"/>
    </row>
    <row r="2448" spans="20:46" ht="16.8">
      <c r="T2448" s="112"/>
      <c r="U2448" s="113"/>
      <c r="AF2448" s="2"/>
      <c r="AG2448" s="2"/>
      <c r="AS2448"/>
      <c r="AT2448"/>
    </row>
    <row r="2449" spans="20:46" ht="16.8">
      <c r="T2449" s="112"/>
      <c r="U2449" s="113"/>
      <c r="AF2449" s="2"/>
      <c r="AG2449" s="2"/>
      <c r="AS2449"/>
      <c r="AT2449"/>
    </row>
    <row r="2450" spans="20:46" ht="16.8">
      <c r="T2450" s="112"/>
      <c r="U2450" s="113"/>
      <c r="AF2450" s="2"/>
      <c r="AG2450" s="2"/>
      <c r="AS2450"/>
      <c r="AT2450"/>
    </row>
    <row r="2451" spans="20:46" ht="16.8">
      <c r="T2451" s="112"/>
      <c r="U2451" s="113"/>
      <c r="AF2451" s="2"/>
      <c r="AG2451" s="2"/>
      <c r="AS2451"/>
      <c r="AT2451"/>
    </row>
    <row r="2452" spans="20:46" ht="16.8">
      <c r="T2452" s="112"/>
      <c r="U2452" s="113"/>
      <c r="AF2452" s="2"/>
      <c r="AG2452" s="2"/>
      <c r="AS2452"/>
      <c r="AT2452"/>
    </row>
    <row r="2453" spans="20:46" ht="16.8">
      <c r="T2453" s="112"/>
      <c r="U2453" s="113"/>
      <c r="AF2453" s="2"/>
      <c r="AG2453" s="2"/>
      <c r="AS2453"/>
      <c r="AT2453"/>
    </row>
    <row r="2454" spans="20:46" ht="16.8">
      <c r="T2454" s="112"/>
      <c r="U2454" s="113"/>
      <c r="AF2454" s="2"/>
      <c r="AG2454" s="2"/>
      <c r="AS2454"/>
      <c r="AT2454"/>
    </row>
    <row r="2455" spans="20:46" ht="16.8">
      <c r="T2455" s="112"/>
      <c r="U2455" s="113"/>
      <c r="AF2455" s="2"/>
      <c r="AG2455" s="2"/>
      <c r="AS2455"/>
      <c r="AT2455"/>
    </row>
    <row r="2456" spans="20:46" ht="16.8">
      <c r="T2456" s="112"/>
      <c r="U2456" s="113"/>
      <c r="AF2456" s="2"/>
      <c r="AG2456" s="2"/>
      <c r="AS2456"/>
      <c r="AT2456"/>
    </row>
    <row r="2457" spans="20:46" ht="16.8">
      <c r="T2457" s="112"/>
      <c r="U2457" s="113"/>
      <c r="AF2457" s="2"/>
      <c r="AG2457" s="2"/>
      <c r="AS2457"/>
      <c r="AT2457"/>
    </row>
    <row r="2458" spans="20:46" ht="16.8">
      <c r="T2458" s="112"/>
      <c r="U2458" s="113"/>
      <c r="AF2458" s="2"/>
      <c r="AG2458" s="2"/>
      <c r="AS2458"/>
      <c r="AT2458"/>
    </row>
    <row r="2459" spans="20:46" ht="16.8">
      <c r="T2459" s="112"/>
      <c r="U2459" s="113"/>
      <c r="AF2459" s="2"/>
      <c r="AG2459" s="2"/>
      <c r="AS2459"/>
      <c r="AT2459"/>
    </row>
    <row r="2460" spans="20:46" ht="16.8">
      <c r="T2460" s="112"/>
      <c r="U2460" s="113"/>
      <c r="AF2460" s="2"/>
      <c r="AG2460" s="2"/>
      <c r="AS2460"/>
      <c r="AT2460"/>
    </row>
    <row r="2461" spans="20:46" ht="16.8">
      <c r="T2461" s="112"/>
      <c r="U2461" s="113"/>
      <c r="AF2461" s="2"/>
      <c r="AG2461" s="2"/>
      <c r="AS2461"/>
      <c r="AT2461"/>
    </row>
    <row r="2462" spans="20:46" ht="16.8">
      <c r="T2462" s="112"/>
      <c r="U2462" s="113"/>
      <c r="AF2462" s="2"/>
      <c r="AG2462" s="2"/>
      <c r="AS2462"/>
      <c r="AT2462"/>
    </row>
    <row r="2463" spans="20:46" ht="16.8">
      <c r="T2463" s="112"/>
      <c r="U2463" s="113"/>
      <c r="AF2463" s="2"/>
      <c r="AG2463" s="2"/>
      <c r="AS2463"/>
      <c r="AT2463"/>
    </row>
    <row r="2464" spans="20:46" ht="16.8">
      <c r="T2464" s="112"/>
      <c r="U2464" s="113"/>
      <c r="AF2464" s="2"/>
      <c r="AG2464" s="2"/>
      <c r="AS2464"/>
      <c r="AT2464"/>
    </row>
    <row r="2465" spans="20:46" ht="16.8">
      <c r="T2465" s="112"/>
      <c r="U2465" s="113"/>
      <c r="AF2465" s="2"/>
      <c r="AG2465" s="2"/>
      <c r="AS2465"/>
      <c r="AT2465"/>
    </row>
    <row r="2466" spans="20:46" ht="16.8">
      <c r="T2466" s="112"/>
      <c r="U2466" s="113"/>
      <c r="AF2466" s="2"/>
      <c r="AG2466" s="2"/>
      <c r="AS2466"/>
      <c r="AT2466"/>
    </row>
    <row r="2467" spans="20:46" ht="16.8">
      <c r="T2467" s="112"/>
      <c r="U2467" s="113"/>
      <c r="AF2467" s="2"/>
      <c r="AG2467" s="2"/>
      <c r="AS2467"/>
      <c r="AT2467"/>
    </row>
    <row r="2468" spans="20:46" ht="16.8">
      <c r="T2468" s="112"/>
      <c r="U2468" s="113"/>
      <c r="AF2468" s="2"/>
      <c r="AG2468" s="2"/>
      <c r="AS2468"/>
      <c r="AT2468"/>
    </row>
    <row r="2469" spans="20:46" ht="16.8">
      <c r="T2469" s="112"/>
      <c r="U2469" s="113"/>
      <c r="AF2469" s="2"/>
      <c r="AG2469" s="2"/>
      <c r="AS2469"/>
      <c r="AT2469"/>
    </row>
    <row r="2470" spans="20:46" ht="16.8">
      <c r="T2470" s="112"/>
      <c r="U2470" s="113"/>
      <c r="AF2470" s="2"/>
      <c r="AG2470" s="2"/>
      <c r="AS2470"/>
      <c r="AT2470"/>
    </row>
    <row r="2471" spans="20:46" ht="16.8">
      <c r="T2471" s="112"/>
      <c r="U2471" s="113"/>
      <c r="AF2471" s="2"/>
      <c r="AG2471" s="2"/>
      <c r="AS2471"/>
      <c r="AT2471"/>
    </row>
    <row r="2472" spans="20:46" ht="16.8">
      <c r="T2472" s="112"/>
      <c r="U2472" s="113"/>
      <c r="AF2472" s="2"/>
      <c r="AG2472" s="2"/>
      <c r="AS2472"/>
      <c r="AT2472"/>
    </row>
    <row r="2473" spans="20:46" ht="16.8">
      <c r="T2473" s="112"/>
      <c r="U2473" s="113"/>
      <c r="AF2473" s="2"/>
      <c r="AG2473" s="2"/>
      <c r="AS2473"/>
      <c r="AT2473"/>
    </row>
    <row r="2474" spans="20:46" ht="16.8">
      <c r="T2474" s="112"/>
      <c r="U2474" s="113"/>
      <c r="AF2474" s="2"/>
      <c r="AG2474" s="2"/>
      <c r="AS2474"/>
      <c r="AT2474"/>
    </row>
    <row r="2475" spans="20:46" ht="16.8">
      <c r="T2475" s="112"/>
      <c r="U2475" s="113"/>
      <c r="AF2475" s="2"/>
      <c r="AG2475" s="2"/>
      <c r="AS2475"/>
      <c r="AT2475"/>
    </row>
    <row r="2476" spans="20:46" ht="16.8">
      <c r="T2476" s="112"/>
      <c r="U2476" s="113"/>
      <c r="AF2476" s="2"/>
      <c r="AG2476" s="2"/>
      <c r="AS2476"/>
      <c r="AT2476"/>
    </row>
    <row r="2477" spans="20:46" ht="16.8">
      <c r="T2477" s="112"/>
      <c r="U2477" s="113"/>
      <c r="AF2477" s="2"/>
      <c r="AG2477" s="2"/>
      <c r="AS2477"/>
      <c r="AT2477"/>
    </row>
    <row r="2478" spans="20:46" ht="16.8">
      <c r="T2478" s="112"/>
      <c r="U2478" s="113"/>
      <c r="AF2478" s="2"/>
      <c r="AG2478" s="2"/>
      <c r="AS2478"/>
      <c r="AT2478"/>
    </row>
    <row r="2479" spans="20:46" ht="16.8">
      <c r="T2479" s="112"/>
      <c r="U2479" s="113"/>
      <c r="AF2479" s="2"/>
      <c r="AG2479" s="2"/>
      <c r="AS2479"/>
      <c r="AT2479"/>
    </row>
    <row r="2480" spans="20:46" ht="16.8">
      <c r="T2480" s="112"/>
      <c r="U2480" s="113"/>
      <c r="AF2480" s="2"/>
      <c r="AG2480" s="2"/>
      <c r="AS2480"/>
      <c r="AT2480"/>
    </row>
    <row r="2481" spans="20:46" ht="16.8">
      <c r="T2481" s="112"/>
      <c r="U2481" s="113"/>
      <c r="AF2481" s="2"/>
      <c r="AG2481" s="2"/>
      <c r="AS2481"/>
      <c r="AT2481"/>
    </row>
    <row r="2482" spans="20:46" ht="16.8">
      <c r="T2482" s="112"/>
      <c r="U2482" s="113"/>
      <c r="AF2482" s="2"/>
      <c r="AG2482" s="2"/>
      <c r="AS2482"/>
      <c r="AT2482"/>
    </row>
    <row r="2483" spans="20:46" ht="16.8">
      <c r="T2483" s="112"/>
      <c r="U2483" s="113"/>
      <c r="AF2483" s="2"/>
      <c r="AG2483" s="2"/>
      <c r="AS2483"/>
      <c r="AT2483"/>
    </row>
    <row r="2484" spans="20:46" ht="16.8">
      <c r="T2484" s="112"/>
      <c r="U2484" s="113"/>
      <c r="AF2484" s="2"/>
      <c r="AG2484" s="2"/>
      <c r="AS2484"/>
      <c r="AT2484"/>
    </row>
    <row r="2485" spans="20:46" ht="16.8">
      <c r="T2485" s="112"/>
      <c r="U2485" s="113"/>
      <c r="AF2485" s="2"/>
      <c r="AG2485" s="2"/>
      <c r="AS2485"/>
      <c r="AT2485"/>
    </row>
    <row r="2486" spans="20:46" ht="16.8">
      <c r="T2486" s="112"/>
      <c r="U2486" s="113"/>
      <c r="AF2486" s="2"/>
      <c r="AG2486" s="2"/>
      <c r="AS2486"/>
      <c r="AT2486"/>
    </row>
    <row r="2487" spans="20:46" ht="16.8">
      <c r="T2487" s="112"/>
      <c r="U2487" s="113"/>
      <c r="AF2487" s="2"/>
      <c r="AG2487" s="2"/>
      <c r="AS2487"/>
      <c r="AT2487"/>
    </row>
    <row r="2488" spans="20:46" ht="16.8">
      <c r="T2488" s="112"/>
      <c r="U2488" s="113"/>
      <c r="AF2488" s="2"/>
      <c r="AG2488" s="2"/>
      <c r="AS2488"/>
      <c r="AT2488"/>
    </row>
    <row r="2489" spans="20:46" ht="16.8">
      <c r="T2489" s="112"/>
      <c r="U2489" s="113"/>
      <c r="AF2489" s="2"/>
      <c r="AG2489" s="2"/>
      <c r="AS2489"/>
      <c r="AT2489"/>
    </row>
    <row r="2490" spans="20:46" ht="16.8">
      <c r="T2490" s="112"/>
      <c r="U2490" s="113"/>
      <c r="AF2490" s="2"/>
      <c r="AG2490" s="2"/>
      <c r="AS2490"/>
      <c r="AT2490"/>
    </row>
    <row r="2491" spans="20:46" ht="16.8">
      <c r="T2491" s="112"/>
      <c r="U2491" s="113"/>
      <c r="AF2491" s="2"/>
      <c r="AG2491" s="2"/>
      <c r="AS2491"/>
      <c r="AT2491"/>
    </row>
    <row r="2492" spans="20:46" ht="16.8">
      <c r="T2492" s="112"/>
      <c r="U2492" s="113"/>
      <c r="AF2492" s="2"/>
      <c r="AG2492" s="2"/>
      <c r="AS2492"/>
      <c r="AT2492"/>
    </row>
    <row r="2493" spans="20:46" ht="16.8">
      <c r="T2493" s="112"/>
      <c r="U2493" s="113"/>
      <c r="AF2493" s="2"/>
      <c r="AG2493" s="2"/>
      <c r="AS2493"/>
      <c r="AT2493"/>
    </row>
    <row r="2494" spans="20:46" ht="16.8">
      <c r="T2494" s="112"/>
      <c r="U2494" s="113"/>
      <c r="AF2494" s="2"/>
      <c r="AG2494" s="2"/>
      <c r="AS2494"/>
      <c r="AT2494"/>
    </row>
    <row r="2495" spans="20:46" ht="16.8">
      <c r="T2495" s="112"/>
      <c r="U2495" s="113"/>
      <c r="AF2495" s="2"/>
      <c r="AG2495" s="2"/>
      <c r="AS2495"/>
      <c r="AT2495"/>
    </row>
    <row r="2496" spans="20:46" ht="16.8">
      <c r="T2496" s="112"/>
      <c r="U2496" s="113"/>
      <c r="AF2496" s="2"/>
      <c r="AG2496" s="2"/>
      <c r="AS2496"/>
      <c r="AT2496"/>
    </row>
    <row r="2497" spans="20:46" ht="16.8">
      <c r="T2497" s="112"/>
      <c r="U2497" s="113"/>
      <c r="AF2497" s="2"/>
      <c r="AG2497" s="2"/>
      <c r="AS2497"/>
      <c r="AT2497"/>
    </row>
    <row r="2498" spans="20:46" ht="16.8">
      <c r="T2498" s="112"/>
      <c r="U2498" s="113"/>
      <c r="AF2498" s="2"/>
      <c r="AG2498" s="2"/>
      <c r="AS2498"/>
      <c r="AT2498"/>
    </row>
    <row r="2499" spans="20:46" ht="16.8">
      <c r="T2499" s="112"/>
      <c r="U2499" s="113"/>
      <c r="AF2499" s="2"/>
      <c r="AG2499" s="2"/>
      <c r="AS2499"/>
      <c r="AT2499"/>
    </row>
    <row r="2500" spans="20:46" ht="16.8">
      <c r="T2500" s="112"/>
      <c r="U2500" s="113"/>
      <c r="AF2500" s="2"/>
      <c r="AG2500" s="2"/>
      <c r="AS2500"/>
      <c r="AT2500"/>
    </row>
    <row r="2501" spans="20:46" ht="16.8">
      <c r="T2501" s="112"/>
      <c r="U2501" s="113"/>
      <c r="AF2501" s="2"/>
      <c r="AG2501" s="2"/>
      <c r="AS2501"/>
      <c r="AT2501"/>
    </row>
    <row r="2502" spans="20:46" ht="16.8">
      <c r="T2502" s="112"/>
      <c r="U2502" s="113"/>
      <c r="AF2502" s="2"/>
      <c r="AG2502" s="2"/>
      <c r="AS2502"/>
      <c r="AT2502"/>
    </row>
    <row r="2503" spans="20:46" ht="16.8">
      <c r="T2503" s="112"/>
      <c r="U2503" s="113"/>
      <c r="AF2503" s="2"/>
      <c r="AG2503" s="2"/>
      <c r="AS2503"/>
      <c r="AT2503"/>
    </row>
    <row r="2504" spans="20:46" ht="16.8">
      <c r="T2504" s="112"/>
      <c r="U2504" s="113"/>
      <c r="AF2504" s="2"/>
      <c r="AG2504" s="2"/>
      <c r="AS2504"/>
      <c r="AT2504"/>
    </row>
    <row r="2505" spans="20:46" ht="16.8">
      <c r="T2505" s="112"/>
      <c r="U2505" s="113"/>
      <c r="AF2505" s="2"/>
      <c r="AG2505" s="2"/>
      <c r="AS2505"/>
      <c r="AT2505"/>
    </row>
    <row r="2506" spans="20:46" ht="16.8">
      <c r="T2506" s="112"/>
      <c r="U2506" s="113"/>
      <c r="AF2506" s="2"/>
      <c r="AG2506" s="2"/>
      <c r="AS2506"/>
      <c r="AT2506"/>
    </row>
    <row r="2507" spans="20:46" ht="16.8">
      <c r="T2507" s="112"/>
      <c r="U2507" s="113"/>
      <c r="AF2507" s="2"/>
      <c r="AG2507" s="2"/>
      <c r="AS2507"/>
      <c r="AT2507"/>
    </row>
    <row r="2508" spans="20:46" ht="16.8">
      <c r="T2508" s="112"/>
      <c r="U2508" s="113"/>
      <c r="AF2508" s="2"/>
      <c r="AG2508" s="2"/>
      <c r="AS2508"/>
      <c r="AT2508"/>
    </row>
    <row r="2509" spans="20:46" ht="16.8">
      <c r="T2509" s="112"/>
      <c r="U2509" s="113"/>
      <c r="AF2509" s="2"/>
      <c r="AG2509" s="2"/>
      <c r="AS2509"/>
      <c r="AT2509"/>
    </row>
    <row r="2510" spans="20:46" ht="16.8">
      <c r="T2510" s="112"/>
      <c r="U2510" s="113"/>
      <c r="AF2510" s="2"/>
      <c r="AG2510" s="2"/>
      <c r="AS2510"/>
      <c r="AT2510"/>
    </row>
    <row r="2511" spans="20:46" ht="16.8">
      <c r="T2511" s="112"/>
      <c r="U2511" s="113"/>
      <c r="AF2511" s="2"/>
      <c r="AG2511" s="2"/>
      <c r="AS2511"/>
      <c r="AT2511"/>
    </row>
    <row r="2512" spans="20:46" ht="16.8">
      <c r="T2512" s="112"/>
      <c r="U2512" s="113"/>
      <c r="AF2512" s="2"/>
      <c r="AG2512" s="2"/>
      <c r="AS2512"/>
      <c r="AT2512"/>
    </row>
    <row r="2513" spans="20:46" ht="16.8">
      <c r="T2513" s="112"/>
      <c r="U2513" s="113"/>
      <c r="AF2513" s="2"/>
      <c r="AG2513" s="2"/>
      <c r="AS2513"/>
      <c r="AT2513"/>
    </row>
    <row r="2514" spans="20:46" ht="16.8">
      <c r="T2514" s="112"/>
      <c r="U2514" s="113"/>
      <c r="AF2514" s="2"/>
      <c r="AG2514" s="2"/>
      <c r="AS2514"/>
      <c r="AT2514"/>
    </row>
    <row r="2515" spans="20:46" ht="16.8">
      <c r="T2515" s="112"/>
      <c r="U2515" s="113"/>
      <c r="AF2515" s="2"/>
      <c r="AG2515" s="2"/>
      <c r="AS2515"/>
      <c r="AT2515"/>
    </row>
    <row r="2516" spans="20:46" ht="16.8">
      <c r="T2516" s="112"/>
      <c r="U2516" s="113"/>
      <c r="AF2516" s="2"/>
      <c r="AG2516" s="2"/>
      <c r="AS2516"/>
      <c r="AT2516"/>
    </row>
    <row r="2517" spans="20:46" ht="16.8">
      <c r="T2517" s="112"/>
      <c r="U2517" s="113"/>
      <c r="AF2517" s="2"/>
      <c r="AG2517" s="2"/>
      <c r="AS2517"/>
      <c r="AT2517"/>
    </row>
    <row r="2518" spans="20:46" ht="16.8">
      <c r="T2518" s="112"/>
      <c r="U2518" s="113"/>
      <c r="AF2518" s="2"/>
      <c r="AG2518" s="2"/>
      <c r="AS2518"/>
      <c r="AT2518"/>
    </row>
    <row r="2519" spans="20:46" ht="16.8">
      <c r="T2519" s="112"/>
      <c r="U2519" s="113"/>
      <c r="AF2519" s="2"/>
      <c r="AG2519" s="2"/>
      <c r="AS2519"/>
      <c r="AT2519"/>
    </row>
    <row r="2520" spans="20:46" ht="16.8">
      <c r="T2520" s="112"/>
      <c r="U2520" s="113"/>
      <c r="AF2520" s="2"/>
      <c r="AG2520" s="2"/>
      <c r="AS2520"/>
      <c r="AT2520"/>
    </row>
    <row r="2521" spans="20:46" ht="16.8">
      <c r="T2521" s="112"/>
      <c r="U2521" s="113"/>
      <c r="AF2521" s="2"/>
      <c r="AG2521" s="2"/>
      <c r="AS2521"/>
      <c r="AT2521"/>
    </row>
    <row r="2522" spans="20:46" ht="16.8">
      <c r="T2522" s="112"/>
      <c r="U2522" s="113"/>
      <c r="AF2522" s="2"/>
      <c r="AG2522" s="2"/>
      <c r="AS2522"/>
      <c r="AT2522"/>
    </row>
    <row r="2523" spans="20:46" ht="16.8">
      <c r="T2523" s="112"/>
      <c r="U2523" s="113"/>
      <c r="AF2523" s="2"/>
      <c r="AG2523" s="2"/>
      <c r="AS2523"/>
      <c r="AT2523"/>
    </row>
    <row r="2524" spans="20:46" ht="16.8">
      <c r="T2524" s="112"/>
      <c r="U2524" s="113"/>
      <c r="AF2524" s="2"/>
      <c r="AG2524" s="2"/>
      <c r="AS2524"/>
      <c r="AT2524"/>
    </row>
    <row r="2525" spans="20:46" ht="16.8">
      <c r="T2525" s="112"/>
      <c r="U2525" s="113"/>
      <c r="AF2525" s="2"/>
      <c r="AG2525" s="2"/>
      <c r="AS2525"/>
      <c r="AT2525"/>
    </row>
    <row r="2526" spans="20:46" ht="16.8">
      <c r="T2526" s="112"/>
      <c r="U2526" s="113"/>
      <c r="AF2526" s="2"/>
      <c r="AG2526" s="2"/>
      <c r="AS2526"/>
      <c r="AT2526"/>
    </row>
    <row r="2527" spans="20:46" ht="16.8">
      <c r="T2527" s="112"/>
      <c r="U2527" s="113"/>
      <c r="AF2527" s="2"/>
      <c r="AG2527" s="2"/>
      <c r="AS2527"/>
      <c r="AT2527"/>
    </row>
    <row r="2528" spans="20:46" ht="16.8">
      <c r="T2528" s="112"/>
      <c r="U2528" s="113"/>
      <c r="AF2528" s="2"/>
      <c r="AG2528" s="2"/>
      <c r="AS2528"/>
      <c r="AT2528"/>
    </row>
    <row r="2529" spans="20:46" ht="16.8">
      <c r="T2529" s="112"/>
      <c r="U2529" s="113"/>
      <c r="AF2529" s="2"/>
      <c r="AG2529" s="2"/>
      <c r="AS2529"/>
      <c r="AT2529"/>
    </row>
    <row r="2530" spans="20:46" ht="16.8">
      <c r="T2530" s="112"/>
      <c r="U2530" s="113"/>
      <c r="AF2530" s="2"/>
      <c r="AG2530" s="2"/>
      <c r="AS2530"/>
      <c r="AT2530"/>
    </row>
    <row r="2531" spans="20:46" ht="16.8">
      <c r="T2531" s="112"/>
      <c r="U2531" s="113"/>
      <c r="AF2531" s="2"/>
      <c r="AG2531" s="2"/>
      <c r="AS2531"/>
      <c r="AT2531"/>
    </row>
    <row r="2532" spans="20:46" ht="16.8">
      <c r="T2532" s="112"/>
      <c r="U2532" s="113"/>
      <c r="AF2532" s="2"/>
      <c r="AG2532" s="2"/>
      <c r="AS2532"/>
      <c r="AT2532"/>
    </row>
    <row r="2533" spans="20:46" ht="16.8">
      <c r="T2533" s="112"/>
      <c r="U2533" s="113"/>
      <c r="AF2533" s="2"/>
      <c r="AG2533" s="2"/>
      <c r="AS2533"/>
      <c r="AT2533"/>
    </row>
    <row r="2534" spans="20:46" ht="16.8">
      <c r="T2534" s="112"/>
      <c r="U2534" s="113"/>
      <c r="AF2534" s="2"/>
      <c r="AG2534" s="2"/>
      <c r="AS2534"/>
      <c r="AT2534"/>
    </row>
    <row r="2535" spans="20:46" ht="16.8">
      <c r="T2535" s="112"/>
      <c r="U2535" s="113"/>
      <c r="AF2535" s="2"/>
      <c r="AG2535" s="2"/>
      <c r="AS2535"/>
      <c r="AT2535"/>
    </row>
    <row r="2536" spans="20:46" ht="16.8">
      <c r="T2536" s="112"/>
      <c r="U2536" s="113"/>
      <c r="AF2536" s="2"/>
      <c r="AG2536" s="2"/>
      <c r="AS2536"/>
      <c r="AT2536"/>
    </row>
    <row r="2537" spans="20:46" ht="16.8">
      <c r="T2537" s="112"/>
      <c r="U2537" s="113"/>
      <c r="AF2537" s="2"/>
      <c r="AG2537" s="2"/>
      <c r="AS2537"/>
      <c r="AT2537"/>
    </row>
    <row r="2538" spans="20:46" ht="16.8">
      <c r="T2538" s="112"/>
      <c r="U2538" s="113"/>
      <c r="AF2538" s="2"/>
      <c r="AG2538" s="2"/>
      <c r="AS2538"/>
      <c r="AT2538"/>
    </row>
    <row r="2539" spans="20:46" ht="16.8">
      <c r="T2539" s="112"/>
      <c r="U2539" s="113"/>
      <c r="AF2539" s="2"/>
      <c r="AG2539" s="2"/>
      <c r="AS2539"/>
      <c r="AT2539"/>
    </row>
    <row r="2540" spans="20:46" ht="16.8">
      <c r="T2540" s="112"/>
      <c r="U2540" s="113"/>
      <c r="AF2540" s="2"/>
      <c r="AG2540" s="2"/>
      <c r="AS2540"/>
      <c r="AT2540"/>
    </row>
    <row r="2541" spans="20:46" ht="16.8">
      <c r="T2541" s="112"/>
      <c r="U2541" s="113"/>
      <c r="AF2541" s="2"/>
      <c r="AG2541" s="2"/>
      <c r="AS2541"/>
      <c r="AT2541"/>
    </row>
    <row r="2542" spans="20:46" ht="16.8">
      <c r="T2542" s="112"/>
      <c r="U2542" s="113"/>
      <c r="AF2542" s="2"/>
      <c r="AG2542" s="2"/>
      <c r="AS2542"/>
      <c r="AT2542"/>
    </row>
    <row r="2543" spans="20:46" ht="16.8">
      <c r="T2543" s="112"/>
      <c r="U2543" s="113"/>
      <c r="AF2543" s="2"/>
      <c r="AG2543" s="2"/>
      <c r="AS2543"/>
      <c r="AT2543"/>
    </row>
    <row r="2544" spans="20:46" ht="16.8">
      <c r="T2544" s="112"/>
      <c r="U2544" s="113"/>
      <c r="AF2544" s="2"/>
      <c r="AG2544" s="2"/>
      <c r="AS2544"/>
      <c r="AT2544"/>
    </row>
    <row r="2545" spans="20:46" ht="16.8">
      <c r="T2545" s="112"/>
      <c r="U2545" s="113"/>
      <c r="AF2545" s="2"/>
      <c r="AG2545" s="2"/>
      <c r="AS2545"/>
      <c r="AT2545"/>
    </row>
    <row r="2546" spans="20:46" ht="16.8">
      <c r="T2546" s="112"/>
      <c r="U2546" s="113"/>
      <c r="AF2546" s="2"/>
      <c r="AG2546" s="2"/>
      <c r="AS2546"/>
      <c r="AT2546"/>
    </row>
    <row r="2547" spans="20:46" ht="16.8">
      <c r="T2547" s="112"/>
      <c r="U2547" s="113"/>
      <c r="AF2547" s="2"/>
      <c r="AG2547" s="2"/>
      <c r="AS2547"/>
      <c r="AT2547"/>
    </row>
    <row r="2548" spans="20:46" ht="16.8">
      <c r="T2548" s="112"/>
      <c r="U2548" s="113"/>
      <c r="AF2548" s="2"/>
      <c r="AG2548" s="2"/>
      <c r="AS2548"/>
      <c r="AT2548"/>
    </row>
    <row r="2549" spans="20:46" ht="16.8">
      <c r="T2549" s="112"/>
      <c r="U2549" s="113"/>
      <c r="AF2549" s="2"/>
      <c r="AG2549" s="2"/>
      <c r="AS2549"/>
      <c r="AT2549"/>
    </row>
    <row r="2550" spans="20:46" ht="16.8">
      <c r="T2550" s="112"/>
      <c r="U2550" s="113"/>
      <c r="AF2550" s="2"/>
      <c r="AG2550" s="2"/>
      <c r="AS2550"/>
      <c r="AT2550"/>
    </row>
    <row r="2551" spans="20:46" ht="16.8">
      <c r="T2551" s="112"/>
      <c r="U2551" s="113"/>
      <c r="AF2551" s="2"/>
      <c r="AG2551" s="2"/>
      <c r="AS2551"/>
      <c r="AT2551"/>
    </row>
    <row r="2552" spans="20:46" ht="16.8">
      <c r="T2552" s="112"/>
      <c r="U2552" s="113"/>
      <c r="AF2552" s="2"/>
      <c r="AG2552" s="2"/>
      <c r="AS2552"/>
      <c r="AT2552"/>
    </row>
    <row r="2553" spans="20:46" ht="16.8">
      <c r="T2553" s="112"/>
      <c r="U2553" s="113"/>
      <c r="AF2553" s="2"/>
      <c r="AG2553" s="2"/>
      <c r="AS2553"/>
      <c r="AT2553"/>
    </row>
    <row r="2554" spans="20:46" ht="16.8">
      <c r="T2554" s="112"/>
      <c r="U2554" s="113"/>
      <c r="AF2554" s="2"/>
      <c r="AG2554" s="2"/>
      <c r="AS2554"/>
      <c r="AT2554"/>
    </row>
    <row r="2555" spans="20:46" ht="16.8">
      <c r="T2555" s="112"/>
      <c r="U2555" s="113"/>
      <c r="AF2555" s="2"/>
      <c r="AG2555" s="2"/>
      <c r="AS2555"/>
      <c r="AT2555"/>
    </row>
    <row r="2556" spans="20:46" ht="16.8">
      <c r="T2556" s="112"/>
      <c r="U2556" s="113"/>
      <c r="AF2556" s="2"/>
      <c r="AG2556" s="2"/>
      <c r="AS2556"/>
      <c r="AT2556"/>
    </row>
    <row r="2557" spans="20:46" ht="16.8">
      <c r="T2557" s="112"/>
      <c r="U2557" s="113"/>
      <c r="AF2557" s="2"/>
      <c r="AG2557" s="2"/>
      <c r="AS2557"/>
      <c r="AT2557"/>
    </row>
    <row r="2558" spans="20:46" ht="16.8">
      <c r="T2558" s="112"/>
      <c r="U2558" s="113"/>
      <c r="AF2558" s="2"/>
      <c r="AG2558" s="2"/>
      <c r="AS2558"/>
      <c r="AT2558"/>
    </row>
    <row r="2559" spans="20:46" ht="16.8">
      <c r="T2559" s="112"/>
      <c r="U2559" s="113"/>
      <c r="AF2559" s="2"/>
      <c r="AG2559" s="2"/>
      <c r="AS2559"/>
      <c r="AT2559"/>
    </row>
    <row r="2560" spans="20:46" ht="16.8">
      <c r="T2560" s="112"/>
      <c r="U2560" s="113"/>
      <c r="AF2560" s="2"/>
      <c r="AG2560" s="2"/>
      <c r="AS2560"/>
      <c r="AT2560"/>
    </row>
    <row r="2561" spans="20:46" ht="16.8">
      <c r="T2561" s="112"/>
      <c r="U2561" s="113"/>
      <c r="AF2561" s="2"/>
      <c r="AG2561" s="2"/>
      <c r="AS2561"/>
      <c r="AT2561"/>
    </row>
    <row r="2562" spans="20:46" ht="16.8">
      <c r="T2562" s="112"/>
      <c r="U2562" s="113"/>
      <c r="AF2562" s="2"/>
      <c r="AG2562" s="2"/>
      <c r="AS2562"/>
      <c r="AT2562"/>
    </row>
    <row r="2563" spans="20:46" ht="16.8">
      <c r="T2563" s="112"/>
      <c r="U2563" s="113"/>
      <c r="AF2563" s="2"/>
      <c r="AG2563" s="2"/>
      <c r="AS2563"/>
      <c r="AT2563"/>
    </row>
    <row r="2564" spans="20:46" ht="16.8">
      <c r="T2564" s="112"/>
      <c r="U2564" s="113"/>
      <c r="AF2564" s="2"/>
      <c r="AG2564" s="2"/>
      <c r="AS2564"/>
      <c r="AT2564"/>
    </row>
    <row r="2565" spans="20:46" ht="16.8">
      <c r="T2565" s="112"/>
      <c r="U2565" s="113"/>
      <c r="AF2565" s="2"/>
      <c r="AG2565" s="2"/>
      <c r="AS2565"/>
      <c r="AT2565"/>
    </row>
    <row r="2566" spans="20:46" ht="16.8">
      <c r="T2566" s="112"/>
      <c r="U2566" s="113"/>
      <c r="AF2566" s="2"/>
      <c r="AG2566" s="2"/>
      <c r="AS2566"/>
      <c r="AT2566"/>
    </row>
    <row r="2567" spans="20:46" ht="16.8">
      <c r="T2567" s="112"/>
      <c r="U2567" s="113"/>
      <c r="AF2567" s="2"/>
      <c r="AG2567" s="2"/>
      <c r="AS2567"/>
      <c r="AT2567"/>
    </row>
    <row r="2568" spans="20:46" ht="16.8">
      <c r="T2568" s="112"/>
      <c r="U2568" s="113"/>
      <c r="AF2568" s="2"/>
      <c r="AG2568" s="2"/>
      <c r="AS2568"/>
      <c r="AT2568"/>
    </row>
    <row r="2569" spans="20:46" ht="16.8">
      <c r="T2569" s="112"/>
      <c r="U2569" s="113"/>
      <c r="AF2569" s="2"/>
      <c r="AG2569" s="2"/>
      <c r="AS2569"/>
      <c r="AT2569"/>
    </row>
    <row r="2570" spans="20:46" ht="16.8">
      <c r="T2570" s="112"/>
      <c r="U2570" s="113"/>
      <c r="AF2570" s="2"/>
      <c r="AG2570" s="2"/>
      <c r="AS2570"/>
      <c r="AT2570"/>
    </row>
    <row r="2571" spans="20:46" ht="16.8">
      <c r="T2571" s="112"/>
      <c r="U2571" s="113"/>
      <c r="AF2571" s="2"/>
      <c r="AG2571" s="2"/>
      <c r="AS2571"/>
      <c r="AT2571"/>
    </row>
    <row r="2572" spans="20:46" ht="16.8">
      <c r="T2572" s="112"/>
      <c r="U2572" s="113"/>
      <c r="AF2572" s="2"/>
      <c r="AG2572" s="2"/>
      <c r="AS2572"/>
      <c r="AT2572"/>
    </row>
    <row r="2573" spans="20:46" ht="16.8">
      <c r="T2573" s="112"/>
      <c r="U2573" s="113"/>
      <c r="AF2573" s="2"/>
      <c r="AG2573" s="2"/>
      <c r="AS2573"/>
      <c r="AT2573"/>
    </row>
    <row r="2574" spans="20:46" ht="16.8">
      <c r="T2574" s="112"/>
      <c r="U2574" s="113"/>
      <c r="AF2574" s="2"/>
      <c r="AG2574" s="2"/>
      <c r="AS2574"/>
      <c r="AT2574"/>
    </row>
    <row r="2575" spans="20:46" ht="16.8">
      <c r="T2575" s="112"/>
      <c r="U2575" s="113"/>
      <c r="AF2575" s="2"/>
      <c r="AG2575" s="2"/>
      <c r="AS2575"/>
      <c r="AT2575"/>
    </row>
    <row r="2576" spans="20:46" ht="16.8">
      <c r="T2576" s="112"/>
      <c r="U2576" s="113"/>
      <c r="AF2576" s="2"/>
      <c r="AG2576" s="2"/>
      <c r="AS2576"/>
      <c r="AT2576"/>
    </row>
    <row r="2577" spans="20:46" ht="16.8">
      <c r="T2577" s="112"/>
      <c r="U2577" s="113"/>
      <c r="AF2577" s="2"/>
      <c r="AG2577" s="2"/>
      <c r="AS2577"/>
      <c r="AT2577"/>
    </row>
    <row r="2578" spans="20:46" ht="16.8">
      <c r="T2578" s="112"/>
      <c r="U2578" s="113"/>
      <c r="AF2578" s="2"/>
      <c r="AG2578" s="2"/>
      <c r="AS2578"/>
      <c r="AT2578"/>
    </row>
    <row r="2579" spans="20:46" ht="16.8">
      <c r="T2579" s="112"/>
      <c r="U2579" s="113"/>
      <c r="AF2579" s="2"/>
      <c r="AG2579" s="2"/>
      <c r="AS2579"/>
      <c r="AT2579"/>
    </row>
    <row r="2580" spans="20:46" ht="16.8">
      <c r="T2580" s="112"/>
      <c r="U2580" s="113"/>
      <c r="AF2580" s="2"/>
      <c r="AG2580" s="2"/>
      <c r="AS2580"/>
      <c r="AT2580"/>
    </row>
    <row r="2581" spans="20:46" ht="16.8">
      <c r="T2581" s="112"/>
      <c r="U2581" s="113"/>
      <c r="AF2581" s="2"/>
      <c r="AG2581" s="2"/>
      <c r="AS2581"/>
      <c r="AT2581"/>
    </row>
    <row r="2582" spans="20:46" ht="16.8">
      <c r="T2582" s="112"/>
      <c r="U2582" s="113"/>
      <c r="AF2582" s="2"/>
      <c r="AG2582" s="2"/>
      <c r="AS2582"/>
      <c r="AT2582"/>
    </row>
    <row r="2583" spans="20:46" ht="16.8">
      <c r="T2583" s="112"/>
      <c r="U2583" s="113"/>
      <c r="AF2583" s="2"/>
      <c r="AG2583" s="2"/>
      <c r="AS2583"/>
      <c r="AT2583"/>
    </row>
    <row r="2584" spans="20:46" ht="16.8">
      <c r="T2584" s="112"/>
      <c r="U2584" s="113"/>
      <c r="AF2584" s="2"/>
      <c r="AG2584" s="2"/>
      <c r="AS2584"/>
      <c r="AT2584"/>
    </row>
    <row r="2585" spans="20:46" ht="16.8">
      <c r="T2585" s="112"/>
      <c r="U2585" s="113"/>
      <c r="AF2585" s="2"/>
      <c r="AG2585" s="2"/>
      <c r="AS2585"/>
      <c r="AT2585"/>
    </row>
    <row r="2586" spans="20:46" ht="16.8">
      <c r="T2586" s="112"/>
      <c r="U2586" s="113"/>
      <c r="AF2586" s="2"/>
      <c r="AG2586" s="2"/>
      <c r="AS2586"/>
      <c r="AT2586"/>
    </row>
    <row r="2587" spans="20:46" ht="16.8">
      <c r="T2587" s="112"/>
      <c r="U2587" s="113"/>
      <c r="AF2587" s="2"/>
      <c r="AG2587" s="2"/>
      <c r="AS2587"/>
      <c r="AT2587"/>
    </row>
    <row r="2588" spans="20:46" ht="16.8">
      <c r="T2588" s="112"/>
      <c r="U2588" s="113"/>
      <c r="AF2588" s="2"/>
      <c r="AG2588" s="2"/>
      <c r="AS2588"/>
      <c r="AT2588"/>
    </row>
    <row r="2589" spans="20:46" ht="16.8">
      <c r="T2589" s="112"/>
      <c r="U2589" s="113"/>
      <c r="AF2589" s="2"/>
      <c r="AG2589" s="2"/>
      <c r="AS2589"/>
      <c r="AT2589"/>
    </row>
    <row r="2590" spans="20:46" ht="16.8">
      <c r="T2590" s="112"/>
      <c r="U2590" s="113"/>
      <c r="AF2590" s="2"/>
      <c r="AG2590" s="2"/>
      <c r="AS2590"/>
      <c r="AT2590"/>
    </row>
    <row r="2591" spans="20:46" ht="16.8">
      <c r="T2591" s="112"/>
      <c r="U2591" s="113"/>
      <c r="AF2591" s="2"/>
      <c r="AG2591" s="2"/>
      <c r="AS2591"/>
      <c r="AT2591"/>
    </row>
    <row r="2592" spans="20:46" ht="16.8">
      <c r="T2592" s="112"/>
      <c r="U2592" s="113"/>
      <c r="AF2592" s="2"/>
      <c r="AG2592" s="2"/>
      <c r="AS2592"/>
      <c r="AT2592"/>
    </row>
    <row r="2593" spans="20:46" ht="16.8">
      <c r="T2593" s="112"/>
      <c r="U2593" s="113"/>
      <c r="AF2593" s="2"/>
      <c r="AG2593" s="2"/>
      <c r="AS2593"/>
      <c r="AT2593"/>
    </row>
    <row r="2594" spans="20:46" ht="16.8">
      <c r="T2594" s="112"/>
      <c r="U2594" s="113"/>
      <c r="AF2594" s="2"/>
      <c r="AG2594" s="2"/>
      <c r="AS2594"/>
      <c r="AT2594"/>
    </row>
    <row r="2595" spans="20:46" ht="16.8">
      <c r="T2595" s="112"/>
      <c r="U2595" s="113"/>
      <c r="AF2595" s="2"/>
      <c r="AG2595" s="2"/>
      <c r="AS2595"/>
      <c r="AT2595"/>
    </row>
    <row r="2596" spans="20:46" ht="16.8">
      <c r="T2596" s="112"/>
      <c r="U2596" s="113"/>
      <c r="AF2596" s="2"/>
      <c r="AG2596" s="2"/>
      <c r="AS2596"/>
      <c r="AT2596"/>
    </row>
    <row r="2597" spans="20:46" ht="16.8">
      <c r="T2597" s="112"/>
      <c r="U2597" s="113"/>
      <c r="AF2597" s="2"/>
      <c r="AG2597" s="2"/>
      <c r="AS2597"/>
      <c r="AT2597"/>
    </row>
    <row r="2598" spans="20:46" ht="16.8">
      <c r="T2598" s="112"/>
      <c r="U2598" s="113"/>
      <c r="AF2598" s="2"/>
      <c r="AG2598" s="2"/>
      <c r="AS2598"/>
      <c r="AT2598"/>
    </row>
    <row r="2599" spans="20:46" ht="16.8">
      <c r="T2599" s="112"/>
      <c r="U2599" s="113"/>
      <c r="AF2599" s="2"/>
      <c r="AG2599" s="2"/>
      <c r="AS2599"/>
      <c r="AT2599"/>
    </row>
    <row r="2600" spans="20:46" ht="16.8">
      <c r="T2600" s="112"/>
      <c r="U2600" s="113"/>
      <c r="AF2600" s="2"/>
      <c r="AG2600" s="2"/>
      <c r="AS2600"/>
      <c r="AT2600"/>
    </row>
    <row r="2601" spans="20:46" ht="16.8">
      <c r="T2601" s="112"/>
      <c r="U2601" s="113"/>
      <c r="AF2601" s="2"/>
      <c r="AG2601" s="2"/>
      <c r="AS2601"/>
      <c r="AT2601"/>
    </row>
    <row r="2602" spans="20:46" ht="16.8">
      <c r="T2602" s="112"/>
      <c r="U2602" s="113"/>
      <c r="AF2602" s="2"/>
      <c r="AG2602" s="2"/>
      <c r="AS2602"/>
      <c r="AT2602"/>
    </row>
    <row r="2603" spans="20:46" ht="16.8">
      <c r="T2603" s="112"/>
      <c r="U2603" s="113"/>
      <c r="AF2603" s="2"/>
      <c r="AG2603" s="2"/>
      <c r="AS2603"/>
      <c r="AT2603"/>
    </row>
    <row r="2604" spans="20:46" ht="16.8">
      <c r="T2604" s="112"/>
      <c r="U2604" s="113"/>
      <c r="AF2604" s="2"/>
      <c r="AG2604" s="2"/>
      <c r="AS2604"/>
      <c r="AT2604"/>
    </row>
    <row r="2605" spans="20:46" ht="16.8">
      <c r="T2605" s="112"/>
      <c r="U2605" s="113"/>
      <c r="AF2605" s="2"/>
      <c r="AG2605" s="2"/>
      <c r="AS2605"/>
      <c r="AT2605"/>
    </row>
    <row r="2606" spans="20:46" ht="16.8">
      <c r="T2606" s="112"/>
      <c r="U2606" s="113"/>
      <c r="AF2606" s="2"/>
      <c r="AG2606" s="2"/>
      <c r="AS2606"/>
      <c r="AT2606"/>
    </row>
    <row r="2607" spans="20:46" ht="16.8">
      <c r="T2607" s="112"/>
      <c r="U2607" s="113"/>
      <c r="AF2607" s="2"/>
      <c r="AG2607" s="2"/>
      <c r="AS2607"/>
      <c r="AT2607"/>
    </row>
    <row r="2608" spans="20:46" ht="16.8">
      <c r="T2608" s="112"/>
      <c r="U2608" s="113"/>
      <c r="AF2608" s="2"/>
      <c r="AG2608" s="2"/>
      <c r="AS2608"/>
      <c r="AT2608"/>
    </row>
    <row r="2609" spans="20:46" ht="16.8">
      <c r="T2609" s="112"/>
      <c r="U2609" s="113"/>
      <c r="AF2609" s="2"/>
      <c r="AG2609" s="2"/>
      <c r="AS2609"/>
      <c r="AT2609"/>
    </row>
    <row r="2610" spans="20:46" ht="16.8">
      <c r="T2610" s="112"/>
      <c r="U2610" s="113"/>
      <c r="AF2610" s="2"/>
      <c r="AG2610" s="2"/>
      <c r="AS2610"/>
      <c r="AT2610"/>
    </row>
    <row r="2611" spans="20:46" ht="16.8">
      <c r="T2611" s="112"/>
      <c r="U2611" s="113"/>
      <c r="AF2611" s="2"/>
      <c r="AG2611" s="2"/>
      <c r="AS2611"/>
      <c r="AT2611"/>
    </row>
    <row r="2612" spans="20:46" ht="16.8">
      <c r="T2612" s="112"/>
      <c r="U2612" s="113"/>
      <c r="AF2612" s="2"/>
      <c r="AG2612" s="2"/>
      <c r="AS2612"/>
      <c r="AT2612"/>
    </row>
    <row r="2613" spans="20:46" ht="16.8">
      <c r="T2613" s="112"/>
      <c r="U2613" s="113"/>
      <c r="AF2613" s="2"/>
      <c r="AG2613" s="2"/>
      <c r="AS2613"/>
      <c r="AT2613"/>
    </row>
    <row r="2614" spans="20:46" ht="16.8">
      <c r="T2614" s="112"/>
      <c r="U2614" s="113"/>
      <c r="AF2614" s="2"/>
      <c r="AG2614" s="2"/>
      <c r="AS2614"/>
      <c r="AT2614"/>
    </row>
    <row r="2615" spans="20:46" ht="16.8">
      <c r="T2615" s="112"/>
      <c r="U2615" s="113"/>
      <c r="AF2615" s="2"/>
      <c r="AG2615" s="2"/>
      <c r="AS2615"/>
      <c r="AT2615"/>
    </row>
    <row r="2616" spans="20:46" ht="16.8">
      <c r="T2616" s="112"/>
      <c r="U2616" s="113"/>
      <c r="AF2616" s="2"/>
      <c r="AG2616" s="2"/>
      <c r="AS2616"/>
      <c r="AT2616"/>
    </row>
    <row r="2617" spans="20:46" ht="16.8">
      <c r="T2617" s="112"/>
      <c r="U2617" s="113"/>
      <c r="AF2617" s="2"/>
      <c r="AG2617" s="2"/>
      <c r="AS2617"/>
      <c r="AT2617"/>
    </row>
    <row r="2618" spans="20:46" ht="16.8">
      <c r="T2618" s="112"/>
      <c r="U2618" s="113"/>
      <c r="AF2618" s="2"/>
      <c r="AG2618" s="2"/>
      <c r="AS2618"/>
      <c r="AT2618"/>
    </row>
    <row r="2619" spans="20:46" ht="16.8">
      <c r="T2619" s="112"/>
      <c r="U2619" s="113"/>
      <c r="AF2619" s="2"/>
      <c r="AG2619" s="2"/>
      <c r="AS2619"/>
      <c r="AT2619"/>
    </row>
    <row r="2620" spans="20:46" ht="16.8">
      <c r="T2620" s="112"/>
      <c r="U2620" s="113"/>
      <c r="AF2620" s="2"/>
      <c r="AG2620" s="2"/>
      <c r="AS2620"/>
      <c r="AT2620"/>
    </row>
    <row r="2621" spans="20:46" ht="16.8">
      <c r="T2621" s="112"/>
      <c r="U2621" s="113"/>
      <c r="AF2621" s="2"/>
      <c r="AG2621" s="2"/>
      <c r="AS2621"/>
      <c r="AT2621"/>
    </row>
    <row r="2622" spans="20:46" ht="16.8">
      <c r="T2622" s="112"/>
      <c r="U2622" s="113"/>
      <c r="AF2622" s="2"/>
      <c r="AG2622" s="2"/>
      <c r="AS2622"/>
      <c r="AT2622"/>
    </row>
    <row r="2623" spans="20:46" ht="16.8">
      <c r="T2623" s="112"/>
      <c r="U2623" s="113"/>
      <c r="AF2623" s="2"/>
      <c r="AG2623" s="2"/>
      <c r="AS2623"/>
      <c r="AT2623"/>
    </row>
    <row r="2624" spans="20:46" ht="16.8">
      <c r="T2624" s="112"/>
      <c r="U2624" s="113"/>
      <c r="AF2624" s="2"/>
      <c r="AG2624" s="2"/>
      <c r="AS2624"/>
      <c r="AT2624"/>
    </row>
    <row r="2625" spans="20:46" ht="16.8">
      <c r="T2625" s="112"/>
      <c r="U2625" s="113"/>
      <c r="AF2625" s="2"/>
      <c r="AG2625" s="2"/>
      <c r="AS2625"/>
      <c r="AT2625"/>
    </row>
    <row r="2626" spans="20:46" ht="16.8">
      <c r="T2626" s="112"/>
      <c r="U2626" s="113"/>
      <c r="AF2626" s="2"/>
      <c r="AG2626" s="2"/>
      <c r="AS2626"/>
      <c r="AT2626"/>
    </row>
    <row r="2627" spans="20:46" ht="16.8">
      <c r="T2627" s="112"/>
      <c r="U2627" s="113"/>
      <c r="AF2627" s="2"/>
      <c r="AG2627" s="2"/>
      <c r="AS2627"/>
      <c r="AT2627"/>
    </row>
    <row r="2628" spans="20:46" ht="16.8">
      <c r="T2628" s="112"/>
      <c r="U2628" s="113"/>
      <c r="AF2628" s="2"/>
      <c r="AG2628" s="2"/>
      <c r="AS2628"/>
      <c r="AT2628"/>
    </row>
    <row r="2629" spans="20:46" ht="16.8">
      <c r="T2629" s="112"/>
      <c r="U2629" s="113"/>
      <c r="AF2629" s="2"/>
      <c r="AG2629" s="2"/>
      <c r="AS2629"/>
      <c r="AT2629"/>
    </row>
    <row r="2630" spans="20:46" ht="16.8">
      <c r="T2630" s="112"/>
      <c r="U2630" s="113"/>
      <c r="AF2630" s="2"/>
      <c r="AG2630" s="2"/>
      <c r="AS2630"/>
      <c r="AT2630"/>
    </row>
    <row r="2631" spans="20:46" ht="16.8">
      <c r="T2631" s="112"/>
      <c r="U2631" s="113"/>
      <c r="AF2631" s="2"/>
      <c r="AG2631" s="2"/>
      <c r="AS2631"/>
      <c r="AT2631"/>
    </row>
    <row r="2632" spans="20:46" ht="16.8">
      <c r="T2632" s="112"/>
      <c r="U2632" s="113"/>
      <c r="AF2632" s="2"/>
      <c r="AG2632" s="2"/>
      <c r="AS2632"/>
      <c r="AT2632"/>
    </row>
    <row r="2633" spans="20:46" ht="16.8">
      <c r="T2633" s="112"/>
      <c r="U2633" s="113"/>
      <c r="AF2633" s="2"/>
      <c r="AG2633" s="2"/>
      <c r="AS2633"/>
      <c r="AT2633"/>
    </row>
    <row r="2634" spans="20:46" ht="16.8">
      <c r="T2634" s="112"/>
      <c r="U2634" s="113"/>
      <c r="AF2634" s="2"/>
      <c r="AG2634" s="2"/>
      <c r="AS2634"/>
      <c r="AT2634"/>
    </row>
    <row r="2635" spans="20:46" ht="16.8">
      <c r="T2635" s="112"/>
      <c r="U2635" s="113"/>
      <c r="AF2635" s="2"/>
      <c r="AG2635" s="2"/>
      <c r="AS2635"/>
      <c r="AT2635"/>
    </row>
    <row r="2636" spans="20:46" ht="16.8">
      <c r="T2636" s="112"/>
      <c r="U2636" s="113"/>
      <c r="AF2636" s="2"/>
      <c r="AG2636" s="2"/>
      <c r="AS2636"/>
      <c r="AT2636"/>
    </row>
    <row r="2637" spans="20:46" ht="16.8">
      <c r="T2637" s="112"/>
      <c r="U2637" s="113"/>
      <c r="AF2637" s="2"/>
      <c r="AG2637" s="2"/>
      <c r="AS2637"/>
      <c r="AT2637"/>
    </row>
    <row r="2638" spans="20:46" ht="16.8">
      <c r="T2638" s="112"/>
      <c r="U2638" s="113"/>
      <c r="AF2638" s="2"/>
      <c r="AG2638" s="2"/>
      <c r="AS2638"/>
      <c r="AT2638"/>
    </row>
    <row r="2639" spans="20:46" ht="16.8">
      <c r="T2639" s="112"/>
      <c r="U2639" s="113"/>
      <c r="AF2639" s="2"/>
      <c r="AG2639" s="2"/>
      <c r="AS2639"/>
      <c r="AT2639"/>
    </row>
    <row r="2640" spans="20:46" ht="16.8">
      <c r="T2640" s="112"/>
      <c r="U2640" s="113"/>
      <c r="AF2640" s="2"/>
      <c r="AG2640" s="2"/>
      <c r="AS2640"/>
      <c r="AT2640"/>
    </row>
    <row r="2641" spans="20:46" ht="16.8">
      <c r="T2641" s="112"/>
      <c r="U2641" s="113"/>
      <c r="AF2641" s="2"/>
      <c r="AG2641" s="2"/>
      <c r="AS2641"/>
      <c r="AT2641"/>
    </row>
    <row r="2642" spans="20:46" ht="16.8">
      <c r="T2642" s="112"/>
      <c r="U2642" s="113"/>
      <c r="AF2642" s="2"/>
      <c r="AG2642" s="2"/>
      <c r="AS2642"/>
      <c r="AT2642"/>
    </row>
    <row r="2643" spans="20:46" ht="16.8">
      <c r="T2643" s="112"/>
      <c r="U2643" s="113"/>
      <c r="AF2643" s="2"/>
      <c r="AG2643" s="2"/>
      <c r="AS2643"/>
      <c r="AT2643"/>
    </row>
    <row r="2644" spans="20:46" ht="16.8">
      <c r="T2644" s="112"/>
      <c r="U2644" s="113"/>
      <c r="AF2644" s="2"/>
      <c r="AG2644" s="2"/>
      <c r="AS2644"/>
      <c r="AT2644"/>
    </row>
    <row r="2645" spans="20:46" ht="16.8">
      <c r="T2645" s="112"/>
      <c r="U2645" s="113"/>
      <c r="AF2645" s="2"/>
      <c r="AG2645" s="2"/>
      <c r="AS2645"/>
      <c r="AT2645"/>
    </row>
    <row r="2646" spans="20:46" ht="16.8">
      <c r="T2646" s="112"/>
      <c r="U2646" s="113"/>
      <c r="AF2646" s="2"/>
      <c r="AG2646" s="2"/>
      <c r="AS2646"/>
      <c r="AT2646"/>
    </row>
    <row r="2647" spans="20:46" ht="16.8">
      <c r="T2647" s="112"/>
      <c r="U2647" s="113"/>
      <c r="AF2647" s="2"/>
      <c r="AG2647" s="2"/>
      <c r="AS2647"/>
      <c r="AT2647"/>
    </row>
    <row r="2648" spans="20:46" ht="16.8">
      <c r="T2648" s="112"/>
      <c r="U2648" s="113"/>
      <c r="AF2648" s="2"/>
      <c r="AG2648" s="2"/>
      <c r="AS2648"/>
      <c r="AT2648"/>
    </row>
    <row r="2649" spans="20:46" ht="16.8">
      <c r="T2649" s="112"/>
      <c r="U2649" s="113"/>
      <c r="AF2649" s="2"/>
      <c r="AG2649" s="2"/>
      <c r="AS2649"/>
      <c r="AT2649"/>
    </row>
    <row r="2650" spans="20:46" ht="16.8">
      <c r="T2650" s="112"/>
      <c r="U2650" s="113"/>
      <c r="AF2650" s="2"/>
      <c r="AG2650" s="2"/>
      <c r="AS2650"/>
      <c r="AT2650"/>
    </row>
    <row r="2651" spans="20:46" ht="16.8">
      <c r="T2651" s="112"/>
      <c r="U2651" s="113"/>
      <c r="AF2651" s="2"/>
      <c r="AG2651" s="2"/>
      <c r="AS2651"/>
      <c r="AT2651"/>
    </row>
    <row r="2652" spans="20:46" ht="16.8">
      <c r="T2652" s="112"/>
      <c r="U2652" s="113"/>
      <c r="AF2652" s="2"/>
      <c r="AG2652" s="2"/>
      <c r="AS2652"/>
      <c r="AT2652"/>
    </row>
    <row r="2653" spans="20:46" ht="16.8">
      <c r="T2653" s="112"/>
      <c r="U2653" s="113"/>
      <c r="AF2653" s="2"/>
      <c r="AG2653" s="2"/>
      <c r="AS2653"/>
      <c r="AT2653"/>
    </row>
    <row r="2654" spans="20:46" ht="16.8">
      <c r="T2654" s="112"/>
      <c r="U2654" s="113"/>
      <c r="AF2654" s="2"/>
      <c r="AG2654" s="2"/>
      <c r="AS2654"/>
      <c r="AT2654"/>
    </row>
    <row r="2655" spans="20:46" ht="16.8">
      <c r="T2655" s="112"/>
      <c r="U2655" s="113"/>
      <c r="AF2655" s="2"/>
      <c r="AG2655" s="2"/>
      <c r="AS2655"/>
      <c r="AT2655"/>
    </row>
    <row r="2656" spans="20:46" ht="16.8">
      <c r="T2656" s="112"/>
      <c r="U2656" s="113"/>
      <c r="AF2656" s="2"/>
      <c r="AG2656" s="2"/>
      <c r="AS2656"/>
      <c r="AT2656"/>
    </row>
    <row r="2657" spans="20:46" ht="16.8">
      <c r="T2657" s="112"/>
      <c r="U2657" s="113"/>
      <c r="AF2657" s="2"/>
      <c r="AG2657" s="2"/>
      <c r="AS2657"/>
      <c r="AT2657"/>
    </row>
    <row r="2658" spans="20:46" ht="16.8">
      <c r="T2658" s="112"/>
      <c r="U2658" s="113"/>
      <c r="AF2658" s="2"/>
      <c r="AG2658" s="2"/>
      <c r="AS2658"/>
      <c r="AT2658"/>
    </row>
    <row r="2659" spans="20:46" ht="16.8">
      <c r="T2659" s="112"/>
      <c r="U2659" s="113"/>
      <c r="AF2659" s="2"/>
      <c r="AG2659" s="2"/>
      <c r="AS2659"/>
      <c r="AT2659"/>
    </row>
    <row r="2660" spans="20:46" ht="16.8">
      <c r="T2660" s="112"/>
      <c r="U2660" s="113"/>
      <c r="AF2660" s="2"/>
      <c r="AG2660" s="2"/>
      <c r="AS2660"/>
      <c r="AT2660"/>
    </row>
    <row r="2661" spans="20:46" ht="16.8">
      <c r="T2661" s="112"/>
      <c r="U2661" s="113"/>
      <c r="AF2661" s="2"/>
      <c r="AG2661" s="2"/>
      <c r="AS2661"/>
      <c r="AT2661"/>
    </row>
    <row r="2662" spans="20:46" ht="16.8">
      <c r="T2662" s="112"/>
      <c r="U2662" s="113"/>
      <c r="AF2662" s="2"/>
      <c r="AG2662" s="2"/>
      <c r="AS2662"/>
      <c r="AT2662"/>
    </row>
    <row r="2663" spans="20:46" ht="16.8">
      <c r="T2663" s="112"/>
      <c r="U2663" s="113"/>
      <c r="AF2663" s="2"/>
      <c r="AG2663" s="2"/>
      <c r="AS2663"/>
      <c r="AT2663"/>
    </row>
    <row r="2664" spans="20:46" ht="16.8">
      <c r="T2664" s="112"/>
      <c r="U2664" s="113"/>
      <c r="AF2664" s="2"/>
      <c r="AG2664" s="2"/>
      <c r="AS2664"/>
      <c r="AT2664"/>
    </row>
    <row r="2665" spans="20:46" ht="16.8">
      <c r="T2665" s="112"/>
      <c r="U2665" s="113"/>
      <c r="AF2665" s="2"/>
      <c r="AG2665" s="2"/>
      <c r="AS2665"/>
      <c r="AT2665"/>
    </row>
    <row r="2666" spans="20:46" ht="16.8">
      <c r="T2666" s="112"/>
      <c r="U2666" s="113"/>
      <c r="AF2666" s="2"/>
      <c r="AG2666" s="2"/>
      <c r="AS2666"/>
      <c r="AT2666"/>
    </row>
    <row r="2667" spans="20:46" ht="16.8">
      <c r="T2667" s="112"/>
      <c r="U2667" s="113"/>
      <c r="AF2667" s="2"/>
      <c r="AG2667" s="2"/>
      <c r="AS2667"/>
      <c r="AT2667"/>
    </row>
    <row r="2668" spans="20:46" ht="16.8">
      <c r="T2668" s="112"/>
      <c r="U2668" s="113"/>
      <c r="AF2668" s="2"/>
      <c r="AG2668" s="2"/>
      <c r="AS2668"/>
      <c r="AT2668"/>
    </row>
    <row r="2669" spans="20:46" ht="16.8">
      <c r="T2669" s="112"/>
      <c r="U2669" s="113"/>
      <c r="AF2669" s="2"/>
      <c r="AG2669" s="2"/>
      <c r="AS2669"/>
      <c r="AT2669"/>
    </row>
    <row r="2670" spans="20:46" ht="16.8">
      <c r="T2670" s="112"/>
      <c r="U2670" s="113"/>
      <c r="AF2670" s="2"/>
      <c r="AG2670" s="2"/>
      <c r="AS2670"/>
      <c r="AT2670"/>
    </row>
    <row r="2671" spans="20:46" ht="16.8">
      <c r="T2671" s="112"/>
      <c r="U2671" s="113"/>
      <c r="AF2671" s="2"/>
      <c r="AG2671" s="2"/>
      <c r="AS2671"/>
      <c r="AT2671"/>
    </row>
    <row r="2672" spans="20:46" ht="16.8">
      <c r="T2672" s="112"/>
      <c r="U2672" s="113"/>
      <c r="AF2672" s="2"/>
      <c r="AG2672" s="2"/>
      <c r="AS2672"/>
      <c r="AT2672"/>
    </row>
    <row r="2673" spans="20:46" ht="16.8">
      <c r="T2673" s="112"/>
      <c r="U2673" s="113"/>
      <c r="AF2673" s="2"/>
      <c r="AG2673" s="2"/>
      <c r="AS2673"/>
      <c r="AT2673"/>
    </row>
    <row r="2674" spans="20:46" ht="16.8">
      <c r="T2674" s="112"/>
      <c r="U2674" s="113"/>
      <c r="AF2674" s="2"/>
      <c r="AG2674" s="2"/>
      <c r="AS2674"/>
      <c r="AT2674"/>
    </row>
    <row r="2675" spans="20:46" ht="16.8">
      <c r="T2675" s="112"/>
      <c r="U2675" s="113"/>
      <c r="AF2675" s="2"/>
      <c r="AG2675" s="2"/>
      <c r="AS2675"/>
      <c r="AT2675"/>
    </row>
    <row r="2676" spans="20:46" ht="16.8">
      <c r="T2676" s="112"/>
      <c r="U2676" s="113"/>
      <c r="AF2676" s="2"/>
      <c r="AG2676" s="2"/>
      <c r="AS2676"/>
      <c r="AT2676"/>
    </row>
    <row r="2677" spans="20:46" ht="16.8">
      <c r="T2677" s="112"/>
      <c r="U2677" s="113"/>
      <c r="AF2677" s="2"/>
      <c r="AG2677" s="2"/>
      <c r="AS2677"/>
      <c r="AT2677"/>
    </row>
    <row r="2678" spans="20:46" ht="16.8">
      <c r="T2678" s="112"/>
      <c r="U2678" s="113"/>
      <c r="AF2678" s="2"/>
      <c r="AG2678" s="2"/>
      <c r="AS2678"/>
      <c r="AT2678"/>
    </row>
    <row r="2679" spans="20:46" ht="16.8">
      <c r="T2679" s="112"/>
      <c r="U2679" s="113"/>
      <c r="AF2679" s="2"/>
      <c r="AG2679" s="2"/>
      <c r="AS2679"/>
      <c r="AT2679"/>
    </row>
    <row r="2680" spans="20:46" ht="16.8">
      <c r="T2680" s="112"/>
      <c r="U2680" s="113"/>
      <c r="AF2680" s="2"/>
      <c r="AG2680" s="2"/>
      <c r="AS2680"/>
      <c r="AT2680"/>
    </row>
    <row r="2681" spans="20:46" ht="16.8">
      <c r="T2681" s="112"/>
      <c r="U2681" s="113"/>
      <c r="AF2681" s="2"/>
      <c r="AG2681" s="2"/>
      <c r="AS2681"/>
      <c r="AT2681"/>
    </row>
    <row r="2682" spans="20:46" ht="16.8">
      <c r="T2682" s="112"/>
      <c r="U2682" s="113"/>
      <c r="AF2682" s="2"/>
      <c r="AG2682" s="2"/>
      <c r="AS2682"/>
      <c r="AT2682"/>
    </row>
    <row r="2683" spans="20:46" ht="16.8">
      <c r="T2683" s="112"/>
      <c r="U2683" s="113"/>
      <c r="AF2683" s="2"/>
      <c r="AG2683" s="2"/>
      <c r="AS2683"/>
      <c r="AT2683"/>
    </row>
    <row r="2684" spans="20:46" ht="16.8">
      <c r="T2684" s="112"/>
      <c r="U2684" s="113"/>
      <c r="AF2684" s="2"/>
      <c r="AG2684" s="2"/>
      <c r="AS2684"/>
      <c r="AT2684"/>
    </row>
    <row r="2685" spans="20:46" ht="16.8">
      <c r="T2685" s="112"/>
      <c r="U2685" s="113"/>
      <c r="AF2685" s="2"/>
      <c r="AG2685" s="2"/>
      <c r="AS2685"/>
      <c r="AT2685"/>
    </row>
    <row r="2686" spans="20:46" ht="16.8">
      <c r="T2686" s="112"/>
      <c r="U2686" s="113"/>
      <c r="AF2686" s="2"/>
      <c r="AG2686" s="2"/>
      <c r="AS2686"/>
      <c r="AT2686"/>
    </row>
    <row r="2687" spans="20:46" ht="16.8">
      <c r="T2687" s="112"/>
      <c r="U2687" s="113"/>
      <c r="AF2687" s="2"/>
      <c r="AG2687" s="2"/>
      <c r="AS2687"/>
      <c r="AT2687"/>
    </row>
    <row r="2688" spans="20:46" ht="16.8">
      <c r="T2688" s="112"/>
      <c r="U2688" s="113"/>
      <c r="AF2688" s="2"/>
      <c r="AG2688" s="2"/>
      <c r="AS2688"/>
      <c r="AT2688"/>
    </row>
    <row r="2689" spans="20:46" ht="16.8">
      <c r="T2689" s="112"/>
      <c r="U2689" s="113"/>
      <c r="AF2689" s="2"/>
      <c r="AG2689" s="2"/>
      <c r="AS2689"/>
      <c r="AT2689"/>
    </row>
    <row r="2690" spans="20:46" ht="16.8">
      <c r="T2690" s="112"/>
      <c r="U2690" s="113"/>
      <c r="AF2690" s="2"/>
      <c r="AG2690" s="2"/>
      <c r="AS2690"/>
      <c r="AT2690"/>
    </row>
    <row r="2691" spans="20:46" ht="16.8">
      <c r="T2691" s="112"/>
      <c r="U2691" s="113"/>
      <c r="AF2691" s="2"/>
      <c r="AG2691" s="2"/>
      <c r="AS2691"/>
      <c r="AT2691"/>
    </row>
    <row r="2692" spans="20:46" ht="16.8">
      <c r="T2692" s="112"/>
      <c r="U2692" s="113"/>
      <c r="AF2692" s="2"/>
      <c r="AG2692" s="2"/>
      <c r="AS2692"/>
      <c r="AT2692"/>
    </row>
    <row r="2693" spans="20:46" ht="16.8">
      <c r="T2693" s="112"/>
      <c r="U2693" s="113"/>
      <c r="AF2693" s="2"/>
      <c r="AG2693" s="2"/>
      <c r="AS2693"/>
      <c r="AT2693"/>
    </row>
    <row r="2694" spans="20:46" ht="16.8">
      <c r="T2694" s="112"/>
      <c r="U2694" s="113"/>
      <c r="AF2694" s="2"/>
      <c r="AG2694" s="2"/>
      <c r="AS2694"/>
      <c r="AT2694"/>
    </row>
    <row r="2695" spans="20:46" ht="16.8">
      <c r="T2695" s="112"/>
      <c r="U2695" s="113"/>
      <c r="AF2695" s="2"/>
      <c r="AG2695" s="2"/>
      <c r="AS2695"/>
      <c r="AT2695"/>
    </row>
    <row r="2696" spans="20:46" ht="16.8">
      <c r="T2696" s="112"/>
      <c r="U2696" s="113"/>
      <c r="AF2696" s="2"/>
      <c r="AG2696" s="2"/>
      <c r="AS2696"/>
      <c r="AT2696"/>
    </row>
    <row r="2697" spans="20:46" ht="16.8">
      <c r="T2697" s="112"/>
      <c r="U2697" s="113"/>
      <c r="AF2697" s="2"/>
      <c r="AG2697" s="2"/>
      <c r="AS2697"/>
      <c r="AT2697"/>
    </row>
    <row r="2698" spans="20:46" ht="16.8">
      <c r="T2698" s="112"/>
      <c r="U2698" s="113"/>
      <c r="AF2698" s="2"/>
      <c r="AG2698" s="2"/>
      <c r="AS2698"/>
      <c r="AT2698"/>
    </row>
    <row r="2699" spans="20:46" ht="16.8">
      <c r="T2699" s="112"/>
      <c r="U2699" s="113"/>
      <c r="AF2699" s="2"/>
      <c r="AG2699" s="2"/>
      <c r="AS2699"/>
      <c r="AT2699"/>
    </row>
    <row r="2700" spans="20:46" ht="16.8">
      <c r="T2700" s="112"/>
      <c r="U2700" s="113"/>
      <c r="AF2700" s="2"/>
      <c r="AG2700" s="2"/>
      <c r="AS2700"/>
      <c r="AT2700"/>
    </row>
    <row r="2701" spans="20:46" ht="16.8">
      <c r="T2701" s="112"/>
      <c r="U2701" s="113"/>
      <c r="AF2701" s="2"/>
      <c r="AG2701" s="2"/>
      <c r="AS2701"/>
      <c r="AT2701"/>
    </row>
    <row r="2702" spans="20:46" ht="16.8">
      <c r="T2702" s="112"/>
      <c r="U2702" s="113"/>
      <c r="AF2702" s="2"/>
      <c r="AG2702" s="2"/>
      <c r="AS2702"/>
      <c r="AT2702"/>
    </row>
    <row r="2703" spans="20:46" ht="16.8">
      <c r="T2703" s="112"/>
      <c r="U2703" s="113"/>
      <c r="AF2703" s="2"/>
      <c r="AG2703" s="2"/>
      <c r="AS2703"/>
      <c r="AT2703"/>
    </row>
    <row r="2704" spans="20:46" ht="16.8">
      <c r="T2704" s="112"/>
      <c r="U2704" s="113"/>
      <c r="AF2704" s="2"/>
      <c r="AG2704" s="2"/>
      <c r="AS2704"/>
      <c r="AT2704"/>
    </row>
    <row r="2705" spans="20:46" ht="16.8">
      <c r="T2705" s="112"/>
      <c r="U2705" s="113"/>
      <c r="AF2705" s="2"/>
      <c r="AG2705" s="2"/>
      <c r="AS2705"/>
      <c r="AT2705"/>
    </row>
    <row r="2706" spans="20:46" ht="16.8">
      <c r="T2706" s="112"/>
      <c r="U2706" s="113"/>
      <c r="AF2706" s="2"/>
      <c r="AG2706" s="2"/>
      <c r="AS2706"/>
      <c r="AT2706"/>
    </row>
    <row r="2707" spans="20:46" ht="16.8">
      <c r="T2707" s="112"/>
      <c r="U2707" s="113"/>
      <c r="AF2707" s="2"/>
      <c r="AG2707" s="2"/>
      <c r="AS2707"/>
      <c r="AT2707"/>
    </row>
    <row r="2708" spans="20:46" ht="16.8">
      <c r="T2708" s="112"/>
      <c r="U2708" s="113"/>
      <c r="AF2708" s="2"/>
      <c r="AG2708" s="2"/>
      <c r="AS2708"/>
      <c r="AT2708"/>
    </row>
    <row r="2709" spans="20:46" ht="16.8">
      <c r="T2709" s="112"/>
      <c r="U2709" s="113"/>
      <c r="AF2709" s="2"/>
      <c r="AG2709" s="2"/>
      <c r="AS2709"/>
      <c r="AT2709"/>
    </row>
    <row r="2710" spans="20:46" ht="16.8">
      <c r="T2710" s="112"/>
      <c r="U2710" s="113"/>
      <c r="AF2710" s="2"/>
      <c r="AG2710" s="2"/>
      <c r="AS2710"/>
      <c r="AT2710"/>
    </row>
    <row r="2711" spans="20:46" ht="16.8">
      <c r="T2711" s="112"/>
      <c r="U2711" s="113"/>
      <c r="AF2711" s="2"/>
      <c r="AG2711" s="2"/>
      <c r="AS2711"/>
      <c r="AT2711"/>
    </row>
    <row r="2712" spans="20:46" ht="16.8">
      <c r="T2712" s="112"/>
      <c r="U2712" s="113"/>
      <c r="AF2712" s="2"/>
      <c r="AG2712" s="2"/>
      <c r="AS2712"/>
      <c r="AT2712"/>
    </row>
    <row r="2713" spans="20:46" ht="16.8">
      <c r="T2713" s="112"/>
      <c r="U2713" s="113"/>
      <c r="AF2713" s="2"/>
      <c r="AG2713" s="2"/>
      <c r="AS2713"/>
      <c r="AT2713"/>
    </row>
    <row r="2714" spans="20:46" ht="16.8">
      <c r="T2714" s="112"/>
      <c r="U2714" s="113"/>
      <c r="AF2714" s="2"/>
      <c r="AG2714" s="2"/>
      <c r="AS2714"/>
      <c r="AT2714"/>
    </row>
    <row r="2715" spans="20:46" ht="16.8">
      <c r="T2715" s="112"/>
      <c r="U2715" s="113"/>
      <c r="AF2715" s="2"/>
      <c r="AG2715" s="2"/>
      <c r="AS2715"/>
      <c r="AT2715"/>
    </row>
    <row r="2716" spans="20:46" ht="16.8">
      <c r="T2716" s="112"/>
      <c r="U2716" s="113"/>
      <c r="AF2716" s="2"/>
      <c r="AG2716" s="2"/>
      <c r="AS2716"/>
      <c r="AT2716"/>
    </row>
    <row r="2717" spans="20:46" ht="16.8">
      <c r="T2717" s="112"/>
      <c r="U2717" s="113"/>
      <c r="AF2717" s="2"/>
      <c r="AG2717" s="2"/>
      <c r="AS2717"/>
      <c r="AT2717"/>
    </row>
    <row r="2718" spans="20:46" ht="16.8">
      <c r="T2718" s="112"/>
      <c r="U2718" s="113"/>
      <c r="AF2718" s="2"/>
      <c r="AG2718" s="2"/>
      <c r="AS2718"/>
      <c r="AT2718"/>
    </row>
    <row r="2719" spans="20:46" ht="16.8">
      <c r="T2719" s="112"/>
      <c r="U2719" s="113"/>
      <c r="AF2719" s="2"/>
      <c r="AG2719" s="2"/>
      <c r="AS2719"/>
      <c r="AT2719"/>
    </row>
    <row r="2720" spans="20:46" ht="16.8">
      <c r="T2720" s="112"/>
      <c r="U2720" s="113"/>
      <c r="AF2720" s="2"/>
      <c r="AG2720" s="2"/>
      <c r="AS2720"/>
      <c r="AT2720"/>
    </row>
    <row r="2721" spans="20:46" ht="16.8">
      <c r="T2721" s="112"/>
      <c r="U2721" s="113"/>
      <c r="AF2721" s="2"/>
      <c r="AG2721" s="2"/>
      <c r="AS2721"/>
      <c r="AT2721"/>
    </row>
    <row r="2722" spans="20:46" ht="16.8">
      <c r="T2722" s="112"/>
      <c r="U2722" s="113"/>
      <c r="AF2722" s="2"/>
      <c r="AG2722" s="2"/>
      <c r="AS2722"/>
      <c r="AT2722"/>
    </row>
    <row r="2723" spans="20:46" ht="16.8">
      <c r="T2723" s="112"/>
      <c r="U2723" s="113"/>
      <c r="AF2723" s="2"/>
      <c r="AG2723" s="2"/>
      <c r="AS2723"/>
      <c r="AT2723"/>
    </row>
    <row r="2724" spans="20:46" ht="16.8">
      <c r="T2724" s="112"/>
      <c r="U2724" s="113"/>
      <c r="AF2724" s="2"/>
      <c r="AG2724" s="2"/>
      <c r="AS2724"/>
      <c r="AT2724"/>
    </row>
    <row r="2725" spans="20:46" ht="16.8">
      <c r="T2725" s="112"/>
      <c r="U2725" s="113"/>
      <c r="AF2725" s="2"/>
      <c r="AG2725" s="2"/>
      <c r="AS2725"/>
      <c r="AT2725"/>
    </row>
    <row r="2726" spans="20:46" ht="16.8">
      <c r="T2726" s="112"/>
      <c r="U2726" s="113"/>
      <c r="AF2726" s="2"/>
      <c r="AG2726" s="2"/>
      <c r="AS2726"/>
      <c r="AT2726"/>
    </row>
    <row r="2727" spans="20:46" ht="16.8">
      <c r="T2727" s="112"/>
      <c r="U2727" s="113"/>
      <c r="AF2727" s="2"/>
      <c r="AG2727" s="2"/>
      <c r="AS2727"/>
      <c r="AT2727"/>
    </row>
    <row r="2728" spans="20:46" ht="16.8">
      <c r="T2728" s="112"/>
      <c r="U2728" s="113"/>
      <c r="AF2728" s="2"/>
      <c r="AG2728" s="2"/>
      <c r="AS2728"/>
      <c r="AT2728"/>
    </row>
    <row r="2729" spans="20:46" ht="16.8">
      <c r="T2729" s="112"/>
      <c r="U2729" s="113"/>
      <c r="AF2729" s="2"/>
      <c r="AG2729" s="2"/>
      <c r="AS2729"/>
      <c r="AT2729"/>
    </row>
    <row r="2730" spans="20:46" ht="16.8">
      <c r="T2730" s="112"/>
      <c r="U2730" s="113"/>
      <c r="AF2730" s="2"/>
      <c r="AG2730" s="2"/>
      <c r="AS2730"/>
      <c r="AT2730"/>
    </row>
    <row r="2731" spans="20:46" ht="16.8">
      <c r="T2731" s="112"/>
      <c r="U2731" s="113"/>
      <c r="AF2731" s="2"/>
      <c r="AG2731" s="2"/>
      <c r="AS2731"/>
      <c r="AT2731"/>
    </row>
    <row r="2732" spans="20:46" ht="16.8">
      <c r="T2732" s="112"/>
      <c r="U2732" s="113"/>
      <c r="AF2732" s="2"/>
      <c r="AG2732" s="2"/>
      <c r="AS2732"/>
      <c r="AT2732"/>
    </row>
    <row r="2733" spans="20:46" ht="16.8">
      <c r="T2733" s="112"/>
      <c r="U2733" s="113"/>
      <c r="AF2733" s="2"/>
      <c r="AG2733" s="2"/>
      <c r="AS2733"/>
      <c r="AT2733"/>
    </row>
    <row r="2734" spans="20:46" ht="16.8">
      <c r="T2734" s="112"/>
      <c r="U2734" s="113"/>
      <c r="AF2734" s="2"/>
      <c r="AG2734" s="2"/>
      <c r="AS2734"/>
      <c r="AT2734"/>
    </row>
    <row r="2735" spans="20:46" ht="16.8">
      <c r="T2735" s="112"/>
      <c r="U2735" s="113"/>
      <c r="AF2735" s="2"/>
      <c r="AG2735" s="2"/>
      <c r="AS2735"/>
      <c r="AT2735"/>
    </row>
    <row r="2736" spans="20:46" ht="16.8">
      <c r="T2736" s="112"/>
      <c r="U2736" s="113"/>
      <c r="AF2736" s="2"/>
      <c r="AG2736" s="2"/>
      <c r="AS2736"/>
      <c r="AT2736"/>
    </row>
    <row r="2737" spans="20:46" ht="16.8">
      <c r="T2737" s="112"/>
      <c r="U2737" s="113"/>
      <c r="AF2737" s="2"/>
      <c r="AG2737" s="2"/>
      <c r="AS2737"/>
      <c r="AT2737"/>
    </row>
    <row r="2738" spans="20:46" ht="16.8">
      <c r="T2738" s="112"/>
      <c r="U2738" s="113"/>
      <c r="AF2738" s="2"/>
      <c r="AG2738" s="2"/>
      <c r="AS2738"/>
      <c r="AT2738"/>
    </row>
    <row r="2739" spans="20:46" ht="16.8">
      <c r="T2739" s="112"/>
      <c r="U2739" s="113"/>
      <c r="AF2739" s="2"/>
      <c r="AG2739" s="2"/>
      <c r="AS2739"/>
      <c r="AT2739"/>
    </row>
    <row r="2740" spans="20:46" ht="16.8">
      <c r="T2740" s="112"/>
      <c r="U2740" s="113"/>
      <c r="AF2740" s="2"/>
      <c r="AG2740" s="2"/>
      <c r="AS2740"/>
      <c r="AT2740"/>
    </row>
    <row r="2741" spans="20:46" ht="16.8">
      <c r="T2741" s="112"/>
      <c r="U2741" s="113"/>
      <c r="AF2741" s="2"/>
      <c r="AG2741" s="2"/>
      <c r="AS2741"/>
      <c r="AT2741"/>
    </row>
    <row r="2742" spans="20:46" ht="16.8">
      <c r="T2742" s="112"/>
      <c r="U2742" s="113"/>
      <c r="AF2742" s="2"/>
      <c r="AG2742" s="2"/>
      <c r="AS2742"/>
      <c r="AT2742"/>
    </row>
    <row r="2743" spans="20:46" ht="16.8">
      <c r="T2743" s="112"/>
      <c r="U2743" s="113"/>
      <c r="AF2743" s="2"/>
      <c r="AG2743" s="2"/>
      <c r="AS2743"/>
      <c r="AT2743"/>
    </row>
    <row r="2744" spans="20:46" ht="16.8">
      <c r="T2744" s="112"/>
      <c r="U2744" s="113"/>
      <c r="AF2744" s="2"/>
      <c r="AG2744" s="2"/>
      <c r="AS2744"/>
      <c r="AT2744"/>
    </row>
    <row r="2745" spans="20:46" ht="16.8">
      <c r="T2745" s="112"/>
      <c r="U2745" s="113"/>
      <c r="AF2745" s="2"/>
      <c r="AG2745" s="2"/>
      <c r="AS2745"/>
      <c r="AT2745"/>
    </row>
    <row r="2746" spans="20:46" ht="16.8">
      <c r="T2746" s="112"/>
      <c r="U2746" s="113"/>
      <c r="AF2746" s="2"/>
      <c r="AG2746" s="2"/>
      <c r="AS2746"/>
      <c r="AT2746"/>
    </row>
    <row r="2747" spans="20:46" ht="16.8">
      <c r="T2747" s="112"/>
      <c r="U2747" s="113"/>
      <c r="AF2747" s="2"/>
      <c r="AG2747" s="2"/>
      <c r="AS2747"/>
      <c r="AT2747"/>
    </row>
    <row r="2748" spans="20:46" ht="16.8">
      <c r="T2748" s="112"/>
      <c r="U2748" s="113"/>
      <c r="AF2748" s="2"/>
      <c r="AG2748" s="2"/>
      <c r="AS2748"/>
      <c r="AT2748"/>
    </row>
    <row r="2749" spans="20:46" ht="16.8">
      <c r="T2749" s="112"/>
      <c r="U2749" s="113"/>
      <c r="AF2749" s="2"/>
      <c r="AG2749" s="2"/>
      <c r="AS2749"/>
      <c r="AT2749"/>
    </row>
    <row r="2750" spans="20:46" ht="16.8">
      <c r="T2750" s="112"/>
      <c r="U2750" s="113"/>
      <c r="AF2750" s="2"/>
      <c r="AG2750" s="2"/>
      <c r="AS2750"/>
      <c r="AT2750"/>
    </row>
    <row r="2751" spans="20:46" ht="16.8">
      <c r="T2751" s="112"/>
      <c r="U2751" s="113"/>
      <c r="AF2751" s="2"/>
      <c r="AG2751" s="2"/>
      <c r="AS2751"/>
      <c r="AT2751"/>
    </row>
    <row r="2752" spans="20:46" ht="16.8">
      <c r="T2752" s="112"/>
      <c r="U2752" s="113"/>
      <c r="AF2752" s="2"/>
      <c r="AG2752" s="2"/>
      <c r="AS2752"/>
      <c r="AT2752"/>
    </row>
    <row r="2753" spans="20:46" ht="16.8">
      <c r="T2753" s="112"/>
      <c r="U2753" s="113"/>
      <c r="AF2753" s="2"/>
      <c r="AG2753" s="2"/>
      <c r="AS2753"/>
      <c r="AT2753"/>
    </row>
    <row r="2754" spans="20:46" ht="16.8">
      <c r="T2754" s="112"/>
      <c r="U2754" s="113"/>
      <c r="AF2754" s="2"/>
      <c r="AG2754" s="2"/>
      <c r="AS2754"/>
      <c r="AT2754"/>
    </row>
    <row r="2755" spans="20:46" ht="16.8">
      <c r="T2755" s="112"/>
      <c r="U2755" s="113"/>
      <c r="AF2755" s="2"/>
      <c r="AG2755" s="2"/>
      <c r="AS2755"/>
      <c r="AT2755"/>
    </row>
    <row r="2756" spans="20:46" ht="16.8">
      <c r="T2756" s="112"/>
      <c r="U2756" s="113"/>
      <c r="AF2756" s="2"/>
      <c r="AG2756" s="2"/>
      <c r="AS2756"/>
      <c r="AT2756"/>
    </row>
    <row r="2757" spans="20:46" ht="16.8">
      <c r="T2757" s="112"/>
      <c r="U2757" s="113"/>
      <c r="AF2757" s="2"/>
      <c r="AG2757" s="2"/>
      <c r="AS2757"/>
      <c r="AT2757"/>
    </row>
    <row r="2758" spans="20:46" ht="16.8">
      <c r="T2758" s="112"/>
      <c r="U2758" s="113"/>
      <c r="AF2758" s="2"/>
      <c r="AG2758" s="2"/>
      <c r="AS2758"/>
      <c r="AT2758"/>
    </row>
    <row r="2759" spans="20:46" ht="16.8">
      <c r="T2759" s="112"/>
      <c r="U2759" s="113"/>
      <c r="AF2759" s="2"/>
      <c r="AG2759" s="2"/>
      <c r="AS2759"/>
      <c r="AT2759"/>
    </row>
    <row r="2760" spans="20:46" ht="16.8">
      <c r="T2760" s="112"/>
      <c r="U2760" s="113"/>
      <c r="AF2760" s="2"/>
      <c r="AG2760" s="2"/>
      <c r="AS2760"/>
      <c r="AT2760"/>
    </row>
    <row r="2761" spans="20:46" ht="16.8">
      <c r="T2761" s="112"/>
      <c r="U2761" s="113"/>
      <c r="AF2761" s="2"/>
      <c r="AG2761" s="2"/>
      <c r="AS2761"/>
      <c r="AT2761"/>
    </row>
    <row r="2762" spans="20:46" ht="16.8">
      <c r="T2762" s="112"/>
      <c r="U2762" s="113"/>
      <c r="AF2762" s="2"/>
      <c r="AG2762" s="2"/>
      <c r="AS2762"/>
      <c r="AT2762"/>
    </row>
    <row r="2763" spans="20:46" ht="16.8">
      <c r="T2763" s="112"/>
      <c r="U2763" s="113"/>
      <c r="AF2763" s="2"/>
      <c r="AG2763" s="2"/>
      <c r="AS2763"/>
      <c r="AT2763"/>
    </row>
    <row r="2764" spans="20:46" ht="16.8">
      <c r="T2764" s="112"/>
      <c r="U2764" s="113"/>
      <c r="AF2764" s="2"/>
      <c r="AG2764" s="2"/>
      <c r="AS2764"/>
      <c r="AT2764"/>
    </row>
    <row r="2765" spans="20:46" ht="16.8">
      <c r="T2765" s="112"/>
      <c r="U2765" s="113"/>
      <c r="AF2765" s="2"/>
      <c r="AG2765" s="2"/>
      <c r="AS2765"/>
      <c r="AT2765"/>
    </row>
    <row r="2766" spans="20:46" ht="16.8">
      <c r="T2766" s="112"/>
      <c r="U2766" s="113"/>
      <c r="AF2766" s="2"/>
      <c r="AG2766" s="2"/>
      <c r="AS2766"/>
      <c r="AT2766"/>
    </row>
    <row r="2767" spans="20:46" ht="16.8">
      <c r="T2767" s="112"/>
      <c r="U2767" s="113"/>
      <c r="AF2767" s="2"/>
      <c r="AG2767" s="2"/>
      <c r="AS2767"/>
      <c r="AT2767"/>
    </row>
    <row r="2768" spans="20:46" ht="16.8">
      <c r="T2768" s="112"/>
      <c r="U2768" s="113"/>
      <c r="AF2768" s="2"/>
      <c r="AG2768" s="2"/>
      <c r="AS2768"/>
      <c r="AT2768"/>
    </row>
    <row r="2769" spans="20:46" ht="16.8">
      <c r="T2769" s="112"/>
      <c r="U2769" s="113"/>
      <c r="AF2769" s="2"/>
      <c r="AG2769" s="2"/>
      <c r="AS2769"/>
      <c r="AT2769"/>
    </row>
    <row r="2770" spans="20:46" ht="16.8">
      <c r="T2770" s="112"/>
      <c r="U2770" s="113"/>
      <c r="AF2770" s="2"/>
      <c r="AG2770" s="2"/>
      <c r="AS2770"/>
      <c r="AT2770"/>
    </row>
    <row r="2771" spans="20:46" ht="16.8">
      <c r="T2771" s="112"/>
      <c r="U2771" s="113"/>
      <c r="AF2771" s="2"/>
      <c r="AG2771" s="2"/>
      <c r="AS2771"/>
      <c r="AT2771"/>
    </row>
    <row r="2772" spans="20:46" ht="16.8">
      <c r="T2772" s="112"/>
      <c r="U2772" s="113"/>
      <c r="AF2772" s="2"/>
      <c r="AG2772" s="2"/>
      <c r="AS2772"/>
      <c r="AT2772"/>
    </row>
    <row r="2773" spans="20:46" ht="16.8">
      <c r="T2773" s="112"/>
      <c r="U2773" s="113"/>
      <c r="AF2773" s="2"/>
      <c r="AG2773" s="2"/>
      <c r="AS2773"/>
      <c r="AT2773"/>
    </row>
    <row r="2774" spans="20:46" ht="16.8">
      <c r="T2774" s="112"/>
      <c r="U2774" s="113"/>
      <c r="AF2774" s="2"/>
      <c r="AG2774" s="2"/>
      <c r="AS2774"/>
      <c r="AT2774"/>
    </row>
    <row r="2775" spans="20:46" ht="16.8">
      <c r="T2775" s="112"/>
      <c r="U2775" s="113"/>
      <c r="AF2775" s="2"/>
      <c r="AG2775" s="2"/>
      <c r="AS2775"/>
      <c r="AT2775"/>
    </row>
    <row r="2776" spans="20:46" ht="16.8">
      <c r="T2776" s="112"/>
      <c r="U2776" s="113"/>
      <c r="AF2776" s="2"/>
      <c r="AG2776" s="2"/>
      <c r="AS2776"/>
      <c r="AT2776"/>
    </row>
    <row r="2777" spans="20:46" ht="16.8">
      <c r="T2777" s="112"/>
      <c r="U2777" s="113"/>
      <c r="AF2777" s="2"/>
      <c r="AG2777" s="2"/>
      <c r="AS2777"/>
      <c r="AT2777"/>
    </row>
    <row r="2778" spans="20:46" ht="16.8">
      <c r="T2778" s="112"/>
      <c r="U2778" s="113"/>
      <c r="AF2778" s="2"/>
      <c r="AG2778" s="2"/>
      <c r="AS2778"/>
      <c r="AT2778"/>
    </row>
    <row r="2779" spans="20:46" ht="16.8">
      <c r="T2779" s="112"/>
      <c r="U2779" s="113"/>
      <c r="AF2779" s="2"/>
      <c r="AG2779" s="2"/>
      <c r="AS2779"/>
      <c r="AT2779"/>
    </row>
    <row r="2780" spans="20:46" ht="16.8">
      <c r="T2780" s="112"/>
      <c r="U2780" s="113"/>
      <c r="AF2780" s="2"/>
      <c r="AG2780" s="2"/>
      <c r="AS2780"/>
      <c r="AT2780"/>
    </row>
    <row r="2781" spans="20:46" ht="16.8">
      <c r="T2781" s="112"/>
      <c r="U2781" s="113"/>
      <c r="AF2781" s="2"/>
      <c r="AG2781" s="2"/>
      <c r="AS2781"/>
      <c r="AT2781"/>
    </row>
    <row r="2782" spans="20:46" ht="16.8">
      <c r="T2782" s="112"/>
      <c r="U2782" s="113"/>
      <c r="AF2782" s="2"/>
      <c r="AG2782" s="2"/>
      <c r="AS2782"/>
      <c r="AT2782"/>
    </row>
    <row r="2783" spans="20:46" ht="16.8">
      <c r="T2783" s="112"/>
      <c r="U2783" s="113"/>
      <c r="AF2783" s="2"/>
      <c r="AG2783" s="2"/>
      <c r="AS2783"/>
      <c r="AT2783"/>
    </row>
    <row r="2784" spans="20:46" ht="16.8">
      <c r="T2784" s="112"/>
      <c r="U2784" s="113"/>
      <c r="AF2784" s="2"/>
      <c r="AG2784" s="2"/>
      <c r="AS2784"/>
      <c r="AT2784"/>
    </row>
    <row r="2785" spans="20:46" ht="16.8">
      <c r="T2785" s="112"/>
      <c r="U2785" s="113"/>
      <c r="AF2785" s="2"/>
      <c r="AG2785" s="2"/>
      <c r="AS2785"/>
      <c r="AT2785"/>
    </row>
    <row r="2786" spans="20:46" ht="16.8">
      <c r="T2786" s="112"/>
      <c r="U2786" s="113"/>
      <c r="AF2786" s="2"/>
      <c r="AG2786" s="2"/>
      <c r="AS2786"/>
      <c r="AT2786"/>
    </row>
    <row r="2787" spans="20:46" ht="16.8">
      <c r="T2787" s="112"/>
      <c r="U2787" s="113"/>
      <c r="AF2787" s="2"/>
      <c r="AG2787" s="2"/>
      <c r="AS2787"/>
      <c r="AT2787"/>
    </row>
    <row r="2788" spans="20:46" ht="16.8">
      <c r="T2788" s="112"/>
      <c r="U2788" s="113"/>
      <c r="AF2788" s="2"/>
      <c r="AG2788" s="2"/>
      <c r="AS2788"/>
      <c r="AT2788"/>
    </row>
    <row r="2789" spans="20:46" ht="16.8">
      <c r="T2789" s="112"/>
      <c r="U2789" s="113"/>
      <c r="AF2789" s="2"/>
      <c r="AG2789" s="2"/>
      <c r="AS2789"/>
      <c r="AT2789"/>
    </row>
    <row r="2790" spans="20:46" ht="16.8">
      <c r="T2790" s="112"/>
      <c r="U2790" s="113"/>
      <c r="AF2790" s="2"/>
      <c r="AG2790" s="2"/>
      <c r="AS2790"/>
      <c r="AT2790"/>
    </row>
    <row r="2791" spans="20:46" ht="16.8">
      <c r="T2791" s="112"/>
      <c r="U2791" s="113"/>
      <c r="AF2791" s="2"/>
      <c r="AG2791" s="2"/>
      <c r="AS2791"/>
      <c r="AT2791"/>
    </row>
    <row r="2792" spans="20:46" ht="16.8">
      <c r="T2792" s="112"/>
      <c r="U2792" s="113"/>
      <c r="AF2792" s="2"/>
      <c r="AG2792" s="2"/>
      <c r="AS2792"/>
      <c r="AT2792"/>
    </row>
    <row r="2793" spans="20:46" ht="16.8">
      <c r="T2793" s="112"/>
      <c r="U2793" s="113"/>
      <c r="AF2793" s="2"/>
      <c r="AG2793" s="2"/>
      <c r="AS2793"/>
      <c r="AT2793"/>
    </row>
    <row r="2794" spans="20:46" ht="16.8">
      <c r="T2794" s="112"/>
      <c r="U2794" s="113"/>
      <c r="AF2794" s="2"/>
      <c r="AG2794" s="2"/>
      <c r="AS2794"/>
      <c r="AT2794"/>
    </row>
    <row r="2795" spans="20:46" ht="16.8">
      <c r="T2795" s="112"/>
      <c r="U2795" s="113"/>
      <c r="AF2795" s="2"/>
      <c r="AG2795" s="2"/>
      <c r="AS2795"/>
      <c r="AT2795"/>
    </row>
    <row r="2796" spans="20:46" ht="16.8">
      <c r="T2796" s="112"/>
      <c r="U2796" s="113"/>
      <c r="AF2796" s="2"/>
      <c r="AG2796" s="2"/>
      <c r="AS2796"/>
      <c r="AT2796"/>
    </row>
    <row r="2797" spans="20:46" ht="16.8">
      <c r="T2797" s="112"/>
      <c r="U2797" s="113"/>
      <c r="AF2797" s="2"/>
      <c r="AG2797" s="2"/>
      <c r="AS2797"/>
      <c r="AT2797"/>
    </row>
    <row r="2798" spans="20:46" ht="16.8">
      <c r="T2798" s="112"/>
      <c r="U2798" s="113"/>
      <c r="AF2798" s="2"/>
      <c r="AG2798" s="2"/>
      <c r="AS2798"/>
      <c r="AT2798"/>
    </row>
    <row r="2799" spans="20:46" ht="16.8">
      <c r="T2799" s="112"/>
      <c r="U2799" s="113"/>
      <c r="AF2799" s="2"/>
      <c r="AG2799" s="2"/>
      <c r="AS2799"/>
      <c r="AT2799"/>
    </row>
    <row r="2800" spans="20:46" ht="16.8">
      <c r="T2800" s="112"/>
      <c r="U2800" s="113"/>
      <c r="AF2800" s="2"/>
      <c r="AG2800" s="2"/>
      <c r="AS2800"/>
      <c r="AT2800"/>
    </row>
    <row r="2801" spans="20:46" ht="16.8">
      <c r="T2801" s="112"/>
      <c r="U2801" s="113"/>
      <c r="AF2801" s="2"/>
      <c r="AG2801" s="2"/>
      <c r="AS2801"/>
      <c r="AT2801"/>
    </row>
    <row r="2802" spans="20:46" ht="16.8">
      <c r="T2802" s="112"/>
      <c r="U2802" s="113"/>
      <c r="AF2802" s="2"/>
      <c r="AG2802" s="2"/>
      <c r="AS2802"/>
      <c r="AT2802"/>
    </row>
    <row r="2803" spans="20:46" ht="16.8">
      <c r="T2803" s="112"/>
      <c r="U2803" s="113"/>
      <c r="AF2803" s="2"/>
      <c r="AG2803" s="2"/>
      <c r="AS2803"/>
      <c r="AT2803"/>
    </row>
    <row r="2804" spans="20:46" ht="16.8">
      <c r="T2804" s="112"/>
      <c r="U2804" s="113"/>
      <c r="AF2804" s="2"/>
      <c r="AG2804" s="2"/>
      <c r="AS2804"/>
      <c r="AT2804"/>
    </row>
    <row r="2805" spans="20:46" ht="16.8">
      <c r="T2805" s="112"/>
      <c r="U2805" s="113"/>
      <c r="AF2805" s="2"/>
      <c r="AG2805" s="2"/>
      <c r="AS2805"/>
      <c r="AT2805"/>
    </row>
    <row r="2806" spans="20:46" ht="16.8">
      <c r="T2806" s="112"/>
      <c r="U2806" s="113"/>
      <c r="AF2806" s="2"/>
      <c r="AG2806" s="2"/>
      <c r="AS2806"/>
      <c r="AT2806"/>
    </row>
    <row r="2807" spans="20:46" ht="16.8">
      <c r="T2807" s="112"/>
      <c r="U2807" s="113"/>
      <c r="AF2807" s="2"/>
      <c r="AG2807" s="2"/>
      <c r="AS2807"/>
      <c r="AT2807"/>
    </row>
    <row r="2808" spans="20:46" ht="16.8">
      <c r="T2808" s="112"/>
      <c r="U2808" s="113"/>
      <c r="AF2808" s="2"/>
      <c r="AG2808" s="2"/>
      <c r="AS2808"/>
      <c r="AT2808"/>
    </row>
    <row r="2809" spans="20:46" ht="16.8">
      <c r="T2809" s="112"/>
      <c r="U2809" s="113"/>
      <c r="AF2809" s="2"/>
      <c r="AG2809" s="2"/>
      <c r="AS2809"/>
      <c r="AT2809"/>
    </row>
    <row r="2810" spans="20:46" ht="16.8">
      <c r="T2810" s="112"/>
      <c r="U2810" s="113"/>
      <c r="AF2810" s="2"/>
      <c r="AG2810" s="2"/>
      <c r="AS2810"/>
      <c r="AT2810"/>
    </row>
    <row r="2811" spans="20:46" ht="16.8">
      <c r="T2811" s="112"/>
      <c r="U2811" s="113"/>
      <c r="AF2811" s="2"/>
      <c r="AG2811" s="2"/>
      <c r="AS2811"/>
      <c r="AT2811"/>
    </row>
    <row r="2812" spans="20:46" ht="16.8">
      <c r="T2812" s="112"/>
      <c r="U2812" s="113"/>
      <c r="AF2812" s="2"/>
      <c r="AG2812" s="2"/>
      <c r="AS2812"/>
      <c r="AT2812"/>
    </row>
    <row r="2813" spans="20:46" ht="16.8">
      <c r="T2813" s="112"/>
      <c r="U2813" s="113"/>
      <c r="AF2813" s="2"/>
      <c r="AG2813" s="2"/>
      <c r="AS2813"/>
      <c r="AT2813"/>
    </row>
    <row r="2814" spans="20:46" ht="16.8">
      <c r="T2814" s="112"/>
      <c r="U2814" s="113"/>
      <c r="AF2814" s="2"/>
      <c r="AG2814" s="2"/>
      <c r="AS2814"/>
      <c r="AT2814"/>
    </row>
    <row r="2815" spans="20:46" ht="16.8">
      <c r="T2815" s="112"/>
      <c r="U2815" s="113"/>
      <c r="AF2815" s="2"/>
      <c r="AG2815" s="2"/>
      <c r="AS2815"/>
      <c r="AT2815"/>
    </row>
    <row r="2816" spans="20:46" ht="16.8">
      <c r="T2816" s="112"/>
      <c r="U2816" s="113"/>
      <c r="AF2816" s="2"/>
      <c r="AG2816" s="2"/>
      <c r="AS2816"/>
      <c r="AT2816"/>
    </row>
    <row r="2817" spans="20:46" ht="16.8">
      <c r="T2817" s="112"/>
      <c r="U2817" s="113"/>
      <c r="AF2817" s="2"/>
      <c r="AG2817" s="2"/>
      <c r="AS2817"/>
      <c r="AT2817"/>
    </row>
    <row r="2818" spans="20:46" ht="16.8">
      <c r="T2818" s="112"/>
      <c r="U2818" s="113"/>
      <c r="AF2818" s="2"/>
      <c r="AG2818" s="2"/>
      <c r="AS2818"/>
      <c r="AT2818"/>
    </row>
    <row r="2819" spans="20:46" ht="16.8">
      <c r="T2819" s="112"/>
      <c r="U2819" s="113"/>
      <c r="AF2819" s="2"/>
      <c r="AG2819" s="2"/>
      <c r="AS2819"/>
      <c r="AT2819"/>
    </row>
    <row r="2820" spans="20:46" ht="16.8">
      <c r="T2820" s="112"/>
      <c r="U2820" s="113"/>
      <c r="AF2820" s="2"/>
      <c r="AG2820" s="2"/>
      <c r="AS2820"/>
      <c r="AT2820"/>
    </row>
    <row r="2821" spans="20:46" ht="16.8">
      <c r="T2821" s="112"/>
      <c r="U2821" s="113"/>
      <c r="AF2821" s="2"/>
      <c r="AG2821" s="2"/>
      <c r="AS2821"/>
      <c r="AT2821"/>
    </row>
    <row r="2822" spans="20:46" ht="16.8">
      <c r="T2822" s="112"/>
      <c r="U2822" s="113"/>
      <c r="AF2822" s="2"/>
      <c r="AG2822" s="2"/>
      <c r="AS2822"/>
      <c r="AT2822"/>
    </row>
    <row r="2823" spans="20:46" ht="16.8">
      <c r="T2823" s="112"/>
      <c r="U2823" s="113"/>
      <c r="AF2823" s="2"/>
      <c r="AG2823" s="2"/>
      <c r="AS2823"/>
      <c r="AT2823"/>
    </row>
    <row r="2824" spans="20:46" ht="16.8">
      <c r="T2824" s="112"/>
      <c r="U2824" s="113"/>
      <c r="AF2824" s="2"/>
      <c r="AG2824" s="2"/>
      <c r="AS2824"/>
      <c r="AT2824"/>
    </row>
    <row r="2825" spans="20:46" ht="16.8">
      <c r="T2825" s="112"/>
      <c r="U2825" s="113"/>
      <c r="AF2825" s="2"/>
      <c r="AG2825" s="2"/>
      <c r="AS2825"/>
      <c r="AT2825"/>
    </row>
    <row r="2826" spans="20:46" ht="16.8">
      <c r="T2826" s="112"/>
      <c r="U2826" s="113"/>
      <c r="AF2826" s="2"/>
      <c r="AG2826" s="2"/>
      <c r="AS2826"/>
      <c r="AT2826"/>
    </row>
    <row r="2827" spans="20:46" ht="16.8">
      <c r="T2827" s="112"/>
      <c r="U2827" s="113"/>
      <c r="AF2827" s="2"/>
      <c r="AG2827" s="2"/>
      <c r="AS2827"/>
      <c r="AT2827"/>
    </row>
    <row r="2828" spans="20:46" ht="16.8">
      <c r="T2828" s="112"/>
      <c r="U2828" s="113"/>
      <c r="AF2828" s="2"/>
      <c r="AG2828" s="2"/>
      <c r="AS2828"/>
      <c r="AT2828"/>
    </row>
    <row r="2829" spans="20:46" ht="16.8">
      <c r="T2829" s="112"/>
      <c r="U2829" s="113"/>
      <c r="AF2829" s="2"/>
      <c r="AG2829" s="2"/>
      <c r="AS2829"/>
      <c r="AT2829"/>
    </row>
    <row r="2830" spans="20:46" ht="16.8">
      <c r="T2830" s="112"/>
      <c r="U2830" s="113"/>
      <c r="AF2830" s="2"/>
      <c r="AG2830" s="2"/>
      <c r="AS2830"/>
      <c r="AT2830"/>
    </row>
    <row r="2831" spans="20:46" ht="16.8">
      <c r="T2831" s="112"/>
      <c r="U2831" s="113"/>
      <c r="AF2831" s="2"/>
      <c r="AG2831" s="2"/>
      <c r="AS2831"/>
      <c r="AT2831"/>
    </row>
    <row r="2832" spans="20:46" ht="16.8">
      <c r="T2832" s="112"/>
      <c r="U2832" s="113"/>
      <c r="AF2832" s="2"/>
      <c r="AG2832" s="2"/>
      <c r="AS2832"/>
      <c r="AT2832"/>
    </row>
    <row r="2833" spans="20:46" ht="16.8">
      <c r="T2833" s="112"/>
      <c r="U2833" s="113"/>
      <c r="AF2833" s="2"/>
      <c r="AG2833" s="2"/>
      <c r="AS2833"/>
      <c r="AT2833"/>
    </row>
    <row r="2834" spans="20:46" ht="16.8">
      <c r="T2834" s="112"/>
      <c r="U2834" s="113"/>
      <c r="AF2834" s="2"/>
      <c r="AG2834" s="2"/>
      <c r="AS2834"/>
      <c r="AT2834"/>
    </row>
    <row r="2835" spans="20:46" ht="16.8">
      <c r="T2835" s="112"/>
      <c r="U2835" s="113"/>
      <c r="AF2835" s="2"/>
      <c r="AG2835" s="2"/>
      <c r="AS2835"/>
      <c r="AT2835"/>
    </row>
    <row r="2836" spans="20:46" ht="16.8">
      <c r="T2836" s="112"/>
      <c r="U2836" s="113"/>
      <c r="AF2836" s="2"/>
      <c r="AG2836" s="2"/>
      <c r="AS2836"/>
      <c r="AT2836"/>
    </row>
    <row r="2837" spans="20:46" ht="16.8">
      <c r="T2837" s="112"/>
      <c r="U2837" s="113"/>
      <c r="AF2837" s="2"/>
      <c r="AG2837" s="2"/>
      <c r="AS2837"/>
      <c r="AT2837"/>
    </row>
    <row r="2838" spans="20:46" ht="16.8">
      <c r="T2838" s="112"/>
      <c r="U2838" s="113"/>
      <c r="AF2838" s="2"/>
      <c r="AG2838" s="2"/>
      <c r="AS2838"/>
      <c r="AT2838"/>
    </row>
    <row r="2839" spans="20:46" ht="16.8">
      <c r="T2839" s="112"/>
      <c r="U2839" s="113"/>
      <c r="AF2839" s="2"/>
      <c r="AG2839" s="2"/>
      <c r="AS2839"/>
      <c r="AT2839"/>
    </row>
    <row r="2840" spans="20:46" ht="16.8">
      <c r="T2840" s="112"/>
      <c r="U2840" s="113"/>
      <c r="AF2840" s="2"/>
      <c r="AG2840" s="2"/>
      <c r="AS2840"/>
      <c r="AT2840"/>
    </row>
    <row r="2841" spans="20:46" ht="16.8">
      <c r="T2841" s="112"/>
      <c r="U2841" s="113"/>
      <c r="AF2841" s="2"/>
      <c r="AG2841" s="2"/>
      <c r="AS2841"/>
      <c r="AT2841"/>
    </row>
    <row r="2842" spans="20:46" ht="16.8">
      <c r="T2842" s="112"/>
      <c r="U2842" s="113"/>
      <c r="AF2842" s="2"/>
      <c r="AG2842" s="2"/>
      <c r="AS2842"/>
      <c r="AT2842"/>
    </row>
    <row r="2843" spans="20:46" ht="16.8">
      <c r="T2843" s="112"/>
      <c r="U2843" s="113"/>
      <c r="AF2843" s="2"/>
      <c r="AG2843" s="2"/>
      <c r="AS2843"/>
      <c r="AT2843"/>
    </row>
    <row r="2844" spans="20:46" ht="16.8">
      <c r="T2844" s="112"/>
      <c r="U2844" s="113"/>
      <c r="AF2844" s="2"/>
      <c r="AG2844" s="2"/>
      <c r="AS2844"/>
      <c r="AT2844"/>
    </row>
    <row r="2845" spans="20:46" ht="16.8">
      <c r="T2845" s="112"/>
      <c r="U2845" s="113"/>
      <c r="AF2845" s="2"/>
      <c r="AG2845" s="2"/>
      <c r="AS2845"/>
      <c r="AT2845"/>
    </row>
    <row r="2846" spans="20:46" ht="16.8">
      <c r="T2846" s="112"/>
      <c r="U2846" s="113"/>
      <c r="AF2846" s="2"/>
      <c r="AG2846" s="2"/>
      <c r="AS2846"/>
      <c r="AT2846"/>
    </row>
    <row r="2847" spans="20:46" ht="16.8">
      <c r="T2847" s="112"/>
      <c r="U2847" s="113"/>
      <c r="AF2847" s="2"/>
      <c r="AG2847" s="2"/>
      <c r="AS2847"/>
      <c r="AT2847"/>
    </row>
    <row r="2848" spans="20:46" ht="16.8">
      <c r="T2848" s="112"/>
      <c r="U2848" s="113"/>
      <c r="AF2848" s="2"/>
      <c r="AG2848" s="2"/>
      <c r="AS2848"/>
      <c r="AT2848"/>
    </row>
    <row r="2849" spans="20:46" ht="16.8">
      <c r="T2849" s="112"/>
      <c r="U2849" s="113"/>
      <c r="AF2849" s="2"/>
      <c r="AG2849" s="2"/>
      <c r="AS2849"/>
      <c r="AT2849"/>
    </row>
    <row r="2850" spans="20:46" ht="16.8">
      <c r="T2850" s="112"/>
      <c r="U2850" s="113"/>
      <c r="AF2850" s="2"/>
      <c r="AG2850" s="2"/>
      <c r="AS2850"/>
      <c r="AT2850"/>
    </row>
    <row r="2851" spans="20:46" ht="16.8">
      <c r="T2851" s="112"/>
      <c r="U2851" s="113"/>
      <c r="AF2851" s="2"/>
      <c r="AG2851" s="2"/>
      <c r="AS2851"/>
      <c r="AT2851"/>
    </row>
    <row r="2852" spans="20:46" ht="16.8">
      <c r="T2852" s="112"/>
      <c r="U2852" s="113"/>
      <c r="AF2852" s="2"/>
      <c r="AG2852" s="2"/>
      <c r="AS2852"/>
      <c r="AT2852"/>
    </row>
    <row r="2853" spans="20:46" ht="16.8">
      <c r="T2853" s="112"/>
      <c r="U2853" s="113"/>
      <c r="AF2853" s="2"/>
      <c r="AG2853" s="2"/>
      <c r="AS2853"/>
      <c r="AT2853"/>
    </row>
    <row r="2854" spans="20:46" ht="16.8">
      <c r="T2854" s="112"/>
      <c r="U2854" s="113"/>
      <c r="AF2854" s="2"/>
      <c r="AG2854" s="2"/>
      <c r="AS2854"/>
      <c r="AT2854"/>
    </row>
    <row r="2855" spans="20:46" ht="16.8">
      <c r="T2855" s="112"/>
      <c r="U2855" s="113"/>
      <c r="AF2855" s="2"/>
      <c r="AG2855" s="2"/>
      <c r="AS2855"/>
      <c r="AT2855"/>
    </row>
    <row r="2856" spans="20:46" ht="16.8">
      <c r="T2856" s="112"/>
      <c r="U2856" s="113"/>
      <c r="AF2856" s="2"/>
      <c r="AG2856" s="2"/>
      <c r="AS2856"/>
      <c r="AT2856"/>
    </row>
    <row r="2857" spans="20:46" ht="16.8">
      <c r="T2857" s="112"/>
      <c r="U2857" s="113"/>
      <c r="AF2857" s="2"/>
      <c r="AG2857" s="2"/>
      <c r="AS2857"/>
      <c r="AT2857"/>
    </row>
    <row r="2858" spans="20:46" ht="16.8">
      <c r="T2858" s="112"/>
      <c r="U2858" s="113"/>
      <c r="AF2858" s="2"/>
      <c r="AG2858" s="2"/>
      <c r="AS2858"/>
      <c r="AT2858"/>
    </row>
    <row r="2859" spans="20:46" ht="16.8">
      <c r="T2859" s="112"/>
      <c r="U2859" s="113"/>
      <c r="AF2859" s="2"/>
      <c r="AG2859" s="2"/>
      <c r="AS2859"/>
      <c r="AT2859"/>
    </row>
    <row r="2860" spans="20:46" ht="16.8">
      <c r="T2860" s="112"/>
      <c r="U2860" s="113"/>
      <c r="AF2860" s="2"/>
      <c r="AG2860" s="2"/>
      <c r="AS2860"/>
      <c r="AT2860"/>
    </row>
    <row r="2861" spans="20:46" ht="16.8">
      <c r="T2861" s="112"/>
      <c r="U2861" s="113"/>
      <c r="AF2861" s="2"/>
      <c r="AG2861" s="2"/>
      <c r="AS2861"/>
      <c r="AT2861"/>
    </row>
    <row r="2862" spans="20:46" ht="16.8">
      <c r="T2862" s="112"/>
      <c r="U2862" s="113"/>
      <c r="AF2862" s="2"/>
      <c r="AG2862" s="2"/>
      <c r="AS2862"/>
      <c r="AT2862"/>
    </row>
    <row r="2863" spans="20:46" ht="16.8">
      <c r="T2863" s="112"/>
      <c r="U2863" s="113"/>
      <c r="AF2863" s="2"/>
      <c r="AG2863" s="2"/>
      <c r="AS2863"/>
      <c r="AT2863"/>
    </row>
    <row r="2864" spans="20:46" ht="16.8">
      <c r="T2864" s="112"/>
      <c r="U2864" s="113"/>
      <c r="AF2864" s="2"/>
      <c r="AG2864" s="2"/>
      <c r="AS2864"/>
      <c r="AT2864"/>
    </row>
    <row r="2865" spans="20:46" ht="16.8">
      <c r="T2865" s="112"/>
      <c r="U2865" s="113"/>
      <c r="AF2865" s="2"/>
      <c r="AG2865" s="2"/>
      <c r="AS2865"/>
      <c r="AT2865"/>
    </row>
    <row r="2866" spans="20:46" ht="16.8">
      <c r="T2866" s="112"/>
      <c r="U2866" s="113"/>
      <c r="AF2866" s="2"/>
      <c r="AG2866" s="2"/>
      <c r="AS2866"/>
      <c r="AT2866"/>
    </row>
    <row r="2867" spans="20:46" ht="16.8">
      <c r="T2867" s="112"/>
      <c r="U2867" s="113"/>
      <c r="AF2867" s="2"/>
      <c r="AG2867" s="2"/>
      <c r="AS2867"/>
      <c r="AT2867"/>
    </row>
    <row r="2868" spans="20:46" ht="16.8">
      <c r="T2868" s="112"/>
      <c r="U2868" s="113"/>
      <c r="AF2868" s="2"/>
      <c r="AG2868" s="2"/>
      <c r="AS2868"/>
      <c r="AT2868"/>
    </row>
    <row r="2869" spans="20:46" ht="16.8">
      <c r="T2869" s="112"/>
      <c r="U2869" s="113"/>
      <c r="AF2869" s="2"/>
      <c r="AG2869" s="2"/>
      <c r="AS2869"/>
      <c r="AT2869"/>
    </row>
    <row r="2870" spans="20:46" ht="16.8">
      <c r="T2870" s="112"/>
      <c r="U2870" s="113"/>
      <c r="AF2870" s="2"/>
      <c r="AG2870" s="2"/>
      <c r="AS2870"/>
      <c r="AT2870"/>
    </row>
    <row r="2871" spans="20:46" ht="16.8">
      <c r="T2871" s="112"/>
      <c r="U2871" s="113"/>
      <c r="AF2871" s="2"/>
      <c r="AG2871" s="2"/>
      <c r="AS2871"/>
      <c r="AT2871"/>
    </row>
    <row r="2872" spans="20:46" ht="16.8">
      <c r="T2872" s="112"/>
      <c r="U2872" s="113"/>
      <c r="AF2872" s="2"/>
      <c r="AG2872" s="2"/>
      <c r="AS2872"/>
      <c r="AT2872"/>
    </row>
    <row r="2873" spans="20:46" ht="16.8">
      <c r="T2873" s="112"/>
      <c r="U2873" s="113"/>
      <c r="AF2873" s="2"/>
      <c r="AG2873" s="2"/>
      <c r="AS2873"/>
      <c r="AT2873"/>
    </row>
    <row r="2874" spans="20:46" ht="16.8">
      <c r="T2874" s="112"/>
      <c r="U2874" s="113"/>
      <c r="AF2874" s="2"/>
      <c r="AG2874" s="2"/>
      <c r="AS2874"/>
      <c r="AT2874"/>
    </row>
    <row r="2875" spans="20:46" ht="16.8">
      <c r="T2875" s="112"/>
      <c r="U2875" s="113"/>
      <c r="AF2875" s="2"/>
      <c r="AG2875" s="2"/>
      <c r="AS2875"/>
      <c r="AT2875"/>
    </row>
    <row r="2876" spans="20:46" ht="16.8">
      <c r="T2876" s="112"/>
      <c r="U2876" s="113"/>
      <c r="AF2876" s="2"/>
      <c r="AG2876" s="2"/>
      <c r="AS2876"/>
      <c r="AT2876"/>
    </row>
    <row r="2877" spans="20:46" ht="16.8">
      <c r="T2877" s="112"/>
      <c r="U2877" s="113"/>
      <c r="AF2877" s="2"/>
      <c r="AG2877" s="2"/>
      <c r="AS2877"/>
      <c r="AT2877"/>
    </row>
    <row r="2878" spans="20:46" ht="16.8">
      <c r="T2878" s="112"/>
      <c r="U2878" s="113"/>
      <c r="AF2878" s="2"/>
      <c r="AG2878" s="2"/>
      <c r="AS2878"/>
      <c r="AT2878"/>
    </row>
    <row r="2879" spans="20:46" ht="16.8">
      <c r="T2879" s="112"/>
      <c r="U2879" s="113"/>
      <c r="AF2879" s="2"/>
      <c r="AG2879" s="2"/>
      <c r="AS2879"/>
      <c r="AT2879"/>
    </row>
    <row r="2880" spans="20:46" ht="16.8">
      <c r="T2880" s="112"/>
      <c r="U2880" s="113"/>
      <c r="AF2880" s="2"/>
      <c r="AG2880" s="2"/>
      <c r="AS2880"/>
      <c r="AT2880"/>
    </row>
    <row r="2881" spans="20:46" ht="16.8">
      <c r="T2881" s="112"/>
      <c r="U2881" s="113"/>
      <c r="AF2881" s="2"/>
      <c r="AG2881" s="2"/>
      <c r="AS2881"/>
      <c r="AT2881"/>
    </row>
    <row r="2882" spans="20:46" ht="16.8">
      <c r="T2882" s="112"/>
      <c r="U2882" s="113"/>
      <c r="AF2882" s="2"/>
      <c r="AG2882" s="2"/>
      <c r="AS2882"/>
      <c r="AT2882"/>
    </row>
    <row r="2883" spans="20:46" ht="16.8">
      <c r="T2883" s="112"/>
      <c r="U2883" s="113"/>
      <c r="AF2883" s="2"/>
      <c r="AG2883" s="2"/>
      <c r="AS2883"/>
      <c r="AT2883"/>
    </row>
    <row r="2884" spans="20:46" ht="16.8">
      <c r="T2884" s="112"/>
      <c r="U2884" s="113"/>
      <c r="AF2884" s="2"/>
      <c r="AG2884" s="2"/>
      <c r="AS2884"/>
      <c r="AT2884"/>
    </row>
    <row r="2885" spans="20:46" ht="16.8">
      <c r="T2885" s="112"/>
      <c r="U2885" s="113"/>
      <c r="AF2885" s="2"/>
      <c r="AG2885" s="2"/>
      <c r="AS2885"/>
      <c r="AT2885"/>
    </row>
    <row r="2886" spans="20:46" ht="16.8">
      <c r="T2886" s="112"/>
      <c r="U2886" s="113"/>
      <c r="AF2886" s="2"/>
      <c r="AG2886" s="2"/>
      <c r="AS2886"/>
      <c r="AT2886"/>
    </row>
    <row r="2887" spans="20:46" ht="16.8">
      <c r="T2887" s="112"/>
      <c r="U2887" s="113"/>
      <c r="AF2887" s="2"/>
      <c r="AG2887" s="2"/>
      <c r="AS2887"/>
      <c r="AT2887"/>
    </row>
    <row r="2888" spans="20:46" ht="16.8">
      <c r="T2888" s="112"/>
      <c r="U2888" s="113"/>
      <c r="AF2888" s="2"/>
      <c r="AG2888" s="2"/>
      <c r="AS2888"/>
      <c r="AT2888"/>
    </row>
    <row r="2889" spans="20:46" ht="16.8">
      <c r="T2889" s="112"/>
      <c r="U2889" s="113"/>
      <c r="AF2889" s="2"/>
      <c r="AG2889" s="2"/>
      <c r="AS2889"/>
      <c r="AT2889"/>
    </row>
    <row r="2890" spans="20:46" ht="16.8">
      <c r="T2890" s="112"/>
      <c r="U2890" s="113"/>
      <c r="AF2890" s="2"/>
      <c r="AG2890" s="2"/>
      <c r="AS2890"/>
      <c r="AT2890"/>
    </row>
    <row r="2891" spans="20:46" ht="16.8">
      <c r="T2891" s="112"/>
      <c r="U2891" s="113"/>
      <c r="AF2891" s="2"/>
      <c r="AG2891" s="2"/>
      <c r="AS2891"/>
      <c r="AT2891"/>
    </row>
    <row r="2892" spans="20:46" ht="16.8">
      <c r="T2892" s="112"/>
      <c r="U2892" s="113"/>
      <c r="AF2892" s="2"/>
      <c r="AG2892" s="2"/>
      <c r="AS2892"/>
      <c r="AT2892"/>
    </row>
    <row r="2893" spans="20:46" ht="16.8">
      <c r="T2893" s="112"/>
      <c r="U2893" s="113"/>
      <c r="AF2893" s="2"/>
      <c r="AG2893" s="2"/>
      <c r="AS2893"/>
      <c r="AT2893"/>
    </row>
    <row r="2894" spans="20:46" ht="16.8">
      <c r="T2894" s="112"/>
      <c r="U2894" s="113"/>
      <c r="AF2894" s="2"/>
      <c r="AG2894" s="2"/>
      <c r="AS2894"/>
      <c r="AT2894"/>
    </row>
    <row r="2895" spans="20:46" ht="16.8">
      <c r="T2895" s="112"/>
      <c r="U2895" s="113"/>
      <c r="AF2895" s="2"/>
      <c r="AG2895" s="2"/>
      <c r="AS2895"/>
      <c r="AT2895"/>
    </row>
    <row r="2896" spans="20:46" ht="16.8">
      <c r="T2896" s="112"/>
      <c r="U2896" s="113"/>
      <c r="AF2896" s="2"/>
      <c r="AG2896" s="2"/>
      <c r="AS2896"/>
      <c r="AT2896"/>
    </row>
    <row r="2897" spans="20:46" ht="16.8">
      <c r="T2897" s="112"/>
      <c r="U2897" s="113"/>
      <c r="AF2897" s="2"/>
      <c r="AG2897" s="2"/>
      <c r="AS2897"/>
      <c r="AT2897"/>
    </row>
    <row r="2898" spans="20:46" ht="16.8">
      <c r="T2898" s="112"/>
      <c r="U2898" s="113"/>
      <c r="AF2898" s="2"/>
      <c r="AG2898" s="2"/>
      <c r="AS2898"/>
      <c r="AT2898"/>
    </row>
    <row r="2899" spans="20:46" ht="16.8">
      <c r="T2899" s="112"/>
      <c r="U2899" s="113"/>
      <c r="AF2899" s="2"/>
      <c r="AG2899" s="2"/>
      <c r="AS2899"/>
      <c r="AT2899"/>
    </row>
    <row r="2900" spans="20:46" ht="16.8">
      <c r="T2900" s="112"/>
      <c r="U2900" s="113"/>
      <c r="AF2900" s="2"/>
      <c r="AG2900" s="2"/>
      <c r="AS2900"/>
      <c r="AT2900"/>
    </row>
    <row r="2901" spans="20:46" ht="16.8">
      <c r="T2901" s="112"/>
      <c r="U2901" s="113"/>
      <c r="AF2901" s="2"/>
      <c r="AG2901" s="2"/>
      <c r="AS2901"/>
      <c r="AT2901"/>
    </row>
    <row r="2902" spans="20:46" ht="16.8">
      <c r="T2902" s="112"/>
      <c r="U2902" s="113"/>
      <c r="AF2902" s="2"/>
      <c r="AG2902" s="2"/>
      <c r="AS2902"/>
      <c r="AT2902"/>
    </row>
    <row r="2903" spans="20:46" ht="16.8">
      <c r="T2903" s="112"/>
      <c r="U2903" s="113"/>
      <c r="AF2903" s="2"/>
      <c r="AG2903" s="2"/>
      <c r="AS2903"/>
      <c r="AT2903"/>
    </row>
    <row r="2904" spans="20:46" ht="16.8">
      <c r="T2904" s="112"/>
      <c r="U2904" s="113"/>
      <c r="AF2904" s="2"/>
      <c r="AG2904" s="2"/>
      <c r="AS2904"/>
      <c r="AT2904"/>
    </row>
    <row r="2905" spans="20:46" ht="16.8">
      <c r="T2905" s="112"/>
      <c r="U2905" s="113"/>
      <c r="AF2905" s="2"/>
      <c r="AG2905" s="2"/>
      <c r="AS2905"/>
      <c r="AT2905"/>
    </row>
    <row r="2906" spans="20:46" ht="16.8">
      <c r="T2906" s="112"/>
      <c r="U2906" s="113"/>
      <c r="AF2906" s="2"/>
      <c r="AG2906" s="2"/>
      <c r="AS2906"/>
      <c r="AT2906"/>
    </row>
    <row r="2907" spans="20:46" ht="16.8">
      <c r="T2907" s="112"/>
      <c r="U2907" s="113"/>
      <c r="AF2907" s="2"/>
      <c r="AG2907" s="2"/>
      <c r="AS2907"/>
      <c r="AT2907"/>
    </row>
    <row r="2908" spans="20:46" ht="16.8">
      <c r="T2908" s="112"/>
      <c r="U2908" s="113"/>
      <c r="AF2908" s="2"/>
      <c r="AG2908" s="2"/>
      <c r="AS2908"/>
      <c r="AT2908"/>
    </row>
    <row r="2909" spans="20:46" ht="16.8">
      <c r="T2909" s="112"/>
      <c r="U2909" s="113"/>
      <c r="AF2909" s="2"/>
      <c r="AG2909" s="2"/>
      <c r="AS2909"/>
      <c r="AT2909"/>
    </row>
    <row r="2910" spans="20:46" ht="16.8">
      <c r="T2910" s="112"/>
      <c r="U2910" s="113"/>
      <c r="AF2910" s="2"/>
      <c r="AG2910" s="2"/>
      <c r="AS2910"/>
      <c r="AT2910"/>
    </row>
    <row r="2911" spans="20:46" ht="16.8">
      <c r="T2911" s="112"/>
      <c r="U2911" s="113"/>
      <c r="AF2911" s="2"/>
      <c r="AG2911" s="2"/>
      <c r="AS2911"/>
      <c r="AT2911"/>
    </row>
    <row r="2912" spans="20:46" ht="16.8">
      <c r="T2912" s="112"/>
      <c r="U2912" s="113"/>
      <c r="AF2912" s="2"/>
      <c r="AG2912" s="2"/>
      <c r="AS2912"/>
      <c r="AT2912"/>
    </row>
    <row r="2913" spans="20:46" ht="16.8">
      <c r="T2913" s="112"/>
      <c r="U2913" s="113"/>
      <c r="AF2913" s="2"/>
      <c r="AG2913" s="2"/>
      <c r="AS2913"/>
      <c r="AT2913"/>
    </row>
    <row r="2914" spans="20:46" ht="16.8">
      <c r="T2914" s="112"/>
      <c r="U2914" s="113"/>
      <c r="AF2914" s="2"/>
      <c r="AG2914" s="2"/>
      <c r="AS2914"/>
      <c r="AT2914"/>
    </row>
    <row r="2915" spans="20:46" ht="16.8">
      <c r="T2915" s="112"/>
      <c r="U2915" s="113"/>
      <c r="AF2915" s="2"/>
      <c r="AG2915" s="2"/>
      <c r="AS2915"/>
      <c r="AT2915"/>
    </row>
    <row r="2916" spans="20:46" ht="16.8">
      <c r="T2916" s="112"/>
      <c r="U2916" s="113"/>
      <c r="AF2916" s="2"/>
      <c r="AG2916" s="2"/>
      <c r="AS2916"/>
      <c r="AT2916"/>
    </row>
    <row r="2917" spans="20:46" ht="16.8">
      <c r="T2917" s="112"/>
      <c r="U2917" s="113"/>
      <c r="AF2917" s="2"/>
      <c r="AG2917" s="2"/>
      <c r="AS2917"/>
      <c r="AT2917"/>
    </row>
    <row r="2918" spans="20:46" ht="16.8">
      <c r="T2918" s="112"/>
      <c r="U2918" s="113"/>
      <c r="AF2918" s="2"/>
      <c r="AG2918" s="2"/>
      <c r="AS2918"/>
      <c r="AT2918"/>
    </row>
    <row r="2919" spans="20:46" ht="16.8">
      <c r="T2919" s="112"/>
      <c r="U2919" s="113"/>
      <c r="AF2919" s="2"/>
      <c r="AG2919" s="2"/>
      <c r="AS2919"/>
      <c r="AT2919"/>
    </row>
    <row r="2920" spans="20:46" ht="16.8">
      <c r="T2920" s="112"/>
      <c r="U2920" s="113"/>
      <c r="AF2920" s="2"/>
      <c r="AG2920" s="2"/>
      <c r="AS2920"/>
      <c r="AT2920"/>
    </row>
    <row r="2921" spans="20:46" ht="16.8">
      <c r="T2921" s="112"/>
      <c r="U2921" s="113"/>
      <c r="AF2921" s="2"/>
      <c r="AG2921" s="2"/>
      <c r="AS2921"/>
      <c r="AT2921"/>
    </row>
    <row r="2922" spans="20:46" ht="16.8">
      <c r="T2922" s="112"/>
      <c r="U2922" s="113"/>
      <c r="AF2922" s="2"/>
      <c r="AG2922" s="2"/>
      <c r="AS2922"/>
      <c r="AT2922"/>
    </row>
    <row r="2923" spans="20:46" ht="16.8">
      <c r="T2923" s="112"/>
      <c r="U2923" s="113"/>
      <c r="AF2923" s="2"/>
      <c r="AG2923" s="2"/>
      <c r="AS2923"/>
      <c r="AT2923"/>
    </row>
    <row r="2924" spans="20:46" ht="16.8">
      <c r="T2924" s="112"/>
      <c r="U2924" s="113"/>
      <c r="AF2924" s="2"/>
      <c r="AG2924" s="2"/>
      <c r="AS2924"/>
      <c r="AT2924"/>
    </row>
    <row r="2925" spans="20:46" ht="16.8">
      <c r="T2925" s="112"/>
      <c r="U2925" s="113"/>
      <c r="AF2925" s="2"/>
      <c r="AG2925" s="2"/>
      <c r="AS2925"/>
      <c r="AT2925"/>
    </row>
    <row r="2926" spans="20:46" ht="16.8">
      <c r="T2926" s="112"/>
      <c r="U2926" s="113"/>
      <c r="AF2926" s="2"/>
      <c r="AG2926" s="2"/>
      <c r="AS2926"/>
      <c r="AT2926"/>
    </row>
    <row r="2927" spans="20:46" ht="16.8">
      <c r="T2927" s="112"/>
      <c r="U2927" s="113"/>
      <c r="AF2927" s="2"/>
      <c r="AG2927" s="2"/>
      <c r="AS2927"/>
      <c r="AT2927"/>
    </row>
    <row r="2928" spans="20:46" ht="16.8">
      <c r="T2928" s="112"/>
      <c r="U2928" s="113"/>
      <c r="AF2928" s="2"/>
      <c r="AG2928" s="2"/>
      <c r="AS2928"/>
      <c r="AT2928"/>
    </row>
    <row r="2929" spans="20:46" ht="16.8">
      <c r="T2929" s="112"/>
      <c r="U2929" s="113"/>
      <c r="AF2929" s="2"/>
      <c r="AG2929" s="2"/>
      <c r="AS2929"/>
      <c r="AT2929"/>
    </row>
    <row r="2930" spans="20:46" ht="16.8">
      <c r="T2930" s="112"/>
      <c r="U2930" s="113"/>
      <c r="AF2930" s="2"/>
      <c r="AG2930" s="2"/>
      <c r="AS2930"/>
      <c r="AT2930"/>
    </row>
    <row r="2931" spans="20:46" ht="16.8">
      <c r="T2931" s="112"/>
      <c r="U2931" s="113"/>
      <c r="AF2931" s="2"/>
      <c r="AG2931" s="2"/>
      <c r="AS2931"/>
      <c r="AT2931"/>
    </row>
    <row r="2932" spans="20:46" ht="16.8">
      <c r="T2932" s="112"/>
      <c r="U2932" s="113"/>
      <c r="AF2932" s="2"/>
      <c r="AG2932" s="2"/>
      <c r="AS2932"/>
      <c r="AT2932"/>
    </row>
    <row r="2933" spans="20:46" ht="16.8">
      <c r="T2933" s="112"/>
      <c r="U2933" s="113"/>
      <c r="AF2933" s="2"/>
      <c r="AG2933" s="2"/>
      <c r="AS2933"/>
      <c r="AT2933"/>
    </row>
    <row r="2934" spans="20:46" ht="16.8">
      <c r="T2934" s="112"/>
      <c r="U2934" s="113"/>
      <c r="AF2934" s="2"/>
      <c r="AG2934" s="2"/>
      <c r="AS2934"/>
      <c r="AT2934"/>
    </row>
    <row r="2935" spans="20:46" ht="16.8">
      <c r="T2935" s="112"/>
      <c r="U2935" s="113"/>
      <c r="AF2935" s="2"/>
      <c r="AG2935" s="2"/>
      <c r="AS2935"/>
      <c r="AT2935"/>
    </row>
    <row r="2936" spans="20:46" ht="16.8">
      <c r="T2936" s="112"/>
      <c r="U2936" s="113"/>
      <c r="AF2936" s="2"/>
      <c r="AG2936" s="2"/>
      <c r="AS2936"/>
      <c r="AT2936"/>
    </row>
    <row r="2937" spans="20:46" ht="16.8">
      <c r="T2937" s="112"/>
      <c r="U2937" s="113"/>
      <c r="AF2937" s="2"/>
      <c r="AG2937" s="2"/>
      <c r="AS2937"/>
      <c r="AT2937"/>
    </row>
    <row r="2938" spans="20:46" ht="16.8">
      <c r="T2938" s="112"/>
      <c r="U2938" s="113"/>
      <c r="AF2938" s="2"/>
      <c r="AG2938" s="2"/>
      <c r="AS2938"/>
      <c r="AT2938"/>
    </row>
    <row r="2939" spans="20:46" ht="16.8">
      <c r="T2939" s="112"/>
      <c r="U2939" s="113"/>
      <c r="AF2939" s="2"/>
      <c r="AG2939" s="2"/>
      <c r="AS2939"/>
      <c r="AT2939"/>
    </row>
    <row r="2940" spans="20:46" ht="16.8">
      <c r="T2940" s="112"/>
      <c r="U2940" s="113"/>
      <c r="AF2940" s="2"/>
      <c r="AG2940" s="2"/>
      <c r="AS2940"/>
      <c r="AT2940"/>
    </row>
    <row r="2941" spans="20:46" ht="16.8">
      <c r="T2941" s="112"/>
      <c r="U2941" s="113"/>
      <c r="AF2941" s="2"/>
      <c r="AG2941" s="2"/>
      <c r="AS2941"/>
      <c r="AT2941"/>
    </row>
    <row r="2942" spans="20:46" ht="16.8">
      <c r="T2942" s="112"/>
      <c r="U2942" s="113"/>
      <c r="AF2942" s="2"/>
      <c r="AG2942" s="2"/>
      <c r="AS2942"/>
      <c r="AT2942"/>
    </row>
    <row r="2943" spans="20:46" ht="16.8">
      <c r="T2943" s="112"/>
      <c r="U2943" s="113"/>
      <c r="AF2943" s="2"/>
      <c r="AG2943" s="2"/>
      <c r="AS2943"/>
      <c r="AT2943"/>
    </row>
    <row r="2944" spans="20:46" ht="16.8">
      <c r="T2944" s="112"/>
      <c r="U2944" s="113"/>
      <c r="AF2944" s="2"/>
      <c r="AG2944" s="2"/>
      <c r="AS2944"/>
      <c r="AT2944"/>
    </row>
    <row r="2945" spans="20:46" ht="16.8">
      <c r="T2945" s="112"/>
      <c r="U2945" s="113"/>
      <c r="AF2945" s="2"/>
      <c r="AG2945" s="2"/>
      <c r="AS2945"/>
      <c r="AT2945"/>
    </row>
    <row r="2946" spans="20:46" ht="16.8">
      <c r="T2946" s="112"/>
      <c r="U2946" s="113"/>
      <c r="AF2946" s="2"/>
      <c r="AG2946" s="2"/>
      <c r="AS2946"/>
      <c r="AT2946"/>
    </row>
    <row r="2947" spans="20:46" ht="16.8">
      <c r="T2947" s="112"/>
      <c r="U2947" s="113"/>
      <c r="AF2947" s="2"/>
      <c r="AG2947" s="2"/>
      <c r="AS2947"/>
      <c r="AT2947"/>
    </row>
    <row r="2948" spans="20:46" ht="16.8">
      <c r="T2948" s="112"/>
      <c r="U2948" s="113"/>
      <c r="AF2948" s="2"/>
      <c r="AG2948" s="2"/>
      <c r="AS2948"/>
      <c r="AT2948"/>
    </row>
    <row r="2949" spans="20:46" ht="16.8">
      <c r="T2949" s="112"/>
      <c r="U2949" s="113"/>
      <c r="AF2949" s="2"/>
      <c r="AG2949" s="2"/>
      <c r="AS2949"/>
      <c r="AT2949"/>
    </row>
    <row r="2950" spans="20:46" ht="16.8">
      <c r="T2950" s="112"/>
      <c r="U2950" s="113"/>
      <c r="AF2950" s="2"/>
      <c r="AG2950" s="2"/>
      <c r="AS2950"/>
      <c r="AT2950"/>
    </row>
    <row r="2951" spans="20:46" ht="16.8">
      <c r="T2951" s="112"/>
      <c r="U2951" s="113"/>
      <c r="AF2951" s="2"/>
      <c r="AG2951" s="2"/>
      <c r="AS2951"/>
      <c r="AT2951"/>
    </row>
    <row r="2952" spans="20:46" ht="16.8">
      <c r="T2952" s="112"/>
      <c r="U2952" s="113"/>
      <c r="AF2952" s="2"/>
      <c r="AG2952" s="2"/>
      <c r="AS2952"/>
      <c r="AT2952"/>
    </row>
    <row r="2953" spans="20:46" ht="16.8">
      <c r="T2953" s="112"/>
      <c r="U2953" s="113"/>
      <c r="AF2953" s="2"/>
      <c r="AG2953" s="2"/>
      <c r="AS2953"/>
      <c r="AT2953"/>
    </row>
    <row r="2954" spans="20:46" ht="16.8">
      <c r="T2954" s="112"/>
      <c r="U2954" s="113"/>
      <c r="AF2954" s="2"/>
      <c r="AG2954" s="2"/>
      <c r="AS2954"/>
      <c r="AT2954"/>
    </row>
    <row r="2955" spans="20:46" ht="16.8">
      <c r="T2955" s="112"/>
      <c r="U2955" s="113"/>
      <c r="AF2955" s="2"/>
      <c r="AG2955" s="2"/>
      <c r="AS2955"/>
      <c r="AT2955"/>
    </row>
    <row r="2956" spans="20:46" ht="16.8">
      <c r="T2956" s="112"/>
      <c r="U2956" s="113"/>
      <c r="AF2956" s="2"/>
      <c r="AG2956" s="2"/>
      <c r="AS2956"/>
      <c r="AT2956"/>
    </row>
    <row r="2957" spans="20:46" ht="16.8">
      <c r="T2957" s="112"/>
      <c r="U2957" s="113"/>
      <c r="AF2957" s="2"/>
      <c r="AG2957" s="2"/>
      <c r="AS2957"/>
      <c r="AT2957"/>
    </row>
    <row r="2958" spans="20:46" ht="16.8">
      <c r="T2958" s="112"/>
      <c r="U2958" s="113"/>
      <c r="AF2958" s="2"/>
      <c r="AG2958" s="2"/>
      <c r="AS2958"/>
      <c r="AT2958"/>
    </row>
    <row r="2959" spans="20:46" ht="16.8">
      <c r="T2959" s="112"/>
      <c r="U2959" s="113"/>
      <c r="AF2959" s="2"/>
      <c r="AG2959" s="2"/>
      <c r="AS2959"/>
      <c r="AT2959"/>
    </row>
    <row r="2960" spans="20:46" ht="16.8">
      <c r="T2960" s="112"/>
      <c r="U2960" s="113"/>
      <c r="AF2960" s="2"/>
      <c r="AG2960" s="2"/>
      <c r="AS2960"/>
      <c r="AT2960"/>
    </row>
    <row r="2961" spans="20:46" ht="16.8">
      <c r="T2961" s="112"/>
      <c r="U2961" s="113"/>
      <c r="AF2961" s="2"/>
      <c r="AG2961" s="2"/>
      <c r="AS2961"/>
      <c r="AT2961"/>
    </row>
    <row r="2962" spans="20:46" ht="16.8">
      <c r="T2962" s="112"/>
      <c r="U2962" s="113"/>
      <c r="AF2962" s="2"/>
      <c r="AG2962" s="2"/>
      <c r="AS2962"/>
      <c r="AT2962"/>
    </row>
    <row r="2963" spans="20:46" ht="16.8">
      <c r="T2963" s="112"/>
      <c r="U2963" s="113"/>
      <c r="AF2963" s="2"/>
      <c r="AG2963" s="2"/>
      <c r="AS2963"/>
      <c r="AT2963"/>
    </row>
    <row r="2964" spans="20:46" ht="16.8">
      <c r="T2964" s="112"/>
      <c r="U2964" s="113"/>
      <c r="AF2964" s="2"/>
      <c r="AG2964" s="2"/>
      <c r="AS2964"/>
      <c r="AT2964"/>
    </row>
    <row r="2965" spans="20:46" ht="16.8">
      <c r="T2965" s="112"/>
      <c r="U2965" s="113"/>
      <c r="AF2965" s="2"/>
      <c r="AG2965" s="2"/>
      <c r="AS2965"/>
      <c r="AT2965"/>
    </row>
    <row r="2966" spans="20:46" ht="16.8">
      <c r="T2966" s="112"/>
      <c r="U2966" s="113"/>
      <c r="AF2966" s="2"/>
      <c r="AG2966" s="2"/>
      <c r="AS2966"/>
      <c r="AT2966"/>
    </row>
    <row r="2967" spans="20:46" ht="16.8">
      <c r="T2967" s="112"/>
      <c r="U2967" s="113"/>
      <c r="AF2967" s="2"/>
      <c r="AG2967" s="2"/>
      <c r="AS2967"/>
      <c r="AT2967"/>
    </row>
    <row r="2968" spans="20:46" ht="16.8">
      <c r="T2968" s="112"/>
      <c r="U2968" s="113"/>
      <c r="AF2968" s="2"/>
      <c r="AG2968" s="2"/>
      <c r="AS2968"/>
      <c r="AT2968"/>
    </row>
    <row r="2969" spans="20:46" ht="16.8">
      <c r="T2969" s="112"/>
      <c r="U2969" s="113"/>
      <c r="AF2969" s="2"/>
      <c r="AG2969" s="2"/>
      <c r="AS2969"/>
      <c r="AT2969"/>
    </row>
    <row r="2970" spans="20:46" ht="16.8">
      <c r="T2970" s="112"/>
      <c r="U2970" s="113"/>
      <c r="AF2970" s="2"/>
      <c r="AG2970" s="2"/>
      <c r="AS2970"/>
      <c r="AT2970"/>
    </row>
    <row r="2971" spans="20:46" ht="16.8">
      <c r="T2971" s="112"/>
      <c r="U2971" s="113"/>
      <c r="AF2971" s="2"/>
      <c r="AG2971" s="2"/>
      <c r="AS2971"/>
      <c r="AT2971"/>
    </row>
    <row r="2972" spans="20:46" ht="16.8">
      <c r="T2972" s="112"/>
      <c r="U2972" s="113"/>
      <c r="AF2972" s="2"/>
      <c r="AG2972" s="2"/>
      <c r="AS2972"/>
      <c r="AT2972"/>
    </row>
    <row r="2973" spans="20:46" ht="16.8">
      <c r="T2973" s="112"/>
      <c r="U2973" s="113"/>
      <c r="AF2973" s="2"/>
      <c r="AG2973" s="2"/>
      <c r="AS2973"/>
      <c r="AT2973"/>
    </row>
    <row r="2974" spans="20:46" ht="16.8">
      <c r="T2974" s="112"/>
      <c r="U2974" s="113"/>
      <c r="AF2974" s="2"/>
      <c r="AG2974" s="2"/>
      <c r="AS2974"/>
      <c r="AT2974"/>
    </row>
    <row r="2975" spans="20:46" ht="16.8">
      <c r="T2975" s="112"/>
      <c r="U2975" s="113"/>
      <c r="AF2975" s="2"/>
      <c r="AG2975" s="2"/>
      <c r="AS2975"/>
      <c r="AT2975"/>
    </row>
    <row r="2976" spans="20:46" ht="16.8">
      <c r="T2976" s="112"/>
      <c r="U2976" s="113"/>
      <c r="AF2976" s="2"/>
      <c r="AG2976" s="2"/>
      <c r="AS2976"/>
      <c r="AT2976"/>
    </row>
    <row r="2977" spans="20:46" ht="16.8">
      <c r="T2977" s="112"/>
      <c r="U2977" s="113"/>
      <c r="AF2977" s="2"/>
      <c r="AG2977" s="2"/>
      <c r="AS2977"/>
      <c r="AT2977"/>
    </row>
    <row r="2978" spans="20:46" ht="16.8">
      <c r="T2978" s="112"/>
      <c r="U2978" s="113"/>
      <c r="AF2978" s="2"/>
      <c r="AG2978" s="2"/>
      <c r="AS2978"/>
      <c r="AT2978"/>
    </row>
    <row r="2979" spans="20:46" ht="16.8">
      <c r="T2979" s="112"/>
      <c r="U2979" s="113"/>
      <c r="AF2979" s="2"/>
      <c r="AG2979" s="2"/>
      <c r="AS2979"/>
      <c r="AT2979"/>
    </row>
    <row r="2980" spans="20:46" ht="16.8">
      <c r="T2980" s="112"/>
      <c r="U2980" s="113"/>
      <c r="AF2980" s="2"/>
      <c r="AG2980" s="2"/>
      <c r="AS2980"/>
      <c r="AT2980"/>
    </row>
    <row r="2981" spans="20:46" ht="16.8">
      <c r="T2981" s="112"/>
      <c r="U2981" s="113"/>
      <c r="AF2981" s="2"/>
      <c r="AG2981" s="2"/>
      <c r="AS2981"/>
      <c r="AT2981"/>
    </row>
    <row r="2982" spans="20:46" ht="16.8">
      <c r="T2982" s="112"/>
      <c r="U2982" s="113"/>
      <c r="AF2982" s="2"/>
      <c r="AG2982" s="2"/>
      <c r="AS2982"/>
      <c r="AT2982"/>
    </row>
    <row r="2983" spans="20:46" ht="16.8">
      <c r="T2983" s="112"/>
      <c r="U2983" s="113"/>
      <c r="AF2983" s="2"/>
      <c r="AG2983" s="2"/>
      <c r="AS2983"/>
      <c r="AT2983"/>
    </row>
    <row r="2984" spans="20:46" ht="16.8">
      <c r="T2984" s="112"/>
      <c r="U2984" s="113"/>
      <c r="AF2984" s="2"/>
      <c r="AG2984" s="2"/>
      <c r="AS2984"/>
      <c r="AT2984"/>
    </row>
    <row r="2985" spans="20:46" ht="16.8">
      <c r="T2985" s="112"/>
      <c r="U2985" s="113"/>
      <c r="AF2985" s="2"/>
      <c r="AG2985" s="2"/>
      <c r="AS2985"/>
      <c r="AT2985"/>
    </row>
    <row r="2986" spans="20:46" ht="16.8">
      <c r="T2986" s="112"/>
      <c r="U2986" s="113"/>
      <c r="AF2986" s="2"/>
      <c r="AG2986" s="2"/>
      <c r="AS2986"/>
      <c r="AT2986"/>
    </row>
    <row r="2987" spans="20:46" ht="16.8">
      <c r="T2987" s="112"/>
      <c r="U2987" s="113"/>
      <c r="AF2987" s="2"/>
      <c r="AG2987" s="2"/>
      <c r="AS2987"/>
      <c r="AT2987"/>
    </row>
    <row r="2988" spans="20:46" ht="16.8">
      <c r="T2988" s="112"/>
      <c r="U2988" s="113"/>
      <c r="AF2988" s="2"/>
      <c r="AG2988" s="2"/>
      <c r="AS2988"/>
      <c r="AT2988"/>
    </row>
    <row r="2989" spans="20:46" ht="16.8">
      <c r="T2989" s="112"/>
      <c r="U2989" s="113"/>
      <c r="AF2989" s="2"/>
      <c r="AG2989" s="2"/>
      <c r="AS2989"/>
      <c r="AT2989"/>
    </row>
    <row r="2990" spans="20:46" ht="16.8">
      <c r="T2990" s="112"/>
      <c r="U2990" s="113"/>
      <c r="AF2990" s="2"/>
      <c r="AG2990" s="2"/>
      <c r="AS2990"/>
      <c r="AT2990"/>
    </row>
    <row r="2991" spans="20:46" ht="16.8">
      <c r="T2991" s="112"/>
      <c r="U2991" s="113"/>
      <c r="AF2991" s="2"/>
      <c r="AG2991" s="2"/>
      <c r="AS2991"/>
      <c r="AT2991"/>
    </row>
    <row r="2992" spans="20:46" ht="16.8">
      <c r="T2992" s="112"/>
      <c r="U2992" s="113"/>
      <c r="AF2992" s="2"/>
      <c r="AG2992" s="2"/>
      <c r="AS2992"/>
      <c r="AT2992"/>
    </row>
    <row r="2993" spans="20:46" ht="16.8">
      <c r="T2993" s="112"/>
      <c r="U2993" s="113"/>
      <c r="AF2993" s="2"/>
      <c r="AG2993" s="2"/>
      <c r="AS2993"/>
      <c r="AT2993"/>
    </row>
    <row r="2994" spans="20:46" ht="16.8">
      <c r="T2994" s="112"/>
      <c r="U2994" s="113"/>
      <c r="AF2994" s="2"/>
      <c r="AG2994" s="2"/>
      <c r="AS2994"/>
      <c r="AT2994"/>
    </row>
    <row r="2995" spans="20:46" ht="16.8">
      <c r="T2995" s="112"/>
      <c r="U2995" s="113"/>
      <c r="AF2995" s="2"/>
      <c r="AG2995" s="2"/>
      <c r="AS2995"/>
      <c r="AT2995"/>
    </row>
    <row r="2996" spans="20:46" ht="16.8">
      <c r="T2996" s="112"/>
      <c r="U2996" s="113"/>
      <c r="AF2996" s="2"/>
      <c r="AG2996" s="2"/>
      <c r="AS2996"/>
      <c r="AT2996"/>
    </row>
    <row r="2997" spans="20:46" ht="16.8">
      <c r="T2997" s="112"/>
      <c r="U2997" s="113"/>
      <c r="AF2997" s="2"/>
      <c r="AG2997" s="2"/>
      <c r="AS2997"/>
      <c r="AT2997"/>
    </row>
    <row r="2998" spans="20:46" ht="16.8">
      <c r="T2998" s="112"/>
      <c r="U2998" s="113"/>
      <c r="AF2998" s="2"/>
      <c r="AG2998" s="2"/>
      <c r="AS2998"/>
      <c r="AT2998"/>
    </row>
    <row r="2999" spans="20:46" ht="16.8">
      <c r="T2999" s="112"/>
      <c r="U2999" s="113"/>
      <c r="AF2999" s="2"/>
      <c r="AG2999" s="2"/>
      <c r="AS2999"/>
      <c r="AT2999"/>
    </row>
    <row r="3000" spans="20:46" ht="16.8">
      <c r="T3000" s="112"/>
      <c r="U3000" s="113"/>
      <c r="AF3000" s="2"/>
      <c r="AG3000" s="2"/>
      <c r="AS3000"/>
      <c r="AT3000"/>
    </row>
    <row r="3001" spans="20:46" ht="16.8">
      <c r="T3001" s="112"/>
      <c r="U3001" s="113"/>
      <c r="AF3001" s="2"/>
      <c r="AG3001" s="2"/>
      <c r="AS3001"/>
      <c r="AT3001"/>
    </row>
    <row r="3002" spans="20:46" ht="16.8">
      <c r="T3002" s="112"/>
      <c r="U3002" s="113"/>
      <c r="AF3002" s="2"/>
      <c r="AG3002" s="2"/>
      <c r="AS3002"/>
      <c r="AT3002"/>
    </row>
    <row r="3003" spans="20:46" ht="16.8">
      <c r="T3003" s="112"/>
      <c r="U3003" s="113"/>
      <c r="AF3003" s="2"/>
      <c r="AG3003" s="2"/>
      <c r="AS3003"/>
      <c r="AT3003"/>
    </row>
    <row r="3004" spans="20:46" ht="16.8">
      <c r="T3004" s="112"/>
      <c r="U3004" s="113"/>
      <c r="AF3004" s="2"/>
      <c r="AG3004" s="2"/>
      <c r="AS3004"/>
      <c r="AT3004"/>
    </row>
    <row r="3005" spans="20:46" ht="16.8">
      <c r="T3005" s="112"/>
      <c r="U3005" s="113"/>
      <c r="AF3005" s="2"/>
      <c r="AG3005" s="2"/>
      <c r="AS3005"/>
      <c r="AT3005"/>
    </row>
    <row r="3006" spans="20:46" ht="16.8">
      <c r="T3006" s="112"/>
      <c r="U3006" s="113"/>
      <c r="AF3006" s="2"/>
      <c r="AG3006" s="2"/>
      <c r="AS3006"/>
      <c r="AT3006"/>
    </row>
    <row r="3007" spans="20:46" ht="16.8">
      <c r="T3007" s="112"/>
      <c r="U3007" s="113"/>
      <c r="AF3007" s="2"/>
      <c r="AG3007" s="2"/>
      <c r="AS3007"/>
      <c r="AT3007"/>
    </row>
    <row r="3008" spans="20:46" ht="16.8">
      <c r="T3008" s="112"/>
      <c r="U3008" s="113"/>
      <c r="AF3008" s="2"/>
      <c r="AG3008" s="2"/>
      <c r="AS3008"/>
      <c r="AT3008"/>
    </row>
    <row r="3009" spans="20:46" ht="16.8">
      <c r="T3009" s="112"/>
      <c r="U3009" s="113"/>
      <c r="AF3009" s="2"/>
      <c r="AG3009" s="2"/>
      <c r="AS3009"/>
      <c r="AT3009"/>
    </row>
    <row r="3010" spans="20:46" ht="16.8">
      <c r="T3010" s="112"/>
      <c r="U3010" s="113"/>
      <c r="AF3010" s="2"/>
      <c r="AG3010" s="2"/>
      <c r="AS3010"/>
      <c r="AT3010"/>
    </row>
    <row r="3011" spans="20:46" ht="16.8">
      <c r="T3011" s="112"/>
      <c r="U3011" s="113"/>
      <c r="AF3011" s="2"/>
      <c r="AG3011" s="2"/>
      <c r="AS3011"/>
      <c r="AT3011"/>
    </row>
    <row r="3012" spans="20:46" ht="16.8">
      <c r="T3012" s="112"/>
      <c r="U3012" s="113"/>
      <c r="AF3012" s="2"/>
      <c r="AG3012" s="2"/>
      <c r="AS3012"/>
      <c r="AT3012"/>
    </row>
    <row r="3013" spans="20:46" ht="16.8">
      <c r="T3013" s="112"/>
      <c r="U3013" s="113"/>
      <c r="AF3013" s="2"/>
      <c r="AG3013" s="2"/>
      <c r="AS3013"/>
      <c r="AT3013"/>
    </row>
    <row r="3014" spans="20:46" ht="16.8">
      <c r="T3014" s="112"/>
      <c r="U3014" s="113"/>
      <c r="AF3014" s="2"/>
      <c r="AG3014" s="2"/>
      <c r="AS3014"/>
      <c r="AT3014"/>
    </row>
    <row r="3015" spans="20:46" ht="16.8">
      <c r="T3015" s="112"/>
      <c r="U3015" s="113"/>
      <c r="AF3015" s="2"/>
      <c r="AG3015" s="2"/>
      <c r="AS3015"/>
      <c r="AT3015"/>
    </row>
    <row r="3016" spans="20:46" ht="16.8">
      <c r="T3016" s="112"/>
      <c r="U3016" s="113"/>
      <c r="AF3016" s="2"/>
      <c r="AG3016" s="2"/>
      <c r="AS3016"/>
      <c r="AT3016"/>
    </row>
    <row r="3017" spans="20:46" ht="16.8">
      <c r="T3017" s="112"/>
      <c r="U3017" s="113"/>
      <c r="AF3017" s="2"/>
      <c r="AG3017" s="2"/>
      <c r="AS3017"/>
      <c r="AT3017"/>
    </row>
    <row r="3018" spans="20:46" ht="16.8">
      <c r="T3018" s="112"/>
      <c r="U3018" s="113"/>
      <c r="AF3018" s="2"/>
      <c r="AG3018" s="2"/>
      <c r="AS3018"/>
      <c r="AT3018"/>
    </row>
    <row r="3019" spans="20:46" ht="16.8">
      <c r="T3019" s="112"/>
      <c r="U3019" s="113"/>
      <c r="AF3019" s="2"/>
      <c r="AG3019" s="2"/>
      <c r="AS3019"/>
      <c r="AT3019"/>
    </row>
    <row r="3020" spans="20:46" ht="16.8">
      <c r="T3020" s="112"/>
      <c r="U3020" s="113"/>
      <c r="AF3020" s="2"/>
      <c r="AG3020" s="2"/>
      <c r="AS3020"/>
      <c r="AT3020"/>
    </row>
    <row r="3021" spans="20:46" ht="16.8">
      <c r="T3021" s="112"/>
      <c r="U3021" s="113"/>
      <c r="AF3021" s="2"/>
      <c r="AG3021" s="2"/>
      <c r="AS3021"/>
      <c r="AT3021"/>
    </row>
    <row r="3022" spans="20:46" ht="16.8">
      <c r="T3022" s="112"/>
      <c r="U3022" s="113"/>
      <c r="AF3022" s="2"/>
      <c r="AG3022" s="2"/>
      <c r="AS3022"/>
      <c r="AT3022"/>
    </row>
    <row r="3023" spans="20:46" ht="16.8">
      <c r="T3023" s="112"/>
      <c r="U3023" s="113"/>
      <c r="AF3023" s="2"/>
      <c r="AG3023" s="2"/>
      <c r="AS3023"/>
      <c r="AT3023"/>
    </row>
    <row r="3024" spans="20:46" ht="16.8">
      <c r="T3024" s="112"/>
      <c r="U3024" s="113"/>
      <c r="AF3024" s="2"/>
      <c r="AG3024" s="2"/>
      <c r="AS3024"/>
      <c r="AT3024"/>
    </row>
    <row r="3025" spans="20:46" ht="16.8">
      <c r="T3025" s="112"/>
      <c r="U3025" s="113"/>
      <c r="AF3025" s="2"/>
      <c r="AG3025" s="2"/>
      <c r="AS3025"/>
      <c r="AT3025"/>
    </row>
    <row r="3026" spans="20:46" ht="16.8">
      <c r="T3026" s="112"/>
      <c r="U3026" s="113"/>
      <c r="AF3026" s="2"/>
      <c r="AG3026" s="2"/>
      <c r="AS3026"/>
      <c r="AT3026"/>
    </row>
    <row r="3027" spans="20:46" ht="16.8">
      <c r="T3027" s="112"/>
      <c r="U3027" s="113"/>
      <c r="AF3027" s="2"/>
      <c r="AG3027" s="2"/>
      <c r="AS3027"/>
      <c r="AT3027"/>
    </row>
    <row r="3028" spans="20:46" ht="16.8">
      <c r="T3028" s="112"/>
      <c r="U3028" s="113"/>
      <c r="AF3028" s="2"/>
      <c r="AG3028" s="2"/>
      <c r="AS3028"/>
      <c r="AT3028"/>
    </row>
    <row r="3029" spans="20:46" ht="16.8">
      <c r="T3029" s="112"/>
      <c r="U3029" s="113"/>
      <c r="AF3029" s="2"/>
      <c r="AG3029" s="2"/>
      <c r="AS3029"/>
      <c r="AT3029"/>
    </row>
    <row r="3030" spans="20:46" ht="16.8">
      <c r="T3030" s="112"/>
      <c r="U3030" s="113"/>
      <c r="AF3030" s="2"/>
      <c r="AG3030" s="2"/>
      <c r="AS3030"/>
      <c r="AT3030"/>
    </row>
    <row r="3031" spans="20:46" ht="16.8">
      <c r="T3031" s="112"/>
      <c r="U3031" s="113"/>
      <c r="AF3031" s="2"/>
      <c r="AG3031" s="2"/>
      <c r="AS3031"/>
      <c r="AT3031"/>
    </row>
    <row r="3032" spans="20:46" ht="16.8">
      <c r="T3032" s="112"/>
      <c r="U3032" s="113"/>
      <c r="AF3032" s="2"/>
      <c r="AG3032" s="2"/>
      <c r="AS3032"/>
      <c r="AT3032"/>
    </row>
    <row r="3033" spans="20:46" ht="16.8">
      <c r="T3033" s="112"/>
      <c r="U3033" s="113"/>
      <c r="AF3033" s="2"/>
      <c r="AG3033" s="2"/>
      <c r="AS3033"/>
      <c r="AT3033"/>
    </row>
    <row r="3034" spans="20:46" ht="16.8">
      <c r="T3034" s="112"/>
      <c r="U3034" s="113"/>
      <c r="AF3034" s="2"/>
      <c r="AG3034" s="2"/>
      <c r="AS3034"/>
      <c r="AT3034"/>
    </row>
    <row r="3035" spans="20:46" ht="16.8">
      <c r="T3035" s="112"/>
      <c r="U3035" s="113"/>
      <c r="AF3035" s="2"/>
      <c r="AG3035" s="2"/>
      <c r="AS3035"/>
      <c r="AT3035"/>
    </row>
    <row r="3036" spans="20:46" ht="16.8">
      <c r="T3036" s="112"/>
      <c r="U3036" s="113"/>
      <c r="AF3036" s="2"/>
      <c r="AG3036" s="2"/>
      <c r="AS3036"/>
      <c r="AT3036"/>
    </row>
    <row r="3037" spans="20:46" ht="16.8">
      <c r="T3037" s="112"/>
      <c r="U3037" s="113"/>
      <c r="AF3037" s="2"/>
      <c r="AG3037" s="2"/>
      <c r="AS3037"/>
      <c r="AT3037"/>
    </row>
    <row r="3038" spans="20:46" ht="16.8">
      <c r="T3038" s="112"/>
      <c r="U3038" s="113"/>
      <c r="AF3038" s="2"/>
      <c r="AG3038" s="2"/>
      <c r="AS3038"/>
      <c r="AT3038"/>
    </row>
    <row r="3039" spans="20:46" ht="16.8">
      <c r="T3039" s="112"/>
      <c r="U3039" s="113"/>
      <c r="AF3039" s="2"/>
      <c r="AG3039" s="2"/>
      <c r="AS3039"/>
      <c r="AT3039"/>
    </row>
    <row r="3040" spans="20:46" ht="16.8">
      <c r="T3040" s="112"/>
      <c r="U3040" s="113"/>
      <c r="AF3040" s="2"/>
      <c r="AG3040" s="2"/>
      <c r="AS3040"/>
      <c r="AT3040"/>
    </row>
    <row r="3041" spans="20:46" ht="16.8">
      <c r="T3041" s="112"/>
      <c r="U3041" s="113"/>
      <c r="AF3041" s="2"/>
      <c r="AG3041" s="2"/>
      <c r="AS3041"/>
      <c r="AT3041"/>
    </row>
    <row r="3042" spans="20:46" ht="16.8">
      <c r="T3042" s="112"/>
      <c r="U3042" s="113"/>
      <c r="AF3042" s="2"/>
      <c r="AG3042" s="2"/>
      <c r="AS3042"/>
      <c r="AT3042"/>
    </row>
    <row r="3043" spans="20:46" ht="16.8">
      <c r="T3043" s="112"/>
      <c r="U3043" s="113"/>
      <c r="AF3043" s="2"/>
      <c r="AG3043" s="2"/>
      <c r="AS3043"/>
      <c r="AT3043"/>
    </row>
    <row r="3044" spans="20:46" ht="16.8">
      <c r="T3044" s="112"/>
      <c r="U3044" s="113"/>
      <c r="AF3044" s="2"/>
      <c r="AG3044" s="2"/>
      <c r="AS3044"/>
      <c r="AT3044"/>
    </row>
    <row r="3045" spans="20:46" ht="16.8">
      <c r="T3045" s="112"/>
      <c r="U3045" s="113"/>
      <c r="AF3045" s="2"/>
      <c r="AG3045" s="2"/>
      <c r="AS3045"/>
      <c r="AT3045"/>
    </row>
    <row r="3046" spans="20:46" ht="16.8">
      <c r="T3046" s="112"/>
      <c r="U3046" s="113"/>
      <c r="AF3046" s="2"/>
      <c r="AG3046" s="2"/>
      <c r="AS3046"/>
      <c r="AT3046"/>
    </row>
    <row r="3047" spans="20:46" ht="16.8">
      <c r="T3047" s="112"/>
      <c r="U3047" s="113"/>
      <c r="AF3047" s="2"/>
      <c r="AG3047" s="2"/>
      <c r="AS3047"/>
      <c r="AT3047"/>
    </row>
    <row r="3048" spans="20:46" ht="16.8">
      <c r="T3048" s="112"/>
      <c r="U3048" s="113"/>
      <c r="AF3048" s="2"/>
      <c r="AG3048" s="2"/>
      <c r="AS3048"/>
      <c r="AT3048"/>
    </row>
    <row r="3049" spans="20:46" ht="16.8">
      <c r="T3049" s="112"/>
      <c r="U3049" s="113"/>
      <c r="AF3049" s="2"/>
      <c r="AG3049" s="2"/>
      <c r="AS3049"/>
      <c r="AT3049"/>
    </row>
    <row r="3050" spans="20:46" ht="16.8">
      <c r="T3050" s="112"/>
      <c r="U3050" s="113"/>
      <c r="AF3050" s="2"/>
      <c r="AG3050" s="2"/>
      <c r="AS3050"/>
      <c r="AT3050"/>
    </row>
    <row r="3051" spans="20:46" ht="16.8">
      <c r="T3051" s="112"/>
      <c r="U3051" s="113"/>
      <c r="AF3051" s="2"/>
      <c r="AG3051" s="2"/>
      <c r="AS3051"/>
      <c r="AT3051"/>
    </row>
    <row r="3052" spans="20:46" ht="16.8">
      <c r="T3052" s="112"/>
      <c r="U3052" s="113"/>
      <c r="AF3052" s="2"/>
      <c r="AG3052" s="2"/>
      <c r="AS3052"/>
      <c r="AT3052"/>
    </row>
    <row r="3053" spans="20:46" ht="16.8">
      <c r="T3053" s="112"/>
      <c r="U3053" s="113"/>
      <c r="AF3053" s="2"/>
      <c r="AG3053" s="2"/>
      <c r="AS3053"/>
      <c r="AT3053"/>
    </row>
    <row r="3054" spans="20:46" ht="16.8">
      <c r="T3054" s="112"/>
      <c r="U3054" s="113"/>
      <c r="AF3054" s="2"/>
      <c r="AG3054" s="2"/>
      <c r="AS3054"/>
      <c r="AT3054"/>
    </row>
    <row r="3055" spans="20:46" ht="16.8">
      <c r="T3055" s="112"/>
      <c r="U3055" s="113"/>
      <c r="AF3055" s="2"/>
      <c r="AG3055" s="2"/>
      <c r="AS3055"/>
      <c r="AT3055"/>
    </row>
    <row r="3056" spans="20:46" ht="16.8">
      <c r="T3056" s="112"/>
      <c r="U3056" s="113"/>
      <c r="AF3056" s="2"/>
      <c r="AG3056" s="2"/>
      <c r="AS3056"/>
      <c r="AT3056"/>
    </row>
    <row r="3057" spans="20:46" ht="16.8">
      <c r="T3057" s="112"/>
      <c r="U3057" s="113"/>
      <c r="AF3057" s="2"/>
      <c r="AG3057" s="2"/>
      <c r="AS3057"/>
      <c r="AT3057"/>
    </row>
    <row r="3058" spans="20:46" ht="16.8">
      <c r="T3058" s="112"/>
      <c r="U3058" s="113"/>
      <c r="AF3058" s="2"/>
      <c r="AG3058" s="2"/>
      <c r="AS3058"/>
      <c r="AT3058"/>
    </row>
    <row r="3059" spans="20:46" ht="16.8">
      <c r="T3059" s="112"/>
      <c r="U3059" s="113"/>
      <c r="AF3059" s="2"/>
      <c r="AG3059" s="2"/>
      <c r="AS3059"/>
      <c r="AT3059"/>
    </row>
    <row r="3060" spans="20:46" ht="16.8">
      <c r="T3060" s="112"/>
      <c r="U3060" s="113"/>
      <c r="AF3060" s="2"/>
      <c r="AG3060" s="2"/>
      <c r="AS3060"/>
      <c r="AT3060"/>
    </row>
    <row r="3061" spans="20:46" ht="16.8">
      <c r="T3061" s="112"/>
      <c r="U3061" s="113"/>
      <c r="AF3061" s="2"/>
      <c r="AG3061" s="2"/>
      <c r="AS3061"/>
      <c r="AT3061"/>
    </row>
    <row r="3062" spans="20:46" ht="16.8">
      <c r="T3062" s="112"/>
      <c r="U3062" s="113"/>
      <c r="AF3062" s="2"/>
      <c r="AG3062" s="2"/>
      <c r="AS3062"/>
      <c r="AT3062"/>
    </row>
    <row r="3063" spans="20:46" ht="16.8">
      <c r="T3063" s="112"/>
      <c r="U3063" s="113"/>
      <c r="AF3063" s="2"/>
      <c r="AG3063" s="2"/>
      <c r="AS3063"/>
      <c r="AT3063"/>
    </row>
    <row r="3064" spans="20:46" ht="16.8">
      <c r="T3064" s="112"/>
      <c r="U3064" s="113"/>
      <c r="AF3064" s="2"/>
      <c r="AG3064" s="2"/>
      <c r="AS3064"/>
      <c r="AT3064"/>
    </row>
    <row r="3065" spans="20:46" ht="16.8">
      <c r="T3065" s="112"/>
      <c r="U3065" s="113"/>
      <c r="AF3065" s="2"/>
      <c r="AG3065" s="2"/>
      <c r="AS3065"/>
      <c r="AT3065"/>
    </row>
    <row r="3066" spans="20:46" ht="16.8">
      <c r="T3066" s="112"/>
      <c r="U3066" s="113"/>
      <c r="AF3066" s="2"/>
      <c r="AG3066" s="2"/>
      <c r="AS3066"/>
      <c r="AT3066"/>
    </row>
    <row r="3067" spans="20:46" ht="16.8">
      <c r="T3067" s="112"/>
      <c r="U3067" s="113"/>
      <c r="AF3067" s="2"/>
      <c r="AG3067" s="2"/>
      <c r="AS3067"/>
      <c r="AT3067"/>
    </row>
    <row r="3068" spans="20:46" ht="16.8">
      <c r="T3068" s="112"/>
      <c r="U3068" s="113"/>
      <c r="AF3068" s="2"/>
      <c r="AG3068" s="2"/>
      <c r="AS3068"/>
      <c r="AT3068"/>
    </row>
    <row r="3069" spans="20:46" ht="16.8">
      <c r="T3069" s="112"/>
      <c r="U3069" s="113"/>
      <c r="AF3069" s="2"/>
      <c r="AG3069" s="2"/>
      <c r="AS3069"/>
      <c r="AT3069"/>
    </row>
    <row r="3070" spans="20:46" ht="16.8">
      <c r="T3070" s="112"/>
      <c r="U3070" s="113"/>
      <c r="AF3070" s="2"/>
      <c r="AG3070" s="2"/>
      <c r="AS3070"/>
      <c r="AT3070"/>
    </row>
    <row r="3071" spans="20:46" ht="16.8">
      <c r="T3071" s="112"/>
      <c r="U3071" s="113"/>
      <c r="AF3071" s="2"/>
      <c r="AG3071" s="2"/>
      <c r="AS3071"/>
      <c r="AT3071"/>
    </row>
    <row r="3072" spans="20:46" ht="16.8">
      <c r="T3072" s="112"/>
      <c r="U3072" s="113"/>
      <c r="AF3072" s="2"/>
      <c r="AG3072" s="2"/>
      <c r="AS3072"/>
      <c r="AT3072"/>
    </row>
    <row r="3073" spans="20:46" ht="16.8">
      <c r="T3073" s="112"/>
      <c r="U3073" s="113"/>
      <c r="AF3073" s="2"/>
      <c r="AG3073" s="2"/>
      <c r="AS3073"/>
      <c r="AT3073"/>
    </row>
    <row r="3074" spans="20:46" ht="16.8">
      <c r="T3074" s="112"/>
      <c r="U3074" s="113"/>
      <c r="AF3074" s="2"/>
      <c r="AG3074" s="2"/>
      <c r="AS3074"/>
      <c r="AT3074"/>
    </row>
    <row r="3075" spans="20:46" ht="16.8">
      <c r="T3075" s="112"/>
      <c r="U3075" s="113"/>
      <c r="AF3075" s="2"/>
      <c r="AG3075" s="2"/>
      <c r="AS3075"/>
      <c r="AT3075"/>
    </row>
    <row r="3076" spans="20:46" ht="16.8">
      <c r="T3076" s="112"/>
      <c r="U3076" s="113"/>
      <c r="AF3076" s="2"/>
      <c r="AG3076" s="2"/>
      <c r="AS3076"/>
      <c r="AT3076"/>
    </row>
    <row r="3077" spans="20:46" ht="16.8">
      <c r="T3077" s="112"/>
      <c r="U3077" s="113"/>
      <c r="AF3077" s="2"/>
      <c r="AG3077" s="2"/>
      <c r="AS3077"/>
      <c r="AT3077"/>
    </row>
    <row r="3078" spans="20:46" ht="16.8">
      <c r="T3078" s="112"/>
      <c r="U3078" s="113"/>
      <c r="AF3078" s="2"/>
      <c r="AG3078" s="2"/>
      <c r="AS3078"/>
      <c r="AT3078"/>
    </row>
    <row r="3079" spans="20:46" ht="16.8">
      <c r="T3079" s="112"/>
      <c r="U3079" s="113"/>
      <c r="AF3079" s="2"/>
      <c r="AG3079" s="2"/>
      <c r="AS3079"/>
      <c r="AT3079"/>
    </row>
    <row r="3080" spans="20:46" ht="16.8">
      <c r="T3080" s="112"/>
      <c r="U3080" s="113"/>
      <c r="AF3080" s="2"/>
      <c r="AG3080" s="2"/>
      <c r="AS3080"/>
      <c r="AT3080"/>
    </row>
    <row r="3081" spans="20:46" ht="16.8">
      <c r="T3081" s="112"/>
      <c r="U3081" s="113"/>
      <c r="AF3081" s="2"/>
      <c r="AG3081" s="2"/>
      <c r="AS3081"/>
      <c r="AT3081"/>
    </row>
    <row r="3082" spans="20:46" ht="16.8">
      <c r="T3082" s="112"/>
      <c r="U3082" s="113"/>
      <c r="AF3082" s="2"/>
      <c r="AG3082" s="2"/>
      <c r="AS3082"/>
      <c r="AT3082"/>
    </row>
    <row r="3083" spans="20:46" ht="16.8">
      <c r="T3083" s="112"/>
      <c r="U3083" s="113"/>
      <c r="AF3083" s="2"/>
      <c r="AG3083" s="2"/>
      <c r="AS3083"/>
      <c r="AT3083"/>
    </row>
    <row r="3084" spans="20:46" ht="16.8">
      <c r="T3084" s="112"/>
      <c r="U3084" s="113"/>
      <c r="AF3084" s="2"/>
      <c r="AG3084" s="2"/>
      <c r="AS3084"/>
      <c r="AT3084"/>
    </row>
    <row r="3085" spans="20:46" ht="16.8">
      <c r="T3085" s="112"/>
      <c r="U3085" s="113"/>
      <c r="AF3085" s="2"/>
      <c r="AG3085" s="2"/>
      <c r="AS3085"/>
      <c r="AT3085"/>
    </row>
    <row r="3086" spans="20:46" ht="16.8">
      <c r="T3086" s="112"/>
      <c r="U3086" s="113"/>
      <c r="AF3086" s="2"/>
      <c r="AG3086" s="2"/>
      <c r="AS3086"/>
      <c r="AT3086"/>
    </row>
    <row r="3087" spans="20:46" ht="16.8">
      <c r="T3087" s="112"/>
      <c r="U3087" s="113"/>
      <c r="AF3087" s="2"/>
      <c r="AG3087" s="2"/>
      <c r="AS3087"/>
      <c r="AT3087"/>
    </row>
    <row r="3088" spans="20:46" ht="16.8">
      <c r="T3088" s="112"/>
      <c r="U3088" s="113"/>
      <c r="AF3088" s="2"/>
      <c r="AG3088" s="2"/>
      <c r="AS3088"/>
      <c r="AT3088"/>
    </row>
    <row r="3089" spans="20:46" ht="16.8">
      <c r="T3089" s="112"/>
      <c r="U3089" s="113"/>
      <c r="AF3089" s="2"/>
      <c r="AG3089" s="2"/>
      <c r="AS3089"/>
      <c r="AT3089"/>
    </row>
    <row r="3090" spans="20:46" ht="16.8">
      <c r="T3090" s="112"/>
      <c r="U3090" s="113"/>
      <c r="AF3090" s="2"/>
      <c r="AG3090" s="2"/>
      <c r="AS3090"/>
      <c r="AT3090"/>
    </row>
    <row r="3091" spans="20:46" ht="16.8">
      <c r="T3091" s="112"/>
      <c r="U3091" s="113"/>
      <c r="AF3091" s="2"/>
      <c r="AG3091" s="2"/>
      <c r="AS3091"/>
      <c r="AT3091"/>
    </row>
    <row r="3092" spans="20:46" ht="16.8">
      <c r="T3092" s="112"/>
      <c r="U3092" s="113"/>
      <c r="AF3092" s="2"/>
      <c r="AG3092" s="2"/>
      <c r="AS3092"/>
      <c r="AT3092"/>
    </row>
    <row r="3093" spans="20:46" ht="16.8">
      <c r="T3093" s="112"/>
      <c r="U3093" s="113"/>
      <c r="AF3093" s="2"/>
      <c r="AG3093" s="2"/>
      <c r="AS3093"/>
      <c r="AT3093"/>
    </row>
    <row r="3094" spans="20:46" ht="16.8">
      <c r="T3094" s="112"/>
      <c r="U3094" s="113"/>
      <c r="AF3094" s="2"/>
      <c r="AG3094" s="2"/>
      <c r="AS3094"/>
      <c r="AT3094"/>
    </row>
    <row r="3095" spans="20:46" ht="16.8">
      <c r="T3095" s="112"/>
      <c r="U3095" s="113"/>
      <c r="AF3095" s="2"/>
      <c r="AG3095" s="2"/>
      <c r="AS3095"/>
      <c r="AT3095"/>
    </row>
    <row r="3096" spans="20:46" ht="16.8">
      <c r="T3096" s="112"/>
      <c r="U3096" s="113"/>
      <c r="AF3096" s="2"/>
      <c r="AG3096" s="2"/>
      <c r="AS3096"/>
      <c r="AT3096"/>
    </row>
    <row r="3097" spans="20:46" ht="16.8">
      <c r="T3097" s="112"/>
      <c r="U3097" s="113"/>
      <c r="AF3097" s="2"/>
      <c r="AG3097" s="2"/>
      <c r="AS3097"/>
      <c r="AT3097"/>
    </row>
    <row r="3098" spans="20:46" ht="16.8">
      <c r="T3098" s="112"/>
      <c r="U3098" s="113"/>
      <c r="AF3098" s="2"/>
      <c r="AG3098" s="2"/>
      <c r="AS3098"/>
      <c r="AT3098"/>
    </row>
    <row r="3099" spans="20:46" ht="16.8">
      <c r="T3099" s="112"/>
      <c r="U3099" s="113"/>
      <c r="AF3099" s="2"/>
      <c r="AG3099" s="2"/>
      <c r="AS3099"/>
      <c r="AT3099"/>
    </row>
    <row r="3100" spans="20:46" ht="16.8">
      <c r="T3100" s="112"/>
      <c r="U3100" s="113"/>
      <c r="AF3100" s="2"/>
      <c r="AG3100" s="2"/>
      <c r="AS3100"/>
      <c r="AT3100"/>
    </row>
    <row r="3101" spans="20:46" ht="16.8">
      <c r="T3101" s="112"/>
      <c r="U3101" s="113"/>
      <c r="AF3101" s="2"/>
      <c r="AG3101" s="2"/>
      <c r="AS3101"/>
      <c r="AT3101"/>
    </row>
    <row r="3102" spans="20:46" ht="16.8">
      <c r="T3102" s="112"/>
      <c r="U3102" s="113"/>
      <c r="AF3102" s="2"/>
      <c r="AG3102" s="2"/>
      <c r="AS3102"/>
      <c r="AT3102"/>
    </row>
    <row r="3103" spans="20:46" ht="16.8">
      <c r="T3103" s="112"/>
      <c r="U3103" s="113"/>
      <c r="AF3103" s="2"/>
      <c r="AG3103" s="2"/>
      <c r="AS3103"/>
      <c r="AT3103"/>
    </row>
    <row r="3104" spans="20:46" ht="16.8">
      <c r="T3104" s="112"/>
      <c r="U3104" s="113"/>
      <c r="AF3104" s="2"/>
      <c r="AG3104" s="2"/>
      <c r="AS3104"/>
      <c r="AT3104"/>
    </row>
    <row r="3105" spans="20:46" ht="16.8">
      <c r="T3105" s="112"/>
      <c r="U3105" s="113"/>
      <c r="AF3105" s="2"/>
      <c r="AG3105" s="2"/>
      <c r="AS3105"/>
      <c r="AT3105"/>
    </row>
    <row r="3106" spans="20:46" ht="16.8">
      <c r="T3106" s="112"/>
      <c r="U3106" s="113"/>
      <c r="AF3106" s="2"/>
      <c r="AG3106" s="2"/>
      <c r="AS3106"/>
      <c r="AT3106"/>
    </row>
    <row r="3107" spans="20:46" ht="16.8">
      <c r="T3107" s="112"/>
      <c r="U3107" s="113"/>
      <c r="AF3107" s="2"/>
      <c r="AG3107" s="2"/>
      <c r="AS3107"/>
      <c r="AT3107"/>
    </row>
    <row r="3108" spans="20:46" ht="16.8">
      <c r="T3108" s="112"/>
      <c r="U3108" s="113"/>
      <c r="AF3108" s="2"/>
      <c r="AG3108" s="2"/>
      <c r="AS3108"/>
      <c r="AT3108"/>
    </row>
    <row r="3109" spans="20:46" ht="16.8">
      <c r="T3109" s="112"/>
      <c r="U3109" s="113"/>
      <c r="AF3109" s="2"/>
      <c r="AG3109" s="2"/>
      <c r="AS3109"/>
      <c r="AT3109"/>
    </row>
    <row r="3110" spans="20:46" ht="16.8">
      <c r="T3110" s="112"/>
      <c r="U3110" s="113"/>
      <c r="AF3110" s="2"/>
      <c r="AG3110" s="2"/>
      <c r="AS3110"/>
      <c r="AT3110"/>
    </row>
    <row r="3111" spans="20:46" ht="16.8">
      <c r="T3111" s="112"/>
      <c r="U3111" s="113"/>
      <c r="AF3111" s="2"/>
      <c r="AG3111" s="2"/>
      <c r="AS3111"/>
      <c r="AT3111"/>
    </row>
    <row r="3112" spans="20:46" ht="16.8">
      <c r="T3112" s="112"/>
      <c r="U3112" s="113"/>
      <c r="AF3112" s="2"/>
      <c r="AG3112" s="2"/>
      <c r="AS3112"/>
      <c r="AT3112"/>
    </row>
    <row r="3113" spans="20:46" ht="16.8">
      <c r="T3113" s="112"/>
      <c r="U3113" s="113"/>
      <c r="AF3113" s="2"/>
      <c r="AG3113" s="2"/>
      <c r="AS3113"/>
      <c r="AT3113"/>
    </row>
    <row r="3114" spans="20:46" ht="16.8">
      <c r="T3114" s="112"/>
      <c r="U3114" s="113"/>
      <c r="AF3114" s="2"/>
      <c r="AG3114" s="2"/>
      <c r="AS3114"/>
      <c r="AT3114"/>
    </row>
    <row r="3115" spans="20:46" ht="16.8">
      <c r="T3115" s="112"/>
      <c r="U3115" s="113"/>
      <c r="AF3115" s="2"/>
      <c r="AG3115" s="2"/>
      <c r="AS3115"/>
      <c r="AT3115"/>
    </row>
    <row r="3116" spans="20:46" ht="16.8">
      <c r="T3116" s="112"/>
      <c r="U3116" s="113"/>
      <c r="AF3116" s="2"/>
      <c r="AG3116" s="2"/>
      <c r="AS3116"/>
      <c r="AT3116"/>
    </row>
    <row r="3117" spans="20:46" ht="16.8">
      <c r="T3117" s="112"/>
      <c r="U3117" s="113"/>
      <c r="AF3117" s="2"/>
      <c r="AG3117" s="2"/>
      <c r="AS3117"/>
      <c r="AT3117"/>
    </row>
    <row r="3118" spans="20:46" ht="16.8">
      <c r="T3118" s="112"/>
      <c r="U3118" s="113"/>
      <c r="AF3118" s="2"/>
      <c r="AG3118" s="2"/>
      <c r="AS3118"/>
      <c r="AT3118"/>
    </row>
    <row r="3119" spans="20:46" ht="16.8">
      <c r="T3119" s="112"/>
      <c r="U3119" s="113"/>
      <c r="AF3119" s="2"/>
      <c r="AG3119" s="2"/>
      <c r="AS3119"/>
      <c r="AT3119"/>
    </row>
    <row r="3120" spans="20:46" ht="16.8">
      <c r="T3120" s="112"/>
      <c r="U3120" s="113"/>
      <c r="AF3120" s="2"/>
      <c r="AG3120" s="2"/>
      <c r="AS3120"/>
      <c r="AT3120"/>
    </row>
    <row r="3121" spans="20:46" ht="16.8">
      <c r="T3121" s="112"/>
      <c r="U3121" s="113"/>
      <c r="AF3121" s="2"/>
      <c r="AG3121" s="2"/>
      <c r="AS3121"/>
      <c r="AT3121"/>
    </row>
    <row r="3122" spans="20:46" ht="16.8">
      <c r="T3122" s="112"/>
      <c r="U3122" s="113"/>
      <c r="AF3122" s="2"/>
      <c r="AG3122" s="2"/>
      <c r="AS3122"/>
      <c r="AT3122"/>
    </row>
    <row r="3123" spans="20:46" ht="16.8">
      <c r="T3123" s="112"/>
      <c r="U3123" s="113"/>
      <c r="AF3123" s="2"/>
      <c r="AG3123" s="2"/>
      <c r="AS3123"/>
      <c r="AT3123"/>
    </row>
    <row r="3124" spans="20:46" ht="16.8">
      <c r="T3124" s="112"/>
      <c r="U3124" s="113"/>
      <c r="AF3124" s="2"/>
      <c r="AG3124" s="2"/>
      <c r="AS3124"/>
      <c r="AT3124"/>
    </row>
    <row r="3125" spans="20:46" ht="16.8">
      <c r="T3125" s="112"/>
      <c r="U3125" s="113"/>
      <c r="AF3125" s="2"/>
      <c r="AG3125" s="2"/>
      <c r="AS3125"/>
      <c r="AT3125"/>
    </row>
    <row r="3126" spans="20:46" ht="16.8">
      <c r="T3126" s="112"/>
      <c r="U3126" s="113"/>
      <c r="AF3126" s="2"/>
      <c r="AG3126" s="2"/>
      <c r="AS3126"/>
      <c r="AT3126"/>
    </row>
    <row r="3127" spans="20:46" ht="16.8">
      <c r="T3127" s="112"/>
      <c r="U3127" s="113"/>
      <c r="AF3127" s="2"/>
      <c r="AG3127" s="2"/>
      <c r="AS3127"/>
      <c r="AT3127"/>
    </row>
    <row r="3128" spans="20:46" ht="16.8">
      <c r="T3128" s="112"/>
      <c r="U3128" s="113"/>
      <c r="AF3128" s="2"/>
      <c r="AG3128" s="2"/>
      <c r="AS3128"/>
      <c r="AT3128"/>
    </row>
    <row r="3129" spans="20:46" ht="16.8">
      <c r="T3129" s="112"/>
      <c r="U3129" s="113"/>
      <c r="AF3129" s="2"/>
      <c r="AG3129" s="2"/>
      <c r="AS3129"/>
      <c r="AT3129"/>
    </row>
    <row r="3130" spans="20:46" ht="16.8">
      <c r="T3130" s="112"/>
      <c r="U3130" s="113"/>
      <c r="AF3130" s="2"/>
      <c r="AG3130" s="2"/>
      <c r="AS3130"/>
      <c r="AT3130"/>
    </row>
    <row r="3131" spans="20:46" ht="16.8">
      <c r="T3131" s="112"/>
      <c r="U3131" s="113"/>
      <c r="AF3131" s="2"/>
      <c r="AG3131" s="2"/>
      <c r="AS3131"/>
      <c r="AT3131"/>
    </row>
    <row r="3132" spans="20:46" ht="16.8">
      <c r="T3132" s="112"/>
      <c r="U3132" s="113"/>
      <c r="AF3132" s="2"/>
      <c r="AG3132" s="2"/>
      <c r="AS3132"/>
      <c r="AT3132"/>
    </row>
    <row r="3133" spans="20:46" ht="16.8">
      <c r="T3133" s="112"/>
      <c r="U3133" s="113"/>
      <c r="AF3133" s="2"/>
      <c r="AG3133" s="2"/>
      <c r="AS3133"/>
      <c r="AT3133"/>
    </row>
    <row r="3134" spans="20:46" ht="16.8">
      <c r="T3134" s="112"/>
      <c r="U3134" s="113"/>
      <c r="AF3134" s="2"/>
      <c r="AG3134" s="2"/>
      <c r="AS3134"/>
      <c r="AT3134"/>
    </row>
    <row r="3135" spans="20:46" ht="16.8">
      <c r="T3135" s="112"/>
      <c r="U3135" s="113"/>
      <c r="AF3135" s="2"/>
      <c r="AG3135" s="2"/>
      <c r="AS3135"/>
      <c r="AT3135"/>
    </row>
    <row r="3136" spans="20:46" ht="16.8">
      <c r="T3136" s="112"/>
      <c r="U3136" s="113"/>
      <c r="AF3136" s="2"/>
      <c r="AG3136" s="2"/>
      <c r="AS3136"/>
      <c r="AT3136"/>
    </row>
    <row r="3137" spans="20:46" ht="16.8">
      <c r="T3137" s="112"/>
      <c r="U3137" s="113"/>
      <c r="AF3137" s="2"/>
      <c r="AG3137" s="2"/>
      <c r="AS3137"/>
      <c r="AT3137"/>
    </row>
    <row r="3138" spans="20:46" ht="16.8">
      <c r="T3138" s="112"/>
      <c r="U3138" s="113"/>
      <c r="AF3138" s="2"/>
      <c r="AG3138" s="2"/>
      <c r="AS3138"/>
      <c r="AT3138"/>
    </row>
    <row r="3139" spans="20:46" ht="16.8">
      <c r="T3139" s="112"/>
      <c r="U3139" s="113"/>
      <c r="AF3139" s="2"/>
      <c r="AG3139" s="2"/>
      <c r="AS3139"/>
      <c r="AT3139"/>
    </row>
    <row r="3140" spans="20:46" ht="16.8">
      <c r="T3140" s="112"/>
      <c r="U3140" s="113"/>
      <c r="AF3140" s="2"/>
      <c r="AG3140" s="2"/>
      <c r="AS3140"/>
      <c r="AT3140"/>
    </row>
    <row r="3141" spans="20:46" ht="16.8">
      <c r="T3141" s="112"/>
      <c r="U3141" s="113"/>
      <c r="AF3141" s="2"/>
      <c r="AG3141" s="2"/>
      <c r="AS3141"/>
      <c r="AT3141"/>
    </row>
    <row r="3142" spans="20:46" ht="16.8">
      <c r="T3142" s="112"/>
      <c r="U3142" s="113"/>
      <c r="AF3142" s="2"/>
      <c r="AG3142" s="2"/>
      <c r="AS3142"/>
      <c r="AT3142"/>
    </row>
    <row r="3143" spans="20:46" ht="16.8">
      <c r="T3143" s="112"/>
      <c r="U3143" s="113"/>
      <c r="AF3143" s="2"/>
      <c r="AG3143" s="2"/>
      <c r="AS3143"/>
      <c r="AT3143"/>
    </row>
    <row r="3144" spans="20:46" ht="16.8">
      <c r="T3144" s="112"/>
      <c r="U3144" s="113"/>
      <c r="AF3144" s="2"/>
      <c r="AG3144" s="2"/>
      <c r="AS3144"/>
      <c r="AT3144"/>
    </row>
    <row r="3145" spans="20:46" ht="16.8">
      <c r="T3145" s="112"/>
      <c r="U3145" s="113"/>
      <c r="AF3145" s="2"/>
      <c r="AG3145" s="2"/>
      <c r="AS3145"/>
      <c r="AT3145"/>
    </row>
    <row r="3146" spans="20:46" ht="16.8">
      <c r="T3146" s="112"/>
      <c r="U3146" s="113"/>
      <c r="AF3146" s="2"/>
      <c r="AG3146" s="2"/>
      <c r="AS3146"/>
      <c r="AT3146"/>
    </row>
    <row r="3147" spans="20:46" ht="16.8">
      <c r="T3147" s="112"/>
      <c r="U3147" s="113"/>
      <c r="AF3147" s="2"/>
      <c r="AG3147" s="2"/>
      <c r="AS3147"/>
      <c r="AT3147"/>
    </row>
    <row r="3148" spans="20:46" ht="16.8">
      <c r="T3148" s="112"/>
      <c r="U3148" s="113"/>
      <c r="AF3148" s="2"/>
      <c r="AG3148" s="2"/>
      <c r="AS3148"/>
      <c r="AT3148"/>
    </row>
    <row r="3149" spans="20:46" ht="16.8">
      <c r="T3149" s="112"/>
      <c r="U3149" s="113"/>
      <c r="AF3149" s="2"/>
      <c r="AG3149" s="2"/>
      <c r="AS3149"/>
      <c r="AT3149"/>
    </row>
    <row r="3150" spans="20:46" ht="16.8">
      <c r="T3150" s="112"/>
      <c r="U3150" s="113"/>
      <c r="AF3150" s="2"/>
      <c r="AG3150" s="2"/>
      <c r="AS3150"/>
      <c r="AT3150"/>
    </row>
    <row r="3151" spans="20:46" ht="16.8">
      <c r="T3151" s="112"/>
      <c r="U3151" s="113"/>
      <c r="AF3151" s="2"/>
      <c r="AG3151" s="2"/>
      <c r="AS3151"/>
      <c r="AT3151"/>
    </row>
    <row r="3152" spans="20:46" ht="16.8">
      <c r="T3152" s="112"/>
      <c r="U3152" s="113"/>
      <c r="AF3152" s="2"/>
      <c r="AG3152" s="2"/>
      <c r="AS3152"/>
      <c r="AT3152"/>
    </row>
    <row r="3153" spans="20:46" ht="16.8">
      <c r="T3153" s="112"/>
      <c r="U3153" s="113"/>
      <c r="AF3153" s="2"/>
      <c r="AG3153" s="2"/>
      <c r="AS3153"/>
      <c r="AT3153"/>
    </row>
    <row r="3154" spans="20:46" ht="16.8">
      <c r="T3154" s="112"/>
      <c r="U3154" s="113"/>
      <c r="AF3154" s="2"/>
      <c r="AG3154" s="2"/>
      <c r="AS3154"/>
      <c r="AT3154"/>
    </row>
    <row r="3155" spans="20:46" ht="16.8">
      <c r="T3155" s="112"/>
      <c r="U3155" s="113"/>
      <c r="AF3155" s="2"/>
      <c r="AG3155" s="2"/>
      <c r="AS3155"/>
      <c r="AT3155"/>
    </row>
    <row r="3156" spans="20:46" ht="16.8">
      <c r="T3156" s="112"/>
      <c r="U3156" s="113"/>
      <c r="AF3156" s="2"/>
      <c r="AG3156" s="2"/>
      <c r="AS3156"/>
      <c r="AT3156"/>
    </row>
    <row r="3157" spans="20:46" ht="16.8">
      <c r="T3157" s="112"/>
      <c r="U3157" s="113"/>
      <c r="AF3157" s="2"/>
      <c r="AG3157" s="2"/>
      <c r="AS3157"/>
      <c r="AT3157"/>
    </row>
    <row r="3158" spans="20:46" ht="16.8">
      <c r="T3158" s="112"/>
      <c r="U3158" s="113"/>
      <c r="AF3158" s="2"/>
      <c r="AG3158" s="2"/>
      <c r="AS3158"/>
      <c r="AT3158"/>
    </row>
    <row r="3159" spans="20:46" ht="16.8">
      <c r="T3159" s="112"/>
      <c r="U3159" s="113"/>
      <c r="AF3159" s="2"/>
      <c r="AG3159" s="2"/>
      <c r="AS3159"/>
      <c r="AT3159"/>
    </row>
    <row r="3160" spans="20:46" ht="16.8">
      <c r="T3160" s="112"/>
      <c r="U3160" s="113"/>
      <c r="AF3160" s="2"/>
      <c r="AG3160" s="2"/>
      <c r="AS3160"/>
      <c r="AT3160"/>
    </row>
    <row r="3161" spans="20:46" ht="16.8">
      <c r="T3161" s="112"/>
      <c r="U3161" s="113"/>
      <c r="AF3161" s="2"/>
      <c r="AG3161" s="2"/>
      <c r="AS3161"/>
      <c r="AT3161"/>
    </row>
    <row r="3162" spans="20:46" ht="16.8">
      <c r="T3162" s="112"/>
      <c r="U3162" s="113"/>
      <c r="AF3162" s="2"/>
      <c r="AG3162" s="2"/>
      <c r="AS3162"/>
      <c r="AT3162"/>
    </row>
    <row r="3163" spans="20:46" ht="16.8">
      <c r="T3163" s="112"/>
      <c r="U3163" s="113"/>
      <c r="AF3163" s="2"/>
      <c r="AG3163" s="2"/>
      <c r="AS3163"/>
      <c r="AT3163"/>
    </row>
    <row r="3164" spans="20:46" ht="16.8">
      <c r="T3164" s="112"/>
      <c r="U3164" s="113"/>
      <c r="AF3164" s="2"/>
      <c r="AG3164" s="2"/>
      <c r="AS3164"/>
      <c r="AT3164"/>
    </row>
    <row r="3165" spans="20:46" ht="16.8">
      <c r="T3165" s="112"/>
      <c r="U3165" s="113"/>
      <c r="AF3165" s="2"/>
      <c r="AG3165" s="2"/>
      <c r="AS3165"/>
      <c r="AT3165"/>
    </row>
    <row r="3166" spans="20:46" ht="16.8">
      <c r="T3166" s="112"/>
      <c r="U3166" s="113"/>
      <c r="AF3166" s="2"/>
      <c r="AG3166" s="2"/>
      <c r="AS3166"/>
      <c r="AT3166"/>
    </row>
    <row r="3167" spans="20:46" ht="16.8">
      <c r="T3167" s="112"/>
      <c r="U3167" s="113"/>
      <c r="AF3167" s="2"/>
      <c r="AG3167" s="2"/>
      <c r="AS3167"/>
      <c r="AT3167"/>
    </row>
    <row r="3168" spans="20:46" ht="16.8">
      <c r="T3168" s="112"/>
      <c r="U3168" s="113"/>
      <c r="AF3168" s="2"/>
      <c r="AG3168" s="2"/>
      <c r="AS3168"/>
      <c r="AT3168"/>
    </row>
    <row r="3169" spans="20:46" ht="16.8">
      <c r="T3169" s="112"/>
      <c r="U3169" s="113"/>
      <c r="AF3169" s="2"/>
      <c r="AG3169" s="2"/>
      <c r="AS3169"/>
      <c r="AT3169"/>
    </row>
    <row r="3170" spans="20:46" ht="16.8">
      <c r="T3170" s="112"/>
      <c r="U3170" s="113"/>
      <c r="AF3170" s="2"/>
      <c r="AG3170" s="2"/>
      <c r="AS3170"/>
      <c r="AT3170"/>
    </row>
    <row r="3171" spans="20:46" ht="16.8">
      <c r="T3171" s="112"/>
      <c r="U3171" s="113"/>
      <c r="AF3171" s="2"/>
      <c r="AG3171" s="2"/>
      <c r="AS3171"/>
      <c r="AT3171"/>
    </row>
    <row r="3172" spans="20:46" ht="16.8">
      <c r="T3172" s="112"/>
      <c r="U3172" s="113"/>
      <c r="AF3172" s="2"/>
      <c r="AG3172" s="2"/>
      <c r="AS3172"/>
      <c r="AT3172"/>
    </row>
    <row r="3173" spans="20:46" ht="16.8">
      <c r="T3173" s="112"/>
      <c r="U3173" s="113"/>
      <c r="AF3173" s="2"/>
      <c r="AG3173" s="2"/>
      <c r="AS3173"/>
      <c r="AT3173"/>
    </row>
    <row r="3174" spans="20:46" ht="16.8">
      <c r="T3174" s="112"/>
      <c r="U3174" s="113"/>
      <c r="AF3174" s="2"/>
      <c r="AG3174" s="2"/>
      <c r="AS3174"/>
      <c r="AT3174"/>
    </row>
    <row r="3175" spans="20:46" ht="16.8">
      <c r="T3175" s="112"/>
      <c r="U3175" s="113"/>
      <c r="AF3175" s="2"/>
      <c r="AG3175" s="2"/>
      <c r="AS3175"/>
      <c r="AT3175"/>
    </row>
    <row r="3176" spans="20:46" ht="16.8">
      <c r="T3176" s="112"/>
      <c r="U3176" s="113"/>
      <c r="AF3176" s="2"/>
      <c r="AG3176" s="2"/>
      <c r="AS3176"/>
      <c r="AT3176"/>
    </row>
    <row r="3177" spans="20:46" ht="16.8">
      <c r="T3177" s="112"/>
      <c r="U3177" s="113"/>
      <c r="AF3177" s="2"/>
      <c r="AG3177" s="2"/>
      <c r="AS3177"/>
      <c r="AT3177"/>
    </row>
    <row r="3178" spans="20:46" ht="16.8">
      <c r="T3178" s="112"/>
      <c r="U3178" s="113"/>
      <c r="AF3178" s="2"/>
      <c r="AG3178" s="2"/>
      <c r="AS3178"/>
      <c r="AT3178"/>
    </row>
    <row r="3179" spans="20:46" ht="16.8">
      <c r="T3179" s="112"/>
      <c r="U3179" s="113"/>
      <c r="AF3179" s="2"/>
      <c r="AG3179" s="2"/>
      <c r="AS3179"/>
      <c r="AT3179"/>
    </row>
    <row r="3180" spans="20:46" ht="16.8">
      <c r="T3180" s="112"/>
      <c r="U3180" s="113"/>
      <c r="AF3180" s="2"/>
      <c r="AG3180" s="2"/>
      <c r="AS3180"/>
      <c r="AT3180"/>
    </row>
    <row r="3181" spans="20:46" ht="16.8">
      <c r="T3181" s="112"/>
      <c r="U3181" s="113"/>
      <c r="AF3181" s="2"/>
      <c r="AG3181" s="2"/>
      <c r="AS3181"/>
      <c r="AT3181"/>
    </row>
    <row r="3182" spans="20:46" ht="16.8">
      <c r="T3182" s="112"/>
      <c r="U3182" s="113"/>
      <c r="AF3182" s="2"/>
      <c r="AG3182" s="2"/>
      <c r="AS3182"/>
      <c r="AT3182"/>
    </row>
    <row r="3183" spans="20:46" ht="16.8">
      <c r="T3183" s="112"/>
      <c r="U3183" s="113"/>
      <c r="AF3183" s="2"/>
      <c r="AG3183" s="2"/>
      <c r="AS3183"/>
      <c r="AT3183"/>
    </row>
    <row r="3184" spans="20:46" ht="16.8">
      <c r="T3184" s="112"/>
      <c r="U3184" s="113"/>
      <c r="AF3184" s="2"/>
      <c r="AG3184" s="2"/>
      <c r="AS3184"/>
      <c r="AT3184"/>
    </row>
    <row r="3185" spans="20:46" ht="16.8">
      <c r="T3185" s="112"/>
      <c r="U3185" s="113"/>
      <c r="AF3185" s="2"/>
      <c r="AG3185" s="2"/>
      <c r="AS3185"/>
      <c r="AT3185"/>
    </row>
    <row r="3186" spans="20:46" ht="16.8">
      <c r="T3186" s="112"/>
      <c r="U3186" s="113"/>
      <c r="AF3186" s="2"/>
      <c r="AG3186" s="2"/>
      <c r="AS3186"/>
      <c r="AT3186"/>
    </row>
    <row r="3187" spans="20:46" ht="16.8">
      <c r="T3187" s="112"/>
      <c r="U3187" s="113"/>
      <c r="AF3187" s="2"/>
      <c r="AG3187" s="2"/>
      <c r="AS3187"/>
      <c r="AT3187"/>
    </row>
    <row r="3188" spans="20:46" ht="16.8">
      <c r="T3188" s="112"/>
      <c r="U3188" s="113"/>
      <c r="AF3188" s="2"/>
      <c r="AG3188" s="2"/>
      <c r="AS3188"/>
      <c r="AT3188"/>
    </row>
    <row r="3189" spans="20:46" ht="16.8">
      <c r="T3189" s="112"/>
      <c r="U3189" s="113"/>
      <c r="AF3189" s="2"/>
      <c r="AG3189" s="2"/>
      <c r="AS3189"/>
      <c r="AT3189"/>
    </row>
    <row r="3190" spans="20:46" ht="16.8">
      <c r="T3190" s="112"/>
      <c r="U3190" s="113"/>
      <c r="AF3190" s="2"/>
      <c r="AG3190" s="2"/>
      <c r="AS3190"/>
      <c r="AT3190"/>
    </row>
    <row r="3191" spans="20:46" ht="16.8">
      <c r="T3191" s="112"/>
      <c r="U3191" s="113"/>
      <c r="AF3191" s="2"/>
      <c r="AG3191" s="2"/>
      <c r="AS3191"/>
      <c r="AT3191"/>
    </row>
    <row r="3192" spans="20:46" ht="16.8">
      <c r="T3192" s="112"/>
      <c r="U3192" s="113"/>
      <c r="AF3192" s="2"/>
      <c r="AG3192" s="2"/>
      <c r="AS3192"/>
      <c r="AT3192"/>
    </row>
    <row r="3193" spans="20:46" ht="16.8">
      <c r="T3193" s="112"/>
      <c r="U3193" s="113"/>
      <c r="AF3193" s="2"/>
      <c r="AG3193" s="2"/>
      <c r="AS3193"/>
      <c r="AT3193"/>
    </row>
    <row r="3194" spans="20:46" ht="16.8">
      <c r="T3194" s="112"/>
      <c r="U3194" s="113"/>
      <c r="AF3194" s="2"/>
      <c r="AG3194" s="2"/>
      <c r="AS3194"/>
      <c r="AT3194"/>
    </row>
    <row r="3195" spans="20:46" ht="16.8">
      <c r="T3195" s="112"/>
      <c r="U3195" s="113"/>
      <c r="AF3195" s="2"/>
      <c r="AG3195" s="2"/>
      <c r="AS3195"/>
      <c r="AT3195"/>
    </row>
    <row r="3196" spans="20:46" ht="16.8">
      <c r="T3196" s="112"/>
      <c r="U3196" s="113"/>
      <c r="AF3196" s="2"/>
      <c r="AG3196" s="2"/>
      <c r="AS3196"/>
      <c r="AT3196"/>
    </row>
    <row r="3197" spans="20:46" ht="16.8">
      <c r="T3197" s="112"/>
      <c r="U3197" s="113"/>
      <c r="AF3197" s="2"/>
      <c r="AG3197" s="2"/>
      <c r="AS3197"/>
      <c r="AT3197"/>
    </row>
    <row r="3198" spans="20:46" ht="16.8">
      <c r="T3198" s="112"/>
      <c r="U3198" s="113"/>
      <c r="AF3198" s="2"/>
      <c r="AG3198" s="2"/>
      <c r="AS3198"/>
      <c r="AT3198"/>
    </row>
    <row r="3199" spans="20:46" ht="16.8">
      <c r="T3199" s="112"/>
      <c r="U3199" s="113"/>
      <c r="AF3199" s="2"/>
      <c r="AG3199" s="2"/>
      <c r="AS3199"/>
      <c r="AT3199"/>
    </row>
    <row r="3200" spans="20:46" ht="16.8">
      <c r="T3200" s="112"/>
      <c r="U3200" s="113"/>
      <c r="AF3200" s="2"/>
      <c r="AG3200" s="2"/>
      <c r="AS3200"/>
      <c r="AT3200"/>
    </row>
    <row r="3201" spans="20:46" ht="16.8">
      <c r="T3201" s="112"/>
      <c r="U3201" s="113"/>
      <c r="AF3201" s="2"/>
      <c r="AG3201" s="2"/>
      <c r="AS3201"/>
      <c r="AT3201"/>
    </row>
    <row r="3202" spans="20:46" ht="16.8">
      <c r="T3202" s="112"/>
      <c r="U3202" s="113"/>
      <c r="AF3202" s="2"/>
      <c r="AG3202" s="2"/>
      <c r="AS3202"/>
      <c r="AT3202"/>
    </row>
    <row r="3203" spans="20:46" ht="16.8">
      <c r="T3203" s="112"/>
      <c r="U3203" s="113"/>
      <c r="AF3203" s="2"/>
      <c r="AG3203" s="2"/>
      <c r="AS3203"/>
      <c r="AT3203"/>
    </row>
    <row r="3204" spans="20:46" ht="16.8">
      <c r="T3204" s="112"/>
      <c r="U3204" s="113"/>
      <c r="AF3204" s="2"/>
      <c r="AG3204" s="2"/>
      <c r="AS3204"/>
      <c r="AT3204"/>
    </row>
    <row r="3205" spans="20:46" ht="16.8">
      <c r="T3205" s="112"/>
      <c r="U3205" s="113"/>
      <c r="AF3205" s="2"/>
      <c r="AG3205" s="2"/>
      <c r="AS3205"/>
      <c r="AT3205"/>
    </row>
    <row r="3206" spans="20:46" ht="16.8">
      <c r="T3206" s="112"/>
      <c r="U3206" s="113"/>
      <c r="AF3206" s="2"/>
      <c r="AG3206" s="2"/>
      <c r="AS3206"/>
      <c r="AT3206"/>
    </row>
    <row r="3207" spans="20:46" ht="16.8">
      <c r="T3207" s="112"/>
      <c r="U3207" s="113"/>
      <c r="AF3207" s="2"/>
      <c r="AG3207" s="2"/>
      <c r="AS3207"/>
      <c r="AT3207"/>
    </row>
    <row r="3208" spans="20:46" ht="16.8">
      <c r="T3208" s="112"/>
      <c r="U3208" s="113"/>
      <c r="AF3208" s="2"/>
      <c r="AG3208" s="2"/>
      <c r="AS3208"/>
      <c r="AT3208"/>
    </row>
    <row r="3209" spans="20:46" ht="16.8">
      <c r="T3209" s="112"/>
      <c r="U3209" s="113"/>
      <c r="AF3209" s="2"/>
      <c r="AG3209" s="2"/>
      <c r="AS3209"/>
      <c r="AT3209"/>
    </row>
    <row r="3210" spans="20:46" ht="16.8">
      <c r="T3210" s="112"/>
      <c r="U3210" s="113"/>
      <c r="AF3210" s="2"/>
      <c r="AG3210" s="2"/>
      <c r="AS3210"/>
      <c r="AT3210"/>
    </row>
    <row r="3211" spans="20:46" ht="16.8">
      <c r="T3211" s="112"/>
      <c r="U3211" s="113"/>
      <c r="AF3211" s="2"/>
      <c r="AG3211" s="2"/>
      <c r="AS3211"/>
      <c r="AT3211"/>
    </row>
    <row r="3212" spans="20:46" ht="16.8">
      <c r="T3212" s="112"/>
      <c r="U3212" s="113"/>
      <c r="AF3212" s="2"/>
      <c r="AG3212" s="2"/>
      <c r="AS3212"/>
      <c r="AT3212"/>
    </row>
    <row r="3213" spans="20:46" ht="16.8">
      <c r="T3213" s="112"/>
      <c r="U3213" s="113"/>
      <c r="AF3213" s="2"/>
      <c r="AG3213" s="2"/>
      <c r="AS3213"/>
      <c r="AT3213"/>
    </row>
    <row r="3214" spans="20:46" ht="16.8">
      <c r="T3214" s="112"/>
      <c r="U3214" s="113"/>
      <c r="AF3214" s="2"/>
      <c r="AG3214" s="2"/>
      <c r="AS3214"/>
      <c r="AT3214"/>
    </row>
    <row r="3215" spans="20:46" ht="16.8">
      <c r="T3215" s="112"/>
      <c r="U3215" s="113"/>
      <c r="AF3215" s="2"/>
      <c r="AG3215" s="2"/>
      <c r="AS3215"/>
      <c r="AT3215"/>
    </row>
    <row r="3216" spans="20:46" ht="16.8">
      <c r="T3216" s="112"/>
      <c r="U3216" s="113"/>
      <c r="AF3216" s="2"/>
      <c r="AG3216" s="2"/>
      <c r="AS3216"/>
      <c r="AT3216"/>
    </row>
    <row r="3217" spans="20:46" ht="16.8">
      <c r="T3217" s="112"/>
      <c r="U3217" s="113"/>
      <c r="AF3217" s="2"/>
      <c r="AG3217" s="2"/>
      <c r="AS3217"/>
      <c r="AT3217"/>
    </row>
    <row r="3218" spans="20:46" ht="16.8">
      <c r="T3218" s="112"/>
      <c r="U3218" s="113"/>
      <c r="AF3218" s="2"/>
      <c r="AG3218" s="2"/>
      <c r="AS3218"/>
      <c r="AT3218"/>
    </row>
    <row r="3219" spans="20:46" ht="16.8">
      <c r="T3219" s="112"/>
      <c r="U3219" s="113"/>
      <c r="AF3219" s="2"/>
      <c r="AG3219" s="2"/>
      <c r="AS3219"/>
      <c r="AT3219"/>
    </row>
    <row r="3220" spans="20:46" ht="16.8">
      <c r="T3220" s="112"/>
      <c r="U3220" s="113"/>
      <c r="AF3220" s="2"/>
      <c r="AG3220" s="2"/>
      <c r="AS3220"/>
      <c r="AT3220"/>
    </row>
    <row r="3221" spans="20:46" ht="16.8">
      <c r="T3221" s="112"/>
      <c r="U3221" s="113"/>
      <c r="AF3221" s="2"/>
      <c r="AG3221" s="2"/>
      <c r="AS3221"/>
      <c r="AT3221"/>
    </row>
    <row r="3222" spans="20:46" ht="16.8">
      <c r="T3222" s="112"/>
      <c r="U3222" s="113"/>
      <c r="AF3222" s="2"/>
      <c r="AG3222" s="2"/>
      <c r="AS3222"/>
      <c r="AT3222"/>
    </row>
    <row r="3223" spans="20:46" ht="16.8">
      <c r="T3223" s="112"/>
      <c r="U3223" s="113"/>
      <c r="AF3223" s="2"/>
      <c r="AG3223" s="2"/>
      <c r="AS3223"/>
      <c r="AT3223"/>
    </row>
    <row r="3224" spans="20:46" ht="16.8">
      <c r="T3224" s="112"/>
      <c r="U3224" s="113"/>
      <c r="AF3224" s="2"/>
      <c r="AG3224" s="2"/>
      <c r="AS3224"/>
      <c r="AT3224"/>
    </row>
    <row r="3225" spans="20:46" ht="16.8">
      <c r="T3225" s="112"/>
      <c r="U3225" s="113"/>
      <c r="AF3225" s="2"/>
      <c r="AG3225" s="2"/>
      <c r="AS3225"/>
      <c r="AT3225"/>
    </row>
    <row r="3226" spans="20:46" ht="16.8">
      <c r="T3226" s="112"/>
      <c r="U3226" s="113"/>
      <c r="AF3226" s="2"/>
      <c r="AG3226" s="2"/>
      <c r="AS3226"/>
      <c r="AT3226"/>
    </row>
    <row r="3227" spans="20:46" ht="16.8">
      <c r="T3227" s="112"/>
      <c r="U3227" s="113"/>
      <c r="AF3227" s="2"/>
      <c r="AG3227" s="2"/>
      <c r="AS3227"/>
      <c r="AT3227"/>
    </row>
    <row r="3228" spans="20:46" ht="16.8">
      <c r="T3228" s="112"/>
      <c r="U3228" s="113"/>
      <c r="AF3228" s="2"/>
      <c r="AG3228" s="2"/>
      <c r="AS3228"/>
      <c r="AT3228"/>
    </row>
    <row r="3229" spans="20:46" ht="16.8">
      <c r="T3229" s="112"/>
      <c r="U3229" s="113"/>
      <c r="AF3229" s="2"/>
      <c r="AG3229" s="2"/>
      <c r="AS3229"/>
      <c r="AT3229"/>
    </row>
    <row r="3230" spans="20:46" ht="16.8">
      <c r="T3230" s="112"/>
      <c r="U3230" s="113"/>
      <c r="AF3230" s="2"/>
      <c r="AG3230" s="2"/>
      <c r="AS3230"/>
      <c r="AT3230"/>
    </row>
    <row r="3231" spans="20:46" ht="16.8">
      <c r="T3231" s="112"/>
      <c r="U3231" s="113"/>
      <c r="AF3231" s="2"/>
      <c r="AG3231" s="2"/>
      <c r="AS3231"/>
      <c r="AT3231"/>
    </row>
    <row r="3232" spans="20:46" ht="16.8">
      <c r="T3232" s="112"/>
      <c r="U3232" s="113"/>
      <c r="AF3232" s="2"/>
      <c r="AG3232" s="2"/>
      <c r="AS3232"/>
      <c r="AT3232"/>
    </row>
    <row r="3233" spans="20:46" ht="16.8">
      <c r="T3233" s="112"/>
      <c r="U3233" s="113"/>
      <c r="AF3233" s="2"/>
      <c r="AG3233" s="2"/>
      <c r="AS3233"/>
      <c r="AT3233"/>
    </row>
    <row r="3234" spans="20:46" ht="16.8">
      <c r="T3234" s="112"/>
      <c r="U3234" s="113"/>
      <c r="AF3234" s="2"/>
      <c r="AG3234" s="2"/>
      <c r="AS3234"/>
      <c r="AT3234"/>
    </row>
    <row r="3235" spans="20:46" ht="16.8">
      <c r="T3235" s="112"/>
      <c r="U3235" s="113"/>
      <c r="AF3235" s="2"/>
      <c r="AG3235" s="2"/>
      <c r="AS3235"/>
      <c r="AT3235"/>
    </row>
    <row r="3236" spans="20:46" ht="16.8">
      <c r="T3236" s="112"/>
      <c r="U3236" s="113"/>
      <c r="AF3236" s="2"/>
      <c r="AG3236" s="2"/>
      <c r="AS3236"/>
      <c r="AT3236"/>
    </row>
    <row r="3237" spans="20:46" ht="16.8">
      <c r="T3237" s="112"/>
      <c r="U3237" s="113"/>
      <c r="AF3237" s="2"/>
      <c r="AG3237" s="2"/>
      <c r="AS3237"/>
      <c r="AT3237"/>
    </row>
    <row r="3238" spans="20:46" ht="16.8">
      <c r="T3238" s="112"/>
      <c r="U3238" s="113"/>
      <c r="AF3238" s="2"/>
      <c r="AG3238" s="2"/>
      <c r="AS3238"/>
      <c r="AT3238"/>
    </row>
    <row r="3239" spans="20:46" ht="16.8">
      <c r="T3239" s="112"/>
      <c r="U3239" s="113"/>
      <c r="AF3239" s="2"/>
      <c r="AG3239" s="2"/>
      <c r="AS3239"/>
      <c r="AT3239"/>
    </row>
    <row r="3240" spans="20:46" ht="16.8">
      <c r="T3240" s="112"/>
      <c r="U3240" s="113"/>
      <c r="AF3240" s="2"/>
      <c r="AG3240" s="2"/>
      <c r="AS3240"/>
      <c r="AT3240"/>
    </row>
    <row r="3241" spans="20:46" ht="16.8">
      <c r="T3241" s="112"/>
      <c r="U3241" s="113"/>
      <c r="AF3241" s="2"/>
      <c r="AG3241" s="2"/>
      <c r="AS3241"/>
      <c r="AT3241"/>
    </row>
    <row r="3242" spans="20:46" ht="16.8">
      <c r="T3242" s="112"/>
      <c r="U3242" s="113"/>
      <c r="AF3242" s="2"/>
      <c r="AG3242" s="2"/>
      <c r="AS3242"/>
      <c r="AT3242"/>
    </row>
    <row r="3243" spans="20:46" ht="16.8">
      <c r="T3243" s="112"/>
      <c r="U3243" s="113"/>
      <c r="AF3243" s="2"/>
      <c r="AG3243" s="2"/>
      <c r="AS3243"/>
      <c r="AT3243"/>
    </row>
    <row r="3244" spans="20:46" ht="16.8">
      <c r="T3244" s="112"/>
      <c r="U3244" s="113"/>
      <c r="AF3244" s="2"/>
      <c r="AG3244" s="2"/>
      <c r="AS3244"/>
      <c r="AT3244"/>
    </row>
    <row r="3245" spans="20:46" ht="16.8">
      <c r="T3245" s="112"/>
      <c r="U3245" s="113"/>
      <c r="AF3245" s="2"/>
      <c r="AG3245" s="2"/>
      <c r="AS3245"/>
      <c r="AT3245"/>
    </row>
    <row r="3246" spans="20:46" ht="16.8">
      <c r="T3246" s="112"/>
      <c r="U3246" s="113"/>
      <c r="AF3246" s="2"/>
      <c r="AG3246" s="2"/>
      <c r="AS3246"/>
      <c r="AT3246"/>
    </row>
    <row r="3247" spans="20:46" ht="16.8">
      <c r="T3247" s="112"/>
      <c r="U3247" s="113"/>
      <c r="AF3247" s="2"/>
      <c r="AG3247" s="2"/>
      <c r="AS3247"/>
      <c r="AT3247"/>
    </row>
    <row r="3248" spans="20:46" ht="16.8">
      <c r="T3248" s="112"/>
      <c r="U3248" s="113"/>
      <c r="AF3248" s="2"/>
      <c r="AG3248" s="2"/>
      <c r="AS3248"/>
      <c r="AT3248"/>
    </row>
    <row r="3249" spans="20:46" ht="16.8">
      <c r="T3249" s="112"/>
      <c r="U3249" s="113"/>
      <c r="AF3249" s="2"/>
      <c r="AG3249" s="2"/>
      <c r="AS3249"/>
      <c r="AT3249"/>
    </row>
    <row r="3250" spans="20:46" ht="16.8">
      <c r="T3250" s="112"/>
      <c r="U3250" s="113"/>
      <c r="AF3250" s="2"/>
      <c r="AG3250" s="2"/>
      <c r="AS3250"/>
      <c r="AT3250"/>
    </row>
    <row r="3251" spans="20:46" ht="16.8">
      <c r="T3251" s="112"/>
      <c r="U3251" s="113"/>
      <c r="AF3251" s="2"/>
      <c r="AG3251" s="2"/>
      <c r="AS3251"/>
      <c r="AT3251"/>
    </row>
    <row r="3252" spans="20:46" ht="16.8">
      <c r="T3252" s="112"/>
      <c r="U3252" s="113"/>
      <c r="AF3252" s="2"/>
      <c r="AG3252" s="2"/>
      <c r="AS3252"/>
      <c r="AT3252"/>
    </row>
    <row r="3253" spans="20:46" ht="16.8">
      <c r="T3253" s="112"/>
      <c r="U3253" s="113"/>
      <c r="AF3253" s="2"/>
      <c r="AG3253" s="2"/>
      <c r="AS3253"/>
      <c r="AT3253"/>
    </row>
    <row r="3254" spans="20:46" ht="16.8">
      <c r="T3254" s="112"/>
      <c r="U3254" s="113"/>
      <c r="AF3254" s="2"/>
      <c r="AG3254" s="2"/>
      <c r="AS3254"/>
      <c r="AT3254"/>
    </row>
    <row r="3255" spans="20:46" ht="16.8">
      <c r="T3255" s="112"/>
      <c r="U3255" s="113"/>
      <c r="AF3255" s="2"/>
      <c r="AG3255" s="2"/>
      <c r="AS3255"/>
      <c r="AT3255"/>
    </row>
    <row r="3256" spans="20:46" ht="16.8">
      <c r="T3256" s="112"/>
      <c r="U3256" s="113"/>
      <c r="AF3256" s="2"/>
      <c r="AG3256" s="2"/>
      <c r="AS3256"/>
      <c r="AT3256"/>
    </row>
    <row r="3257" spans="20:46" ht="16.8">
      <c r="T3257" s="112"/>
      <c r="U3257" s="113"/>
      <c r="AF3257" s="2"/>
      <c r="AG3257" s="2"/>
      <c r="AS3257"/>
      <c r="AT3257"/>
    </row>
    <row r="3258" spans="20:46" ht="16.8">
      <c r="T3258" s="112"/>
      <c r="U3258" s="113"/>
      <c r="AF3258" s="2"/>
      <c r="AG3258" s="2"/>
      <c r="AS3258"/>
      <c r="AT3258"/>
    </row>
    <row r="3259" spans="20:46" ht="16.8">
      <c r="T3259" s="112"/>
      <c r="U3259" s="113"/>
      <c r="AF3259" s="2"/>
      <c r="AG3259" s="2"/>
      <c r="AS3259"/>
      <c r="AT3259"/>
    </row>
    <row r="3260" spans="20:46" ht="16.8">
      <c r="T3260" s="112"/>
      <c r="U3260" s="113"/>
      <c r="AF3260" s="2"/>
      <c r="AG3260" s="2"/>
      <c r="AS3260"/>
      <c r="AT3260"/>
    </row>
    <row r="3261" spans="20:46" ht="16.8">
      <c r="T3261" s="112"/>
      <c r="U3261" s="113"/>
      <c r="AF3261" s="2"/>
      <c r="AG3261" s="2"/>
      <c r="AS3261"/>
      <c r="AT3261"/>
    </row>
    <row r="3262" spans="20:46" ht="16.8">
      <c r="T3262" s="112"/>
      <c r="U3262" s="113"/>
      <c r="AF3262" s="2"/>
      <c r="AG3262" s="2"/>
      <c r="AS3262"/>
      <c r="AT3262"/>
    </row>
    <row r="3263" spans="20:46" ht="16.8">
      <c r="T3263" s="112"/>
      <c r="U3263" s="113"/>
      <c r="AF3263" s="2"/>
      <c r="AG3263" s="2"/>
      <c r="AS3263"/>
      <c r="AT3263"/>
    </row>
    <row r="3264" spans="20:46" ht="16.8">
      <c r="T3264" s="112"/>
      <c r="U3264" s="113"/>
      <c r="AF3264" s="2"/>
      <c r="AG3264" s="2"/>
      <c r="AS3264"/>
      <c r="AT3264"/>
    </row>
    <row r="3265" spans="20:46" ht="16.8">
      <c r="T3265" s="112"/>
      <c r="U3265" s="113"/>
      <c r="AF3265" s="2"/>
      <c r="AG3265" s="2"/>
      <c r="AS3265"/>
      <c r="AT3265"/>
    </row>
    <row r="3266" spans="20:46" ht="16.8">
      <c r="T3266" s="112"/>
      <c r="U3266" s="113"/>
      <c r="AF3266" s="2"/>
      <c r="AG3266" s="2"/>
      <c r="AS3266"/>
      <c r="AT3266"/>
    </row>
    <row r="3267" spans="20:46" ht="16.8">
      <c r="T3267" s="112"/>
      <c r="U3267" s="113"/>
      <c r="AF3267" s="2"/>
      <c r="AG3267" s="2"/>
      <c r="AS3267"/>
      <c r="AT3267"/>
    </row>
    <row r="3268" spans="20:46" ht="16.8">
      <c r="T3268" s="112"/>
      <c r="U3268" s="113"/>
      <c r="AF3268" s="2"/>
      <c r="AG3268" s="2"/>
      <c r="AS3268"/>
      <c r="AT3268"/>
    </row>
    <row r="3269" spans="20:46" ht="16.8">
      <c r="T3269" s="112"/>
      <c r="U3269" s="113"/>
      <c r="AF3269" s="2"/>
      <c r="AG3269" s="2"/>
      <c r="AS3269"/>
      <c r="AT3269"/>
    </row>
    <row r="3270" spans="20:46" ht="16.8">
      <c r="T3270" s="112"/>
      <c r="U3270" s="113"/>
      <c r="AF3270" s="2"/>
      <c r="AG3270" s="2"/>
      <c r="AS3270"/>
      <c r="AT3270"/>
    </row>
    <row r="3271" spans="20:46" ht="16.8">
      <c r="T3271" s="112"/>
      <c r="U3271" s="113"/>
      <c r="AF3271" s="2"/>
      <c r="AG3271" s="2"/>
      <c r="AS3271"/>
      <c r="AT3271"/>
    </row>
    <row r="3272" spans="20:46" ht="16.8">
      <c r="T3272" s="112"/>
      <c r="U3272" s="113"/>
      <c r="AF3272" s="2"/>
      <c r="AG3272" s="2"/>
      <c r="AS3272"/>
      <c r="AT3272"/>
    </row>
    <row r="3273" spans="20:46" ht="16.8">
      <c r="T3273" s="112"/>
      <c r="U3273" s="113"/>
      <c r="AF3273" s="2"/>
      <c r="AG3273" s="2"/>
      <c r="AS3273"/>
      <c r="AT3273"/>
    </row>
    <row r="3274" spans="20:46" ht="16.8">
      <c r="T3274" s="112"/>
      <c r="U3274" s="113"/>
      <c r="AF3274" s="2"/>
      <c r="AG3274" s="2"/>
      <c r="AS3274"/>
      <c r="AT3274"/>
    </row>
    <row r="3275" spans="20:46" ht="16.8">
      <c r="T3275" s="112"/>
      <c r="U3275" s="113"/>
      <c r="AF3275" s="2"/>
      <c r="AG3275" s="2"/>
      <c r="AS3275"/>
      <c r="AT3275"/>
    </row>
    <row r="3276" spans="20:46" ht="16.8">
      <c r="T3276" s="112"/>
      <c r="U3276" s="113"/>
      <c r="AF3276" s="2"/>
      <c r="AG3276" s="2"/>
      <c r="AS3276"/>
      <c r="AT3276"/>
    </row>
    <row r="3277" spans="20:46" ht="16.8">
      <c r="T3277" s="112"/>
      <c r="U3277" s="113"/>
      <c r="AF3277" s="2"/>
      <c r="AG3277" s="2"/>
      <c r="AS3277"/>
      <c r="AT3277"/>
    </row>
    <row r="3278" spans="20:46" ht="16.8">
      <c r="T3278" s="112"/>
      <c r="U3278" s="113"/>
      <c r="AF3278" s="2"/>
      <c r="AG3278" s="2"/>
      <c r="AS3278"/>
      <c r="AT3278"/>
    </row>
    <row r="3279" spans="20:46" ht="16.8">
      <c r="T3279" s="112"/>
      <c r="U3279" s="113"/>
      <c r="AF3279" s="2"/>
      <c r="AG3279" s="2"/>
      <c r="AS3279"/>
      <c r="AT3279"/>
    </row>
    <row r="3280" spans="20:46" ht="16.8">
      <c r="T3280" s="112"/>
      <c r="U3280" s="113"/>
      <c r="AF3280" s="2"/>
      <c r="AG3280" s="2"/>
      <c r="AS3280"/>
      <c r="AT3280"/>
    </row>
    <row r="3281" spans="20:46" ht="16.8">
      <c r="T3281" s="112"/>
      <c r="U3281" s="113"/>
      <c r="AF3281" s="2"/>
      <c r="AG3281" s="2"/>
      <c r="AS3281"/>
      <c r="AT3281"/>
    </row>
    <row r="3282" spans="20:46" ht="16.8">
      <c r="T3282" s="112"/>
      <c r="U3282" s="113"/>
      <c r="AF3282" s="2"/>
      <c r="AG3282" s="2"/>
      <c r="AS3282"/>
      <c r="AT3282"/>
    </row>
    <row r="3283" spans="20:46" ht="16.8">
      <c r="T3283" s="112"/>
      <c r="U3283" s="113"/>
      <c r="AF3283" s="2"/>
      <c r="AG3283" s="2"/>
      <c r="AS3283"/>
      <c r="AT3283"/>
    </row>
    <row r="3284" spans="20:46" ht="16.8">
      <c r="T3284" s="112"/>
      <c r="U3284" s="113"/>
      <c r="AF3284" s="2"/>
      <c r="AG3284" s="2"/>
      <c r="AS3284"/>
      <c r="AT3284"/>
    </row>
    <row r="3285" spans="20:46" ht="16.8">
      <c r="T3285" s="112"/>
      <c r="U3285" s="113"/>
      <c r="AF3285" s="2"/>
      <c r="AG3285" s="2"/>
      <c r="AS3285"/>
      <c r="AT3285"/>
    </row>
    <row r="3286" spans="20:46" ht="16.8">
      <c r="T3286" s="112"/>
      <c r="U3286" s="113"/>
      <c r="AF3286" s="2"/>
      <c r="AG3286" s="2"/>
      <c r="AS3286"/>
      <c r="AT3286"/>
    </row>
    <row r="3287" spans="20:46" ht="16.8">
      <c r="T3287" s="112"/>
      <c r="U3287" s="113"/>
      <c r="AF3287" s="2"/>
      <c r="AG3287" s="2"/>
      <c r="AS3287"/>
      <c r="AT3287"/>
    </row>
    <row r="3288" spans="20:46" ht="16.8">
      <c r="T3288" s="112"/>
      <c r="U3288" s="113"/>
      <c r="AF3288" s="2"/>
      <c r="AG3288" s="2"/>
      <c r="AS3288"/>
      <c r="AT3288"/>
    </row>
    <row r="3289" spans="20:46" ht="16.8">
      <c r="T3289" s="112"/>
      <c r="U3289" s="113"/>
      <c r="AF3289" s="2"/>
      <c r="AG3289" s="2"/>
      <c r="AS3289"/>
      <c r="AT3289"/>
    </row>
    <row r="3290" spans="20:46" ht="16.8">
      <c r="T3290" s="112"/>
      <c r="U3290" s="113"/>
      <c r="AF3290" s="2"/>
      <c r="AG3290" s="2"/>
      <c r="AS3290"/>
      <c r="AT3290"/>
    </row>
    <row r="3291" spans="20:46" ht="16.8">
      <c r="T3291" s="112"/>
      <c r="U3291" s="113"/>
      <c r="AF3291" s="2"/>
      <c r="AG3291" s="2"/>
      <c r="AS3291"/>
      <c r="AT3291"/>
    </row>
    <row r="3292" spans="20:46" ht="16.8">
      <c r="T3292" s="112"/>
      <c r="U3292" s="113"/>
      <c r="AF3292" s="2"/>
      <c r="AG3292" s="2"/>
      <c r="AS3292"/>
      <c r="AT3292"/>
    </row>
    <row r="3293" spans="20:46" ht="16.8">
      <c r="T3293" s="112"/>
      <c r="U3293" s="113"/>
      <c r="AF3293" s="2"/>
      <c r="AG3293" s="2"/>
      <c r="AS3293"/>
      <c r="AT3293"/>
    </row>
    <row r="3294" spans="20:46" ht="16.8">
      <c r="T3294" s="112"/>
      <c r="U3294" s="113"/>
      <c r="AF3294" s="2"/>
      <c r="AG3294" s="2"/>
      <c r="AS3294"/>
      <c r="AT3294"/>
    </row>
    <row r="3295" spans="20:46" ht="16.8">
      <c r="T3295" s="112"/>
      <c r="U3295" s="113"/>
      <c r="AF3295" s="2"/>
      <c r="AG3295" s="2"/>
      <c r="AS3295"/>
      <c r="AT3295"/>
    </row>
    <row r="3296" spans="20:46" ht="16.8">
      <c r="T3296" s="112"/>
      <c r="U3296" s="113"/>
      <c r="AF3296" s="2"/>
      <c r="AG3296" s="2"/>
      <c r="AS3296"/>
      <c r="AT3296"/>
    </row>
    <row r="3297" spans="20:46" ht="16.8">
      <c r="T3297" s="112"/>
      <c r="U3297" s="113"/>
      <c r="AF3297" s="2"/>
      <c r="AG3297" s="2"/>
      <c r="AS3297"/>
      <c r="AT3297"/>
    </row>
    <row r="3298" spans="20:46" ht="16.8">
      <c r="T3298" s="112"/>
      <c r="U3298" s="113"/>
      <c r="AF3298" s="2"/>
      <c r="AG3298" s="2"/>
      <c r="AS3298"/>
      <c r="AT3298"/>
    </row>
    <row r="3299" spans="20:46" ht="16.8">
      <c r="T3299" s="112"/>
      <c r="U3299" s="113"/>
      <c r="AF3299" s="2"/>
      <c r="AG3299" s="2"/>
      <c r="AS3299"/>
      <c r="AT3299"/>
    </row>
    <row r="3300" spans="20:46" ht="16.8">
      <c r="T3300" s="112"/>
      <c r="U3300" s="113"/>
      <c r="AF3300" s="2"/>
      <c r="AG3300" s="2"/>
      <c r="AS3300"/>
      <c r="AT3300"/>
    </row>
    <row r="3301" spans="20:46" ht="16.8">
      <c r="T3301" s="112"/>
      <c r="U3301" s="113"/>
      <c r="AF3301" s="2"/>
      <c r="AG3301" s="2"/>
      <c r="AS3301"/>
      <c r="AT3301"/>
    </row>
    <row r="3302" spans="20:46" ht="16.8">
      <c r="T3302" s="112"/>
      <c r="U3302" s="113"/>
      <c r="AF3302" s="2"/>
      <c r="AG3302" s="2"/>
      <c r="AS3302"/>
      <c r="AT3302"/>
    </row>
    <row r="3303" spans="20:46" ht="16.8">
      <c r="T3303" s="112"/>
      <c r="U3303" s="113"/>
      <c r="AF3303" s="2"/>
      <c r="AG3303" s="2"/>
      <c r="AS3303"/>
      <c r="AT3303"/>
    </row>
    <row r="3304" spans="20:46" ht="16.8">
      <c r="T3304" s="112"/>
      <c r="U3304" s="113"/>
      <c r="AF3304" s="2"/>
      <c r="AG3304" s="2"/>
      <c r="AS3304"/>
      <c r="AT3304"/>
    </row>
    <row r="3305" spans="20:46" ht="16.8">
      <c r="T3305" s="112"/>
      <c r="U3305" s="113"/>
      <c r="AF3305" s="2"/>
      <c r="AG3305" s="2"/>
      <c r="AS3305"/>
      <c r="AT3305"/>
    </row>
    <row r="3306" spans="20:46" ht="16.8">
      <c r="T3306" s="112"/>
      <c r="U3306" s="113"/>
      <c r="AF3306" s="2"/>
      <c r="AG3306" s="2"/>
      <c r="AS3306"/>
      <c r="AT3306"/>
    </row>
    <row r="3307" spans="20:46" ht="16.8">
      <c r="T3307" s="112"/>
      <c r="U3307" s="113"/>
      <c r="AF3307" s="2"/>
      <c r="AG3307" s="2"/>
      <c r="AS3307"/>
      <c r="AT3307"/>
    </row>
    <row r="3308" spans="20:46" ht="16.8">
      <c r="T3308" s="112"/>
      <c r="U3308" s="113"/>
      <c r="AF3308" s="2"/>
      <c r="AG3308" s="2"/>
      <c r="AS3308"/>
      <c r="AT3308"/>
    </row>
    <row r="3309" spans="20:46" ht="16.8">
      <c r="T3309" s="112"/>
      <c r="U3309" s="113"/>
      <c r="AF3309" s="2"/>
      <c r="AG3309" s="2"/>
      <c r="AS3309"/>
      <c r="AT3309"/>
    </row>
    <row r="3310" spans="20:46" ht="16.8">
      <c r="T3310" s="112"/>
      <c r="U3310" s="113"/>
      <c r="AF3310" s="2"/>
      <c r="AG3310" s="2"/>
      <c r="AS3310"/>
      <c r="AT3310"/>
    </row>
    <row r="3311" spans="20:46" ht="16.8">
      <c r="T3311" s="112"/>
      <c r="U3311" s="113"/>
      <c r="AF3311" s="2"/>
      <c r="AG3311" s="2"/>
      <c r="AS3311"/>
      <c r="AT3311"/>
    </row>
    <row r="3312" spans="20:46" ht="16.8">
      <c r="T3312" s="112"/>
      <c r="U3312" s="113"/>
      <c r="AF3312" s="2"/>
      <c r="AG3312" s="2"/>
      <c r="AS3312"/>
      <c r="AT3312"/>
    </row>
    <row r="3313" spans="20:46" ht="16.8">
      <c r="T3313" s="112"/>
      <c r="U3313" s="113"/>
      <c r="AF3313" s="2"/>
      <c r="AG3313" s="2"/>
      <c r="AS3313"/>
      <c r="AT3313"/>
    </row>
    <row r="3314" spans="20:46" ht="16.8">
      <c r="T3314" s="112"/>
      <c r="U3314" s="113"/>
      <c r="AF3314" s="2"/>
      <c r="AG3314" s="2"/>
      <c r="AS3314"/>
      <c r="AT3314"/>
    </row>
    <row r="3315" spans="20:46" ht="16.8">
      <c r="T3315" s="112"/>
      <c r="U3315" s="113"/>
      <c r="AF3315" s="2"/>
      <c r="AG3315" s="2"/>
      <c r="AS3315"/>
      <c r="AT3315"/>
    </row>
    <row r="3316" spans="20:46" ht="16.8">
      <c r="T3316" s="112"/>
      <c r="U3316" s="113"/>
      <c r="AF3316" s="2"/>
      <c r="AG3316" s="2"/>
      <c r="AS3316"/>
      <c r="AT3316"/>
    </row>
    <row r="3317" spans="20:46" ht="16.8">
      <c r="T3317" s="112"/>
      <c r="U3317" s="113"/>
      <c r="AF3317" s="2"/>
      <c r="AG3317" s="2"/>
      <c r="AS3317"/>
      <c r="AT3317"/>
    </row>
    <row r="3318" spans="20:46" ht="16.8">
      <c r="T3318" s="112"/>
      <c r="U3318" s="113"/>
      <c r="AF3318" s="2"/>
      <c r="AG3318" s="2"/>
      <c r="AS3318"/>
      <c r="AT3318"/>
    </row>
    <row r="3319" spans="20:46" ht="16.8">
      <c r="T3319" s="112"/>
      <c r="U3319" s="113"/>
      <c r="AF3319" s="2"/>
      <c r="AG3319" s="2"/>
      <c r="AS3319"/>
      <c r="AT3319"/>
    </row>
    <row r="3320" spans="20:46" ht="16.8">
      <c r="T3320" s="112"/>
      <c r="U3320" s="113"/>
      <c r="AF3320" s="2"/>
      <c r="AG3320" s="2"/>
      <c r="AS3320"/>
      <c r="AT3320"/>
    </row>
    <row r="3321" spans="20:46" ht="16.8">
      <c r="T3321" s="112"/>
      <c r="U3321" s="113"/>
      <c r="AF3321" s="2"/>
      <c r="AG3321" s="2"/>
      <c r="AS3321"/>
      <c r="AT3321"/>
    </row>
    <row r="3322" spans="20:46" ht="16.8">
      <c r="T3322" s="112"/>
      <c r="U3322" s="113"/>
      <c r="AF3322" s="2"/>
      <c r="AG3322" s="2"/>
      <c r="AS3322"/>
      <c r="AT3322"/>
    </row>
    <row r="3323" spans="20:46" ht="16.8">
      <c r="T3323" s="112"/>
      <c r="U3323" s="113"/>
      <c r="AF3323" s="2"/>
      <c r="AG3323" s="2"/>
      <c r="AS3323"/>
      <c r="AT3323"/>
    </row>
    <row r="3324" spans="20:46" ht="16.8">
      <c r="T3324" s="112"/>
      <c r="U3324" s="113"/>
      <c r="AF3324" s="2"/>
      <c r="AG3324" s="2"/>
      <c r="AS3324"/>
      <c r="AT3324"/>
    </row>
    <row r="3325" spans="20:46" ht="16.8">
      <c r="T3325" s="112"/>
      <c r="U3325" s="113"/>
      <c r="AF3325" s="2"/>
      <c r="AG3325" s="2"/>
      <c r="AS3325"/>
      <c r="AT3325"/>
    </row>
    <row r="3326" spans="20:46" ht="16.8">
      <c r="T3326" s="112"/>
      <c r="U3326" s="113"/>
      <c r="AF3326" s="2"/>
      <c r="AG3326" s="2"/>
      <c r="AS3326"/>
      <c r="AT3326"/>
    </row>
    <row r="3327" spans="20:46" ht="16.8">
      <c r="T3327" s="112"/>
      <c r="U3327" s="113"/>
      <c r="AF3327" s="2"/>
      <c r="AG3327" s="2"/>
      <c r="AS3327"/>
      <c r="AT3327"/>
    </row>
    <row r="3328" spans="20:46" ht="16.8">
      <c r="T3328" s="112"/>
      <c r="U3328" s="113"/>
      <c r="AF3328" s="2"/>
      <c r="AG3328" s="2"/>
      <c r="AS3328"/>
      <c r="AT3328"/>
    </row>
    <row r="3329" spans="20:46" ht="16.8">
      <c r="T3329" s="112"/>
      <c r="U3329" s="113"/>
      <c r="AF3329" s="2"/>
      <c r="AG3329" s="2"/>
      <c r="AS3329"/>
      <c r="AT3329"/>
    </row>
    <row r="3330" spans="20:46" ht="16.8">
      <c r="T3330" s="112"/>
      <c r="U3330" s="113"/>
      <c r="AF3330" s="2"/>
      <c r="AG3330" s="2"/>
      <c r="AS3330"/>
      <c r="AT3330"/>
    </row>
    <row r="3331" spans="20:46" ht="16.8">
      <c r="T3331" s="112"/>
      <c r="U3331" s="113"/>
      <c r="AF3331" s="2"/>
      <c r="AG3331" s="2"/>
      <c r="AS3331"/>
      <c r="AT3331"/>
    </row>
    <row r="3332" spans="20:46" ht="16.8">
      <c r="T3332" s="112"/>
      <c r="U3332" s="113"/>
      <c r="AF3332" s="2"/>
      <c r="AG3332" s="2"/>
      <c r="AS3332"/>
      <c r="AT3332"/>
    </row>
    <row r="3333" spans="20:46" ht="16.8">
      <c r="T3333" s="112"/>
      <c r="U3333" s="113"/>
      <c r="AF3333" s="2"/>
      <c r="AG3333" s="2"/>
      <c r="AS3333"/>
      <c r="AT3333"/>
    </row>
    <row r="3334" spans="20:46" ht="16.8">
      <c r="T3334" s="112"/>
      <c r="U3334" s="113"/>
      <c r="AF3334" s="2"/>
      <c r="AG3334" s="2"/>
      <c r="AS3334"/>
      <c r="AT3334"/>
    </row>
    <row r="3335" spans="20:46" ht="16.8">
      <c r="T3335" s="112"/>
      <c r="U3335" s="113"/>
      <c r="AF3335" s="2"/>
      <c r="AG3335" s="2"/>
      <c r="AS3335"/>
      <c r="AT3335"/>
    </row>
    <row r="3336" spans="20:46" ht="16.8">
      <c r="T3336" s="112"/>
      <c r="U3336" s="113"/>
      <c r="AF3336" s="2"/>
      <c r="AG3336" s="2"/>
      <c r="AS3336"/>
      <c r="AT3336"/>
    </row>
    <row r="3337" spans="20:46" ht="16.8">
      <c r="T3337" s="112"/>
      <c r="U3337" s="113"/>
      <c r="AF3337" s="2"/>
      <c r="AG3337" s="2"/>
      <c r="AS3337"/>
      <c r="AT3337"/>
    </row>
    <row r="3338" spans="20:46" ht="16.8">
      <c r="T3338" s="112"/>
      <c r="U3338" s="113"/>
      <c r="AF3338" s="2"/>
      <c r="AG3338" s="2"/>
      <c r="AS3338"/>
      <c r="AT3338"/>
    </row>
    <row r="3339" spans="20:46" ht="16.8">
      <c r="T3339" s="112"/>
      <c r="U3339" s="113"/>
      <c r="AF3339" s="2"/>
      <c r="AG3339" s="2"/>
      <c r="AS3339"/>
      <c r="AT3339"/>
    </row>
    <row r="3340" spans="20:46" ht="16.8">
      <c r="T3340" s="112"/>
      <c r="U3340" s="113"/>
      <c r="AF3340" s="2"/>
      <c r="AG3340" s="2"/>
      <c r="AS3340"/>
      <c r="AT3340"/>
    </row>
    <row r="3341" spans="20:46" ht="16.8">
      <c r="T3341" s="112"/>
      <c r="U3341" s="113"/>
      <c r="AF3341" s="2"/>
      <c r="AG3341" s="2"/>
      <c r="AS3341"/>
      <c r="AT3341"/>
    </row>
    <row r="3342" spans="20:46" ht="16.8">
      <c r="T3342" s="112"/>
      <c r="U3342" s="113"/>
      <c r="AF3342" s="2"/>
      <c r="AG3342" s="2"/>
      <c r="AS3342"/>
      <c r="AT3342"/>
    </row>
    <row r="3343" spans="20:46" ht="16.8">
      <c r="T3343" s="112"/>
      <c r="U3343" s="113"/>
      <c r="AF3343" s="2"/>
      <c r="AG3343" s="2"/>
      <c r="AS3343"/>
      <c r="AT3343"/>
    </row>
    <row r="3344" spans="20:46" ht="16.8">
      <c r="T3344" s="112"/>
      <c r="U3344" s="113"/>
      <c r="AF3344" s="2"/>
      <c r="AG3344" s="2"/>
      <c r="AS3344"/>
      <c r="AT3344"/>
    </row>
    <row r="3345" spans="20:46" ht="16.8">
      <c r="T3345" s="112"/>
      <c r="U3345" s="113"/>
      <c r="AF3345" s="2"/>
      <c r="AG3345" s="2"/>
      <c r="AS3345"/>
      <c r="AT3345"/>
    </row>
    <row r="3346" spans="20:46" ht="16.8">
      <c r="T3346" s="112"/>
      <c r="U3346" s="113"/>
      <c r="AF3346" s="2"/>
      <c r="AG3346" s="2"/>
      <c r="AS3346"/>
      <c r="AT3346"/>
    </row>
    <row r="3347" spans="20:46" ht="16.8">
      <c r="T3347" s="112"/>
      <c r="U3347" s="113"/>
      <c r="AF3347" s="2"/>
      <c r="AG3347" s="2"/>
      <c r="AS3347"/>
      <c r="AT3347"/>
    </row>
    <row r="3348" spans="20:46" ht="16.8">
      <c r="T3348" s="112"/>
      <c r="U3348" s="113"/>
      <c r="AF3348" s="2"/>
      <c r="AG3348" s="2"/>
      <c r="AS3348"/>
      <c r="AT3348"/>
    </row>
    <row r="3349" spans="20:46" ht="16.8">
      <c r="T3349" s="112"/>
      <c r="U3349" s="113"/>
      <c r="AF3349" s="2"/>
      <c r="AG3349" s="2"/>
      <c r="AS3349"/>
      <c r="AT3349"/>
    </row>
    <row r="3350" spans="20:46" ht="16.8">
      <c r="T3350" s="112"/>
      <c r="U3350" s="113"/>
      <c r="AF3350" s="2"/>
      <c r="AG3350" s="2"/>
      <c r="AS3350"/>
      <c r="AT3350"/>
    </row>
    <row r="3351" spans="20:46" ht="16.8">
      <c r="T3351" s="112"/>
      <c r="U3351" s="113"/>
      <c r="AF3351" s="2"/>
      <c r="AG3351" s="2"/>
      <c r="AS3351"/>
      <c r="AT3351"/>
    </row>
    <row r="3352" spans="20:46" ht="16.8">
      <c r="T3352" s="112"/>
      <c r="U3352" s="113"/>
      <c r="AF3352" s="2"/>
      <c r="AG3352" s="2"/>
      <c r="AS3352"/>
      <c r="AT3352"/>
    </row>
    <row r="3353" spans="20:46" ht="16.8">
      <c r="T3353" s="112"/>
      <c r="U3353" s="113"/>
      <c r="AF3353" s="2"/>
      <c r="AG3353" s="2"/>
      <c r="AS3353"/>
      <c r="AT3353"/>
    </row>
    <row r="3354" spans="20:46" ht="16.8">
      <c r="T3354" s="112"/>
      <c r="U3354" s="113"/>
      <c r="AF3354" s="2"/>
      <c r="AG3354" s="2"/>
      <c r="AS3354"/>
      <c r="AT3354"/>
    </row>
    <row r="3355" spans="20:46" ht="16.8">
      <c r="T3355" s="112"/>
      <c r="U3355" s="113"/>
      <c r="AF3355" s="2"/>
      <c r="AG3355" s="2"/>
      <c r="AS3355"/>
      <c r="AT3355"/>
    </row>
    <row r="3356" spans="20:46" ht="16.8">
      <c r="T3356" s="112"/>
      <c r="U3356" s="113"/>
      <c r="AF3356" s="2"/>
      <c r="AG3356" s="2"/>
      <c r="AS3356"/>
      <c r="AT3356"/>
    </row>
    <row r="3357" spans="20:46" ht="16.8">
      <c r="T3357" s="112"/>
      <c r="U3357" s="113"/>
      <c r="AF3357" s="2"/>
      <c r="AG3357" s="2"/>
      <c r="AS3357"/>
      <c r="AT3357"/>
    </row>
    <row r="3358" spans="20:46" ht="16.8">
      <c r="T3358" s="112"/>
      <c r="U3358" s="113"/>
      <c r="AF3358" s="2"/>
      <c r="AG3358" s="2"/>
      <c r="AS3358"/>
      <c r="AT3358"/>
    </row>
    <row r="3359" spans="20:46" ht="16.8">
      <c r="T3359" s="112"/>
      <c r="U3359" s="113"/>
      <c r="AF3359" s="2"/>
      <c r="AG3359" s="2"/>
      <c r="AS3359"/>
      <c r="AT3359"/>
    </row>
    <row r="3360" spans="20:46" ht="16.8">
      <c r="T3360" s="112"/>
      <c r="U3360" s="113"/>
      <c r="AF3360" s="2"/>
      <c r="AG3360" s="2"/>
      <c r="AS3360"/>
      <c r="AT3360"/>
    </row>
    <row r="3361" spans="20:46" ht="16.8">
      <c r="T3361" s="112"/>
      <c r="U3361" s="113"/>
      <c r="AF3361" s="2"/>
      <c r="AG3361" s="2"/>
      <c r="AS3361"/>
      <c r="AT3361"/>
    </row>
    <row r="3362" spans="20:46" ht="16.8">
      <c r="T3362" s="112"/>
      <c r="U3362" s="113"/>
      <c r="AF3362" s="2"/>
      <c r="AG3362" s="2"/>
      <c r="AS3362"/>
      <c r="AT3362"/>
    </row>
    <row r="3363" spans="20:46" ht="16.8">
      <c r="T3363" s="112"/>
      <c r="U3363" s="113"/>
      <c r="AF3363" s="2"/>
      <c r="AG3363" s="2"/>
      <c r="AS3363"/>
      <c r="AT3363"/>
    </row>
    <row r="3364" spans="20:46" ht="16.8">
      <c r="T3364" s="112"/>
      <c r="U3364" s="113"/>
      <c r="AF3364" s="2"/>
      <c r="AG3364" s="2"/>
      <c r="AS3364"/>
      <c r="AT3364"/>
    </row>
    <row r="3365" spans="20:46" ht="16.8">
      <c r="T3365" s="112"/>
      <c r="U3365" s="113"/>
      <c r="AF3365" s="2"/>
      <c r="AG3365" s="2"/>
      <c r="AS3365"/>
      <c r="AT3365"/>
    </row>
    <row r="3366" spans="20:46" ht="16.8">
      <c r="T3366" s="112"/>
      <c r="U3366" s="113"/>
      <c r="AF3366" s="2"/>
      <c r="AG3366" s="2"/>
      <c r="AS3366"/>
      <c r="AT3366"/>
    </row>
    <row r="3367" spans="20:46" ht="16.8">
      <c r="T3367" s="112"/>
      <c r="U3367" s="113"/>
      <c r="AF3367" s="2"/>
      <c r="AG3367" s="2"/>
      <c r="AS3367"/>
      <c r="AT3367"/>
    </row>
    <row r="3368" spans="20:46" ht="16.8">
      <c r="T3368" s="112"/>
      <c r="U3368" s="113"/>
      <c r="AF3368" s="2"/>
      <c r="AG3368" s="2"/>
      <c r="AS3368"/>
      <c r="AT3368"/>
    </row>
    <row r="3369" spans="20:46" ht="16.8">
      <c r="T3369" s="112"/>
      <c r="U3369" s="113"/>
      <c r="AF3369" s="2"/>
      <c r="AG3369" s="2"/>
      <c r="AS3369"/>
      <c r="AT3369"/>
    </row>
    <row r="3370" spans="20:46" ht="16.8">
      <c r="T3370" s="112"/>
      <c r="U3370" s="113"/>
      <c r="AF3370" s="2"/>
      <c r="AG3370" s="2"/>
      <c r="AS3370"/>
      <c r="AT3370"/>
    </row>
    <row r="3371" spans="20:46" ht="16.8">
      <c r="T3371" s="112"/>
      <c r="U3371" s="113"/>
      <c r="AF3371" s="2"/>
      <c r="AG3371" s="2"/>
      <c r="AS3371"/>
      <c r="AT3371"/>
    </row>
    <row r="3372" spans="20:46" ht="16.8">
      <c r="T3372" s="112"/>
      <c r="U3372" s="113"/>
      <c r="AF3372" s="2"/>
      <c r="AG3372" s="2"/>
      <c r="AS3372"/>
      <c r="AT3372"/>
    </row>
    <row r="3373" spans="20:46" ht="16.8">
      <c r="T3373" s="112"/>
      <c r="U3373" s="113"/>
      <c r="AF3373" s="2"/>
      <c r="AG3373" s="2"/>
      <c r="AS3373"/>
      <c r="AT3373"/>
    </row>
    <row r="3374" spans="20:46" ht="16.8">
      <c r="T3374" s="112"/>
      <c r="U3374" s="113"/>
      <c r="AF3374" s="2"/>
      <c r="AG3374" s="2"/>
      <c r="AS3374"/>
      <c r="AT3374"/>
    </row>
    <row r="3375" spans="20:46" ht="16.8">
      <c r="T3375" s="112"/>
      <c r="U3375" s="113"/>
      <c r="AF3375" s="2"/>
      <c r="AG3375" s="2"/>
      <c r="AS3375"/>
      <c r="AT3375"/>
    </row>
    <row r="3376" spans="20:46" ht="16.8">
      <c r="T3376" s="112"/>
      <c r="U3376" s="113"/>
      <c r="AF3376" s="2"/>
      <c r="AG3376" s="2"/>
      <c r="AS3376"/>
      <c r="AT3376"/>
    </row>
    <row r="3377" spans="20:46" ht="16.8">
      <c r="T3377" s="112"/>
      <c r="U3377" s="113"/>
      <c r="AF3377" s="2"/>
      <c r="AG3377" s="2"/>
      <c r="AS3377"/>
      <c r="AT3377"/>
    </row>
    <row r="3378" spans="20:46" ht="16.8">
      <c r="T3378" s="112"/>
      <c r="U3378" s="113"/>
      <c r="AF3378" s="2"/>
      <c r="AG3378" s="2"/>
      <c r="AS3378"/>
      <c r="AT3378"/>
    </row>
    <row r="3379" spans="20:46" ht="16.8">
      <c r="T3379" s="112"/>
      <c r="U3379" s="113"/>
      <c r="AF3379" s="2"/>
      <c r="AG3379" s="2"/>
      <c r="AS3379"/>
      <c r="AT3379"/>
    </row>
    <row r="3380" spans="20:46" ht="16.8">
      <c r="T3380" s="112"/>
      <c r="U3380" s="113"/>
      <c r="AF3380" s="2"/>
      <c r="AG3380" s="2"/>
      <c r="AS3380"/>
      <c r="AT3380"/>
    </row>
    <row r="3381" spans="20:46" ht="16.8">
      <c r="T3381" s="112"/>
      <c r="U3381" s="113"/>
      <c r="AF3381" s="2"/>
      <c r="AG3381" s="2"/>
      <c r="AS3381"/>
      <c r="AT3381"/>
    </row>
    <row r="3382" spans="20:46" ht="16.8">
      <c r="T3382" s="112"/>
      <c r="U3382" s="113"/>
      <c r="AF3382" s="2"/>
      <c r="AG3382" s="2"/>
      <c r="AS3382"/>
      <c r="AT3382"/>
    </row>
    <row r="3383" spans="20:46" ht="16.8">
      <c r="T3383" s="112"/>
      <c r="U3383" s="113"/>
      <c r="AF3383" s="2"/>
      <c r="AG3383" s="2"/>
      <c r="AS3383"/>
      <c r="AT3383"/>
    </row>
    <row r="3384" spans="20:46" ht="16.8">
      <c r="T3384" s="112"/>
      <c r="U3384" s="113"/>
      <c r="AF3384" s="2"/>
      <c r="AG3384" s="2"/>
      <c r="AS3384"/>
      <c r="AT3384"/>
    </row>
    <row r="3385" spans="20:46" ht="16.8">
      <c r="T3385" s="112"/>
      <c r="U3385" s="113"/>
      <c r="AF3385" s="2"/>
      <c r="AG3385" s="2"/>
      <c r="AS3385"/>
      <c r="AT3385"/>
    </row>
    <row r="3386" spans="20:46" ht="16.8">
      <c r="T3386" s="112"/>
      <c r="U3386" s="113"/>
      <c r="AF3386" s="2"/>
      <c r="AG3386" s="2"/>
      <c r="AS3386"/>
      <c r="AT3386"/>
    </row>
    <row r="3387" spans="20:46" ht="16.8">
      <c r="T3387" s="112"/>
      <c r="U3387" s="113"/>
      <c r="AF3387" s="2"/>
      <c r="AG3387" s="2"/>
      <c r="AS3387"/>
      <c r="AT3387"/>
    </row>
    <row r="3388" spans="20:46" ht="16.8">
      <c r="T3388" s="112"/>
      <c r="U3388" s="113"/>
      <c r="AF3388" s="2"/>
      <c r="AG3388" s="2"/>
      <c r="AS3388"/>
      <c r="AT3388"/>
    </row>
    <row r="3389" spans="20:46" ht="16.8">
      <c r="T3389" s="112"/>
      <c r="U3389" s="113"/>
      <c r="AF3389" s="2"/>
      <c r="AG3389" s="2"/>
      <c r="AS3389"/>
      <c r="AT3389"/>
    </row>
    <row r="3390" spans="20:46" ht="16.8">
      <c r="T3390" s="112"/>
      <c r="U3390" s="113"/>
      <c r="AF3390" s="2"/>
      <c r="AG3390" s="2"/>
      <c r="AS3390"/>
      <c r="AT3390"/>
    </row>
    <row r="3391" spans="20:46" ht="16.8">
      <c r="T3391" s="112"/>
      <c r="U3391" s="113"/>
      <c r="AF3391" s="2"/>
      <c r="AG3391" s="2"/>
      <c r="AS3391"/>
      <c r="AT3391"/>
    </row>
    <row r="3392" spans="20:46" ht="16.8">
      <c r="T3392" s="112"/>
      <c r="U3392" s="113"/>
      <c r="AF3392" s="2"/>
      <c r="AG3392" s="2"/>
      <c r="AS3392"/>
      <c r="AT3392"/>
    </row>
    <row r="3393" spans="20:46" ht="16.8">
      <c r="T3393" s="112"/>
      <c r="U3393" s="113"/>
      <c r="AF3393" s="2"/>
      <c r="AG3393" s="2"/>
      <c r="AS3393"/>
      <c r="AT3393"/>
    </row>
    <row r="3394" spans="20:46" ht="16.8">
      <c r="T3394" s="112"/>
      <c r="U3394" s="113"/>
      <c r="AF3394" s="2"/>
      <c r="AG3394" s="2"/>
      <c r="AS3394"/>
      <c r="AT3394"/>
    </row>
    <row r="3395" spans="20:46" ht="16.8">
      <c r="T3395" s="112"/>
      <c r="U3395" s="113"/>
      <c r="AF3395" s="2"/>
      <c r="AG3395" s="2"/>
      <c r="AS3395"/>
      <c r="AT3395"/>
    </row>
    <row r="3396" spans="20:46" ht="16.8">
      <c r="T3396" s="112"/>
      <c r="U3396" s="113"/>
      <c r="AF3396" s="2"/>
      <c r="AG3396" s="2"/>
      <c r="AS3396"/>
      <c r="AT3396"/>
    </row>
    <row r="3397" spans="20:46" ht="16.8">
      <c r="T3397" s="112"/>
      <c r="U3397" s="113"/>
      <c r="AF3397" s="2"/>
      <c r="AG3397" s="2"/>
      <c r="AS3397"/>
      <c r="AT3397"/>
    </row>
    <row r="3398" spans="20:46" ht="16.8">
      <c r="T3398" s="112"/>
      <c r="U3398" s="113"/>
      <c r="AF3398" s="2"/>
      <c r="AG3398" s="2"/>
      <c r="AS3398"/>
      <c r="AT3398"/>
    </row>
    <row r="3399" spans="20:46" ht="16.8">
      <c r="T3399" s="112"/>
      <c r="U3399" s="113"/>
      <c r="AF3399" s="2"/>
      <c r="AG3399" s="2"/>
      <c r="AS3399"/>
      <c r="AT3399"/>
    </row>
    <row r="3400" spans="20:46" ht="16.8">
      <c r="T3400" s="112"/>
      <c r="U3400" s="113"/>
      <c r="AF3400" s="2"/>
      <c r="AG3400" s="2"/>
      <c r="AS3400"/>
      <c r="AT3400"/>
    </row>
    <row r="3401" spans="20:46" ht="16.8">
      <c r="T3401" s="112"/>
      <c r="U3401" s="113"/>
      <c r="AF3401" s="2"/>
      <c r="AG3401" s="2"/>
      <c r="AS3401"/>
      <c r="AT3401"/>
    </row>
    <row r="3402" spans="20:46" ht="16.8">
      <c r="T3402" s="112"/>
      <c r="U3402" s="113"/>
      <c r="AF3402" s="2"/>
      <c r="AG3402" s="2"/>
      <c r="AS3402"/>
      <c r="AT3402"/>
    </row>
    <row r="3403" spans="20:46" ht="16.8">
      <c r="T3403" s="112"/>
      <c r="U3403" s="113"/>
      <c r="AF3403" s="2"/>
      <c r="AG3403" s="2"/>
      <c r="AS3403"/>
      <c r="AT3403"/>
    </row>
    <row r="3404" spans="20:46" ht="16.8">
      <c r="T3404" s="112"/>
      <c r="U3404" s="113"/>
      <c r="AF3404" s="2"/>
      <c r="AG3404" s="2"/>
      <c r="AS3404"/>
      <c r="AT3404"/>
    </row>
    <row r="3405" spans="20:46" ht="16.8">
      <c r="T3405" s="112"/>
      <c r="U3405" s="113"/>
      <c r="AF3405" s="2"/>
      <c r="AG3405" s="2"/>
      <c r="AS3405"/>
      <c r="AT3405"/>
    </row>
    <row r="3406" spans="20:46" ht="16.8">
      <c r="T3406" s="112"/>
      <c r="U3406" s="113"/>
      <c r="AF3406" s="2"/>
      <c r="AG3406" s="2"/>
      <c r="AS3406"/>
      <c r="AT3406"/>
    </row>
    <row r="3407" spans="20:46" ht="16.8">
      <c r="T3407" s="112"/>
      <c r="U3407" s="113"/>
      <c r="AF3407" s="2"/>
      <c r="AG3407" s="2"/>
      <c r="AS3407"/>
      <c r="AT3407"/>
    </row>
    <row r="3408" spans="20:46" ht="16.8">
      <c r="T3408" s="112"/>
      <c r="U3408" s="113"/>
      <c r="AF3408" s="2"/>
      <c r="AG3408" s="2"/>
      <c r="AS3408"/>
      <c r="AT3408"/>
    </row>
    <row r="3409" spans="20:46" ht="16.8">
      <c r="T3409" s="112"/>
      <c r="U3409" s="113"/>
      <c r="AF3409" s="2"/>
      <c r="AG3409" s="2"/>
      <c r="AS3409"/>
      <c r="AT3409"/>
    </row>
    <row r="3410" spans="20:46" ht="16.8">
      <c r="T3410" s="112"/>
      <c r="U3410" s="113"/>
      <c r="AF3410" s="2"/>
      <c r="AG3410" s="2"/>
      <c r="AS3410"/>
      <c r="AT3410"/>
    </row>
    <row r="3411" spans="20:46" ht="16.8">
      <c r="T3411" s="112"/>
      <c r="U3411" s="113"/>
      <c r="AF3411" s="2"/>
      <c r="AG3411" s="2"/>
      <c r="AS3411"/>
      <c r="AT3411"/>
    </row>
    <row r="3412" spans="20:46" ht="16.8">
      <c r="T3412" s="112"/>
      <c r="U3412" s="113"/>
      <c r="AF3412" s="2"/>
      <c r="AG3412" s="2"/>
      <c r="AS3412"/>
      <c r="AT3412"/>
    </row>
    <row r="3413" spans="20:46" ht="16.8">
      <c r="T3413" s="112"/>
      <c r="U3413" s="113"/>
      <c r="AF3413" s="2"/>
      <c r="AG3413" s="2"/>
      <c r="AS3413"/>
      <c r="AT3413"/>
    </row>
    <row r="3414" spans="20:46" ht="16.8">
      <c r="T3414" s="112"/>
      <c r="U3414" s="113"/>
      <c r="AF3414" s="2"/>
      <c r="AG3414" s="2"/>
      <c r="AS3414"/>
      <c r="AT3414"/>
    </row>
    <row r="3415" spans="20:46" ht="16.8">
      <c r="T3415" s="112"/>
      <c r="U3415" s="113"/>
      <c r="AF3415" s="2"/>
      <c r="AG3415" s="2"/>
      <c r="AS3415"/>
      <c r="AT3415"/>
    </row>
    <row r="3416" spans="20:46" ht="16.8">
      <c r="T3416" s="112"/>
      <c r="U3416" s="113"/>
      <c r="AF3416" s="2"/>
      <c r="AG3416" s="2"/>
      <c r="AS3416"/>
      <c r="AT3416"/>
    </row>
    <row r="3417" spans="20:46" ht="16.8">
      <c r="T3417" s="112"/>
      <c r="U3417" s="113"/>
      <c r="AF3417" s="2"/>
      <c r="AG3417" s="2"/>
      <c r="AS3417"/>
      <c r="AT3417"/>
    </row>
    <row r="3418" spans="20:46" ht="16.8">
      <c r="T3418" s="112"/>
      <c r="U3418" s="113"/>
      <c r="AF3418" s="2"/>
      <c r="AG3418" s="2"/>
      <c r="AS3418"/>
      <c r="AT3418"/>
    </row>
    <row r="3419" spans="20:46" ht="16.8">
      <c r="T3419" s="112"/>
      <c r="U3419" s="113"/>
      <c r="AF3419" s="2"/>
      <c r="AG3419" s="2"/>
      <c r="AS3419"/>
      <c r="AT3419"/>
    </row>
    <row r="3420" spans="20:46" ht="16.8">
      <c r="T3420" s="112"/>
      <c r="U3420" s="113"/>
      <c r="AF3420" s="2"/>
      <c r="AG3420" s="2"/>
      <c r="AS3420"/>
      <c r="AT3420"/>
    </row>
    <row r="3421" spans="20:46" ht="16.8">
      <c r="T3421" s="112"/>
      <c r="U3421" s="113"/>
      <c r="AF3421" s="2"/>
      <c r="AG3421" s="2"/>
      <c r="AS3421"/>
      <c r="AT3421"/>
    </row>
    <row r="3422" spans="20:46" ht="16.8">
      <c r="T3422" s="112"/>
      <c r="U3422" s="113"/>
      <c r="AF3422" s="2"/>
      <c r="AG3422" s="2"/>
      <c r="AS3422"/>
      <c r="AT3422"/>
    </row>
    <row r="3423" spans="20:46" ht="16.8">
      <c r="T3423" s="112"/>
      <c r="U3423" s="113"/>
      <c r="AF3423" s="2"/>
      <c r="AG3423" s="2"/>
      <c r="AS3423"/>
      <c r="AT3423"/>
    </row>
    <row r="3424" spans="20:46" ht="16.8">
      <c r="T3424" s="112"/>
      <c r="U3424" s="113"/>
      <c r="AF3424" s="2"/>
      <c r="AG3424" s="2"/>
      <c r="AS3424"/>
      <c r="AT3424"/>
    </row>
    <row r="3425" spans="20:46" ht="16.8">
      <c r="T3425" s="112"/>
      <c r="U3425" s="113"/>
      <c r="AF3425" s="2"/>
      <c r="AG3425" s="2"/>
      <c r="AS3425"/>
      <c r="AT3425"/>
    </row>
    <row r="3426" spans="20:46" ht="16.8">
      <c r="T3426" s="112"/>
      <c r="U3426" s="113"/>
      <c r="AF3426" s="2"/>
      <c r="AG3426" s="2"/>
      <c r="AS3426"/>
      <c r="AT3426"/>
    </row>
    <row r="3427" spans="20:46" ht="16.8">
      <c r="T3427" s="112"/>
      <c r="U3427" s="113"/>
      <c r="AF3427" s="2"/>
      <c r="AG3427" s="2"/>
      <c r="AS3427"/>
      <c r="AT3427"/>
    </row>
    <row r="3428" spans="20:46" ht="16.8">
      <c r="T3428" s="112"/>
      <c r="U3428" s="113"/>
      <c r="AF3428" s="2"/>
      <c r="AG3428" s="2"/>
      <c r="AS3428"/>
      <c r="AT3428"/>
    </row>
    <row r="3429" spans="20:46" ht="16.8">
      <c r="T3429" s="112"/>
      <c r="U3429" s="113"/>
      <c r="AF3429" s="2"/>
      <c r="AG3429" s="2"/>
      <c r="AS3429"/>
      <c r="AT3429"/>
    </row>
    <row r="3430" spans="20:46" ht="16.8">
      <c r="T3430" s="112"/>
      <c r="U3430" s="113"/>
      <c r="AF3430" s="2"/>
      <c r="AG3430" s="2"/>
      <c r="AS3430"/>
      <c r="AT3430"/>
    </row>
    <row r="3431" spans="20:46" ht="16.8">
      <c r="T3431" s="112"/>
      <c r="U3431" s="113"/>
      <c r="AF3431" s="2"/>
      <c r="AG3431" s="2"/>
      <c r="AS3431"/>
      <c r="AT3431"/>
    </row>
    <row r="3432" spans="20:46" ht="16.8">
      <c r="T3432" s="112"/>
      <c r="U3432" s="113"/>
      <c r="AF3432" s="2"/>
      <c r="AG3432" s="2"/>
      <c r="AS3432"/>
      <c r="AT3432"/>
    </row>
    <row r="3433" spans="20:46" ht="16.8">
      <c r="T3433" s="112"/>
      <c r="U3433" s="113"/>
      <c r="AF3433" s="2"/>
      <c r="AG3433" s="2"/>
      <c r="AS3433"/>
      <c r="AT3433"/>
    </row>
    <row r="3434" spans="20:46" ht="16.8">
      <c r="T3434" s="112"/>
      <c r="U3434" s="113"/>
      <c r="AF3434" s="2"/>
      <c r="AG3434" s="2"/>
      <c r="AS3434"/>
      <c r="AT3434"/>
    </row>
    <row r="3435" spans="20:46" ht="16.8">
      <c r="T3435" s="112"/>
      <c r="U3435" s="113"/>
      <c r="AF3435" s="2"/>
      <c r="AG3435" s="2"/>
      <c r="AS3435"/>
      <c r="AT3435"/>
    </row>
    <row r="3436" spans="20:46" ht="16.8">
      <c r="T3436" s="112"/>
      <c r="U3436" s="113"/>
      <c r="AF3436" s="2"/>
      <c r="AG3436" s="2"/>
      <c r="AS3436"/>
      <c r="AT3436"/>
    </row>
    <row r="3437" spans="20:46" ht="16.8">
      <c r="T3437" s="112"/>
      <c r="U3437" s="113"/>
      <c r="AF3437" s="2"/>
      <c r="AG3437" s="2"/>
      <c r="AS3437"/>
      <c r="AT3437"/>
    </row>
    <row r="3438" spans="20:46" ht="16.8">
      <c r="T3438" s="112"/>
      <c r="U3438" s="113"/>
      <c r="AF3438" s="2"/>
      <c r="AG3438" s="2"/>
      <c r="AS3438"/>
      <c r="AT3438"/>
    </row>
    <row r="3439" spans="20:46" ht="16.8">
      <c r="T3439" s="112"/>
      <c r="U3439" s="113"/>
      <c r="AF3439" s="2"/>
      <c r="AG3439" s="2"/>
      <c r="AS3439"/>
      <c r="AT3439"/>
    </row>
    <row r="3440" spans="20:46" ht="16.8">
      <c r="T3440" s="112"/>
      <c r="U3440" s="113"/>
      <c r="AF3440" s="2"/>
      <c r="AG3440" s="2"/>
      <c r="AS3440"/>
      <c r="AT3440"/>
    </row>
    <row r="3441" spans="20:46" ht="16.8">
      <c r="T3441" s="112"/>
      <c r="U3441" s="113"/>
      <c r="AF3441" s="2"/>
      <c r="AG3441" s="2"/>
      <c r="AS3441"/>
      <c r="AT3441"/>
    </row>
    <row r="3442" spans="20:46" ht="16.8">
      <c r="T3442" s="112"/>
      <c r="U3442" s="113"/>
      <c r="AF3442" s="2"/>
      <c r="AG3442" s="2"/>
      <c r="AS3442"/>
      <c r="AT3442"/>
    </row>
    <row r="3443" spans="20:46" ht="16.8">
      <c r="T3443" s="112"/>
      <c r="U3443" s="113"/>
      <c r="AF3443" s="2"/>
      <c r="AG3443" s="2"/>
      <c r="AS3443"/>
      <c r="AT3443"/>
    </row>
    <row r="3444" spans="20:46" ht="16.8">
      <c r="T3444" s="112"/>
      <c r="U3444" s="113"/>
      <c r="AF3444" s="2"/>
      <c r="AG3444" s="2"/>
      <c r="AS3444"/>
      <c r="AT3444"/>
    </row>
    <row r="3445" spans="20:46" ht="16.8">
      <c r="T3445" s="112"/>
      <c r="U3445" s="113"/>
      <c r="AF3445" s="2"/>
      <c r="AG3445" s="2"/>
      <c r="AS3445"/>
      <c r="AT3445"/>
    </row>
    <row r="3446" spans="20:46" ht="16.8">
      <c r="T3446" s="112"/>
      <c r="U3446" s="113"/>
      <c r="AF3446" s="2"/>
      <c r="AG3446" s="2"/>
      <c r="AS3446"/>
      <c r="AT3446"/>
    </row>
    <row r="3447" spans="20:46" ht="16.8">
      <c r="T3447" s="112"/>
      <c r="U3447" s="113"/>
      <c r="AF3447" s="2"/>
      <c r="AG3447" s="2"/>
      <c r="AS3447"/>
      <c r="AT3447"/>
    </row>
    <row r="3448" spans="20:46" ht="16.8">
      <c r="T3448" s="112"/>
      <c r="U3448" s="113"/>
      <c r="AF3448" s="2"/>
      <c r="AG3448" s="2"/>
      <c r="AS3448"/>
      <c r="AT3448"/>
    </row>
    <row r="3449" spans="20:46" ht="16.8">
      <c r="T3449" s="112"/>
      <c r="U3449" s="113"/>
      <c r="AF3449" s="2"/>
      <c r="AG3449" s="2"/>
      <c r="AS3449"/>
      <c r="AT3449"/>
    </row>
    <row r="3450" spans="20:46" ht="16.8">
      <c r="T3450" s="112"/>
      <c r="U3450" s="113"/>
      <c r="AF3450" s="2"/>
      <c r="AG3450" s="2"/>
      <c r="AS3450"/>
      <c r="AT3450"/>
    </row>
    <row r="3451" spans="20:46" ht="16.8">
      <c r="T3451" s="112"/>
      <c r="U3451" s="113"/>
      <c r="AF3451" s="2"/>
      <c r="AG3451" s="2"/>
      <c r="AS3451"/>
      <c r="AT3451"/>
    </row>
    <row r="3452" spans="20:46" ht="16.8">
      <c r="T3452" s="112"/>
      <c r="U3452" s="113"/>
      <c r="AF3452" s="2"/>
      <c r="AG3452" s="2"/>
      <c r="AS3452"/>
      <c r="AT3452"/>
    </row>
    <row r="3453" spans="20:46" ht="16.8">
      <c r="T3453" s="112"/>
      <c r="U3453" s="113"/>
      <c r="AF3453" s="2"/>
      <c r="AG3453" s="2"/>
      <c r="AS3453"/>
      <c r="AT3453"/>
    </row>
    <row r="3454" spans="20:46" ht="16.8">
      <c r="T3454" s="112"/>
      <c r="U3454" s="113"/>
      <c r="AF3454" s="2"/>
      <c r="AG3454" s="2"/>
      <c r="AS3454"/>
      <c r="AT3454"/>
    </row>
    <row r="3455" spans="20:46" ht="16.8">
      <c r="T3455" s="112"/>
      <c r="U3455" s="113"/>
      <c r="AF3455" s="2"/>
      <c r="AG3455" s="2"/>
      <c r="AS3455"/>
      <c r="AT3455"/>
    </row>
    <row r="3456" spans="20:46" ht="16.8">
      <c r="T3456" s="112"/>
      <c r="U3456" s="113"/>
      <c r="AF3456" s="2"/>
      <c r="AG3456" s="2"/>
      <c r="AS3456"/>
      <c r="AT3456"/>
    </row>
    <row r="3457" spans="20:46" ht="16.8">
      <c r="T3457" s="112"/>
      <c r="U3457" s="113"/>
      <c r="AF3457" s="2"/>
      <c r="AG3457" s="2"/>
      <c r="AS3457"/>
      <c r="AT3457"/>
    </row>
    <row r="3458" spans="20:46" ht="16.8">
      <c r="T3458" s="112"/>
      <c r="U3458" s="113"/>
      <c r="AF3458" s="2"/>
      <c r="AG3458" s="2"/>
      <c r="AS3458"/>
      <c r="AT3458"/>
    </row>
    <row r="3459" spans="20:46" ht="16.8">
      <c r="T3459" s="112"/>
      <c r="U3459" s="113"/>
      <c r="AF3459" s="2"/>
      <c r="AG3459" s="2"/>
      <c r="AS3459"/>
      <c r="AT3459"/>
    </row>
    <row r="3460" spans="20:46" ht="16.8">
      <c r="T3460" s="112"/>
      <c r="U3460" s="113"/>
      <c r="AF3460" s="2"/>
      <c r="AG3460" s="2"/>
      <c r="AS3460"/>
      <c r="AT3460"/>
    </row>
    <row r="3461" spans="20:46" ht="16.8">
      <c r="T3461" s="112"/>
      <c r="U3461" s="113"/>
      <c r="AF3461" s="2"/>
      <c r="AG3461" s="2"/>
      <c r="AS3461"/>
      <c r="AT3461"/>
    </row>
    <row r="3462" spans="20:46" ht="16.8">
      <c r="T3462" s="112"/>
      <c r="U3462" s="113"/>
      <c r="AF3462" s="2"/>
      <c r="AG3462" s="2"/>
      <c r="AS3462"/>
      <c r="AT3462"/>
    </row>
    <row r="3463" spans="20:46" ht="16.8">
      <c r="T3463" s="112"/>
      <c r="U3463" s="113"/>
      <c r="AF3463" s="2"/>
      <c r="AG3463" s="2"/>
      <c r="AS3463"/>
      <c r="AT3463"/>
    </row>
    <row r="3464" spans="20:46" ht="16.8">
      <c r="T3464" s="112"/>
      <c r="U3464" s="113"/>
      <c r="AF3464" s="2"/>
      <c r="AG3464" s="2"/>
      <c r="AS3464"/>
      <c r="AT3464"/>
    </row>
    <row r="3465" spans="20:46" ht="16.8">
      <c r="T3465" s="112"/>
      <c r="U3465" s="113"/>
      <c r="AF3465" s="2"/>
      <c r="AG3465" s="2"/>
      <c r="AS3465"/>
      <c r="AT3465"/>
    </row>
    <row r="3466" spans="20:46" ht="16.8">
      <c r="T3466" s="112"/>
      <c r="U3466" s="113"/>
      <c r="AF3466" s="2"/>
      <c r="AG3466" s="2"/>
      <c r="AS3466"/>
      <c r="AT3466"/>
    </row>
    <row r="3467" spans="20:46" ht="16.8">
      <c r="T3467" s="112"/>
      <c r="U3467" s="113"/>
      <c r="AF3467" s="2"/>
      <c r="AG3467" s="2"/>
      <c r="AS3467"/>
      <c r="AT3467"/>
    </row>
    <row r="3468" spans="20:46" ht="16.8">
      <c r="T3468" s="112"/>
      <c r="U3468" s="113"/>
      <c r="AF3468" s="2"/>
      <c r="AG3468" s="2"/>
      <c r="AS3468"/>
      <c r="AT3468"/>
    </row>
    <row r="3469" spans="20:46" ht="16.8">
      <c r="T3469" s="112"/>
      <c r="U3469" s="113"/>
      <c r="AF3469" s="2"/>
      <c r="AG3469" s="2"/>
      <c r="AS3469"/>
      <c r="AT3469"/>
    </row>
    <row r="3470" spans="20:46" ht="16.8">
      <c r="T3470" s="112"/>
      <c r="U3470" s="113"/>
      <c r="AF3470" s="2"/>
      <c r="AG3470" s="2"/>
      <c r="AS3470"/>
      <c r="AT3470"/>
    </row>
    <row r="3471" spans="20:46" ht="16.8">
      <c r="T3471" s="112"/>
      <c r="U3471" s="113"/>
      <c r="AF3471" s="2"/>
      <c r="AG3471" s="2"/>
      <c r="AS3471"/>
      <c r="AT3471"/>
    </row>
    <row r="3472" spans="20:46" ht="16.8">
      <c r="T3472" s="112"/>
      <c r="U3472" s="113"/>
      <c r="AF3472" s="2"/>
      <c r="AG3472" s="2"/>
      <c r="AS3472"/>
      <c r="AT3472"/>
    </row>
    <row r="3473" spans="20:46" ht="16.8">
      <c r="T3473" s="112"/>
      <c r="U3473" s="113"/>
      <c r="AF3473" s="2"/>
      <c r="AG3473" s="2"/>
      <c r="AS3473"/>
      <c r="AT3473"/>
    </row>
    <row r="3474" spans="20:46" ht="16.8">
      <c r="T3474" s="112"/>
      <c r="U3474" s="113"/>
      <c r="AF3474" s="2"/>
      <c r="AG3474" s="2"/>
      <c r="AS3474"/>
      <c r="AT3474"/>
    </row>
    <row r="3475" spans="20:46" ht="16.8">
      <c r="T3475" s="112"/>
      <c r="U3475" s="113"/>
      <c r="AF3475" s="2"/>
      <c r="AG3475" s="2"/>
      <c r="AS3475"/>
      <c r="AT3475"/>
    </row>
    <row r="3476" spans="20:46" ht="16.8">
      <c r="T3476" s="112"/>
      <c r="U3476" s="113"/>
      <c r="AF3476" s="2"/>
      <c r="AG3476" s="2"/>
      <c r="AS3476"/>
      <c r="AT3476"/>
    </row>
    <row r="3477" spans="20:46" ht="16.8">
      <c r="T3477" s="112"/>
      <c r="U3477" s="113"/>
      <c r="AF3477" s="2"/>
      <c r="AG3477" s="2"/>
      <c r="AS3477"/>
      <c r="AT3477"/>
    </row>
    <row r="3478" spans="20:46" ht="16.8">
      <c r="T3478" s="112"/>
      <c r="U3478" s="113"/>
      <c r="AF3478" s="2"/>
      <c r="AG3478" s="2"/>
      <c r="AS3478"/>
      <c r="AT3478"/>
    </row>
    <row r="3479" spans="20:46" ht="16.8">
      <c r="T3479" s="112"/>
      <c r="U3479" s="113"/>
      <c r="AF3479" s="2"/>
      <c r="AG3479" s="2"/>
      <c r="AS3479"/>
      <c r="AT3479"/>
    </row>
    <row r="3480" spans="20:46" ht="16.8">
      <c r="T3480" s="112"/>
      <c r="U3480" s="113"/>
      <c r="AF3480" s="2"/>
      <c r="AG3480" s="2"/>
      <c r="AS3480"/>
      <c r="AT3480"/>
    </row>
    <row r="3481" spans="20:46" ht="16.8">
      <c r="T3481" s="112"/>
      <c r="U3481" s="113"/>
      <c r="AF3481" s="2"/>
      <c r="AG3481" s="2"/>
      <c r="AS3481"/>
      <c r="AT3481"/>
    </row>
    <row r="3482" spans="20:46" ht="16.8">
      <c r="T3482" s="112"/>
      <c r="U3482" s="113"/>
      <c r="AF3482" s="2"/>
      <c r="AG3482" s="2"/>
      <c r="AS3482"/>
      <c r="AT3482"/>
    </row>
    <row r="3483" spans="20:46" ht="16.8">
      <c r="T3483" s="112"/>
      <c r="U3483" s="113"/>
      <c r="AF3483" s="2"/>
      <c r="AG3483" s="2"/>
      <c r="AS3483"/>
      <c r="AT3483"/>
    </row>
    <row r="3484" spans="20:46" ht="16.8">
      <c r="T3484" s="112"/>
      <c r="U3484" s="113"/>
      <c r="AF3484" s="2"/>
      <c r="AG3484" s="2"/>
      <c r="AS3484"/>
      <c r="AT3484"/>
    </row>
    <row r="3485" spans="20:46" ht="16.8">
      <c r="T3485" s="112"/>
      <c r="U3485" s="113"/>
      <c r="AF3485" s="2"/>
      <c r="AG3485" s="2"/>
      <c r="AS3485"/>
      <c r="AT3485"/>
    </row>
    <row r="3486" spans="20:46" ht="16.8">
      <c r="T3486" s="112"/>
      <c r="U3486" s="113"/>
      <c r="AF3486" s="2"/>
      <c r="AG3486" s="2"/>
      <c r="AS3486"/>
      <c r="AT3486"/>
    </row>
    <row r="3487" spans="20:46" ht="16.8">
      <c r="T3487" s="112"/>
      <c r="U3487" s="113"/>
      <c r="AF3487" s="2"/>
      <c r="AG3487" s="2"/>
      <c r="AS3487"/>
      <c r="AT3487"/>
    </row>
    <row r="3488" spans="20:46" ht="16.8">
      <c r="T3488" s="112"/>
      <c r="U3488" s="113"/>
      <c r="AF3488" s="2"/>
      <c r="AG3488" s="2"/>
      <c r="AS3488"/>
      <c r="AT3488"/>
    </row>
    <row r="3489" spans="20:46" ht="16.8">
      <c r="T3489" s="112"/>
      <c r="U3489" s="113"/>
      <c r="AF3489" s="2"/>
      <c r="AG3489" s="2"/>
      <c r="AS3489"/>
      <c r="AT3489"/>
    </row>
    <row r="3490" spans="20:46" ht="16.8">
      <c r="T3490" s="112"/>
      <c r="U3490" s="113"/>
      <c r="AF3490" s="2"/>
      <c r="AG3490" s="2"/>
      <c r="AS3490"/>
      <c r="AT3490"/>
    </row>
    <row r="3491" spans="20:46" ht="16.8">
      <c r="T3491" s="112"/>
      <c r="U3491" s="113"/>
      <c r="AF3491" s="2"/>
      <c r="AG3491" s="2"/>
      <c r="AS3491"/>
      <c r="AT3491"/>
    </row>
    <row r="3492" spans="20:46" ht="16.8">
      <c r="T3492" s="112"/>
      <c r="U3492" s="113"/>
      <c r="AF3492" s="2"/>
      <c r="AG3492" s="2"/>
      <c r="AS3492"/>
      <c r="AT3492"/>
    </row>
    <row r="3493" spans="20:46" ht="16.8">
      <c r="T3493" s="112"/>
      <c r="U3493" s="113"/>
      <c r="AF3493" s="2"/>
      <c r="AG3493" s="2"/>
      <c r="AS3493"/>
      <c r="AT3493"/>
    </row>
    <row r="3494" spans="20:46" ht="16.8">
      <c r="T3494" s="112"/>
      <c r="U3494" s="113"/>
      <c r="AF3494" s="2"/>
      <c r="AG3494" s="2"/>
      <c r="AS3494"/>
      <c r="AT3494"/>
    </row>
    <row r="3495" spans="20:46" ht="16.8">
      <c r="T3495" s="112"/>
      <c r="U3495" s="113"/>
      <c r="AF3495" s="2"/>
      <c r="AG3495" s="2"/>
      <c r="AS3495"/>
      <c r="AT3495"/>
    </row>
    <row r="3496" spans="20:46" ht="16.8">
      <c r="T3496" s="112"/>
      <c r="U3496" s="113"/>
      <c r="AF3496" s="2"/>
      <c r="AG3496" s="2"/>
      <c r="AS3496"/>
      <c r="AT3496"/>
    </row>
    <row r="3497" spans="20:46" ht="16.8">
      <c r="T3497" s="112"/>
      <c r="U3497" s="113"/>
      <c r="AF3497" s="2"/>
      <c r="AG3497" s="2"/>
      <c r="AS3497"/>
      <c r="AT3497"/>
    </row>
    <row r="3498" spans="20:46" ht="16.8">
      <c r="T3498" s="112"/>
      <c r="U3498" s="113"/>
      <c r="AF3498" s="2"/>
      <c r="AG3498" s="2"/>
      <c r="AS3498"/>
      <c r="AT3498"/>
    </row>
    <row r="3499" spans="20:46" ht="16.8">
      <c r="T3499" s="112"/>
      <c r="U3499" s="113"/>
      <c r="AF3499" s="2"/>
      <c r="AG3499" s="2"/>
      <c r="AS3499"/>
      <c r="AT3499"/>
    </row>
    <row r="3500" spans="20:46" ht="16.8">
      <c r="T3500" s="112"/>
      <c r="U3500" s="113"/>
      <c r="AF3500" s="2"/>
      <c r="AG3500" s="2"/>
      <c r="AS3500"/>
      <c r="AT3500"/>
    </row>
    <row r="3501" spans="20:46" ht="16.8">
      <c r="T3501" s="112"/>
      <c r="U3501" s="113"/>
      <c r="AF3501" s="2"/>
      <c r="AG3501" s="2"/>
      <c r="AS3501"/>
      <c r="AT3501"/>
    </row>
    <row r="3502" spans="20:46" ht="16.8">
      <c r="T3502" s="112"/>
      <c r="U3502" s="113"/>
      <c r="AF3502" s="2"/>
      <c r="AG3502" s="2"/>
      <c r="AS3502"/>
      <c r="AT3502"/>
    </row>
    <row r="3503" spans="20:46" ht="16.8">
      <c r="T3503" s="112"/>
      <c r="U3503" s="113"/>
      <c r="AF3503" s="2"/>
      <c r="AG3503" s="2"/>
      <c r="AS3503"/>
      <c r="AT3503"/>
    </row>
    <row r="3504" spans="20:46" ht="16.8">
      <c r="T3504" s="112"/>
      <c r="U3504" s="113"/>
      <c r="AF3504" s="2"/>
      <c r="AG3504" s="2"/>
      <c r="AS3504"/>
      <c r="AT3504"/>
    </row>
    <row r="3505" spans="20:46" ht="16.8">
      <c r="T3505" s="112"/>
      <c r="U3505" s="113"/>
      <c r="AF3505" s="2"/>
      <c r="AG3505" s="2"/>
      <c r="AS3505"/>
      <c r="AT3505"/>
    </row>
    <row r="3506" spans="20:46" ht="16.8">
      <c r="T3506" s="112"/>
      <c r="U3506" s="113"/>
      <c r="AF3506" s="2"/>
      <c r="AG3506" s="2"/>
      <c r="AS3506"/>
      <c r="AT3506"/>
    </row>
    <row r="3507" spans="20:46" ht="16.8">
      <c r="T3507" s="112"/>
      <c r="U3507" s="113"/>
      <c r="AF3507" s="2"/>
      <c r="AG3507" s="2"/>
      <c r="AS3507"/>
      <c r="AT3507"/>
    </row>
    <row r="3508" spans="20:46" ht="16.8">
      <c r="T3508" s="112"/>
      <c r="U3508" s="113"/>
      <c r="AF3508" s="2"/>
      <c r="AG3508" s="2"/>
      <c r="AS3508"/>
      <c r="AT3508"/>
    </row>
    <row r="3509" spans="20:46" ht="16.8">
      <c r="T3509" s="112"/>
      <c r="U3509" s="113"/>
      <c r="AF3509" s="2"/>
      <c r="AG3509" s="2"/>
      <c r="AS3509"/>
      <c r="AT3509"/>
    </row>
    <row r="3510" spans="20:46" ht="16.8">
      <c r="T3510" s="112"/>
      <c r="U3510" s="113"/>
      <c r="AF3510" s="2"/>
      <c r="AG3510" s="2"/>
      <c r="AS3510"/>
      <c r="AT3510"/>
    </row>
    <row r="3511" spans="20:46" ht="16.8">
      <c r="T3511" s="112"/>
      <c r="U3511" s="113"/>
      <c r="AF3511" s="2"/>
      <c r="AG3511" s="2"/>
      <c r="AS3511"/>
      <c r="AT3511"/>
    </row>
    <row r="3512" spans="20:46" ht="16.8">
      <c r="T3512" s="112"/>
      <c r="U3512" s="113"/>
      <c r="AF3512" s="2"/>
      <c r="AG3512" s="2"/>
      <c r="AS3512"/>
      <c r="AT3512"/>
    </row>
    <row r="3513" spans="20:46" ht="16.8">
      <c r="T3513" s="112"/>
      <c r="U3513" s="113"/>
      <c r="AF3513" s="2"/>
      <c r="AG3513" s="2"/>
      <c r="AS3513"/>
      <c r="AT3513"/>
    </row>
    <row r="3514" spans="20:46" ht="16.8">
      <c r="T3514" s="112"/>
      <c r="U3514" s="113"/>
      <c r="AF3514" s="2"/>
      <c r="AG3514" s="2"/>
      <c r="AS3514"/>
      <c r="AT3514"/>
    </row>
    <row r="3515" spans="20:46" ht="16.8">
      <c r="T3515" s="112"/>
      <c r="U3515" s="113"/>
      <c r="AF3515" s="2"/>
      <c r="AG3515" s="2"/>
      <c r="AS3515"/>
      <c r="AT3515"/>
    </row>
    <row r="3516" spans="20:46" ht="16.8">
      <c r="T3516" s="112"/>
      <c r="U3516" s="113"/>
      <c r="AF3516" s="2"/>
      <c r="AG3516" s="2"/>
      <c r="AS3516"/>
      <c r="AT3516"/>
    </row>
    <row r="3517" spans="20:46" ht="16.8">
      <c r="T3517" s="112"/>
      <c r="U3517" s="113"/>
      <c r="AF3517" s="2"/>
      <c r="AG3517" s="2"/>
      <c r="AS3517"/>
      <c r="AT3517"/>
    </row>
    <row r="3518" spans="20:46" ht="16.8">
      <c r="T3518" s="112"/>
      <c r="U3518" s="113"/>
      <c r="AF3518" s="2"/>
      <c r="AG3518" s="2"/>
      <c r="AS3518"/>
      <c r="AT3518"/>
    </row>
    <row r="3519" spans="20:46" ht="16.8">
      <c r="T3519" s="112"/>
      <c r="U3519" s="113"/>
      <c r="AF3519" s="2"/>
      <c r="AG3519" s="2"/>
      <c r="AS3519"/>
      <c r="AT3519"/>
    </row>
    <row r="3520" spans="20:46" ht="16.8">
      <c r="T3520" s="112"/>
      <c r="U3520" s="113"/>
      <c r="AF3520" s="2"/>
      <c r="AG3520" s="2"/>
      <c r="AS3520"/>
      <c r="AT3520"/>
    </row>
    <row r="3521" spans="20:46" ht="16.8">
      <c r="T3521" s="112"/>
      <c r="U3521" s="113"/>
      <c r="AF3521" s="2"/>
      <c r="AG3521" s="2"/>
      <c r="AS3521"/>
      <c r="AT3521"/>
    </row>
    <row r="3522" spans="20:46" ht="16.8">
      <c r="T3522" s="112"/>
      <c r="U3522" s="113"/>
      <c r="AF3522" s="2"/>
      <c r="AG3522" s="2"/>
      <c r="AS3522"/>
      <c r="AT3522"/>
    </row>
    <row r="3523" spans="20:46" ht="16.8">
      <c r="T3523" s="112"/>
      <c r="U3523" s="113"/>
      <c r="AF3523" s="2"/>
      <c r="AG3523" s="2"/>
      <c r="AS3523"/>
      <c r="AT3523"/>
    </row>
    <row r="3524" spans="20:46" ht="16.8">
      <c r="T3524" s="112"/>
      <c r="U3524" s="113"/>
      <c r="AF3524" s="2"/>
      <c r="AG3524" s="2"/>
      <c r="AS3524"/>
      <c r="AT3524"/>
    </row>
    <row r="3525" spans="20:46" ht="16.8">
      <c r="T3525" s="112"/>
      <c r="U3525" s="113"/>
      <c r="AF3525" s="2"/>
      <c r="AG3525" s="2"/>
      <c r="AS3525"/>
      <c r="AT3525"/>
    </row>
    <row r="3526" spans="20:46" ht="16.8">
      <c r="T3526" s="112"/>
      <c r="U3526" s="113"/>
      <c r="AF3526" s="2"/>
      <c r="AG3526" s="2"/>
      <c r="AS3526"/>
      <c r="AT3526"/>
    </row>
    <row r="3527" spans="20:46" ht="16.8">
      <c r="T3527" s="112"/>
      <c r="U3527" s="113"/>
      <c r="AF3527" s="2"/>
      <c r="AG3527" s="2"/>
      <c r="AS3527"/>
      <c r="AT3527"/>
    </row>
    <row r="3528" spans="20:46" ht="16.8">
      <c r="T3528" s="112"/>
      <c r="U3528" s="113"/>
      <c r="AF3528" s="2"/>
      <c r="AG3528" s="2"/>
      <c r="AS3528"/>
      <c r="AT3528"/>
    </row>
    <row r="3529" spans="20:46" ht="16.8">
      <c r="T3529" s="112"/>
      <c r="U3529" s="113"/>
      <c r="AF3529" s="2"/>
      <c r="AG3529" s="2"/>
      <c r="AS3529"/>
      <c r="AT3529"/>
    </row>
    <row r="3530" spans="20:46" ht="16.8">
      <c r="T3530" s="112"/>
      <c r="U3530" s="113"/>
      <c r="AF3530" s="2"/>
      <c r="AG3530" s="2"/>
      <c r="AS3530"/>
      <c r="AT3530"/>
    </row>
    <row r="3531" spans="20:46" ht="16.8">
      <c r="T3531" s="112"/>
      <c r="U3531" s="113"/>
      <c r="AF3531" s="2"/>
      <c r="AG3531" s="2"/>
      <c r="AS3531"/>
      <c r="AT3531"/>
    </row>
    <row r="3532" spans="20:46" ht="16.8">
      <c r="T3532" s="112"/>
      <c r="U3532" s="113"/>
      <c r="AF3532" s="2"/>
      <c r="AG3532" s="2"/>
      <c r="AS3532"/>
      <c r="AT3532"/>
    </row>
    <row r="3533" spans="20:46" ht="16.8">
      <c r="T3533" s="112"/>
      <c r="U3533" s="113"/>
      <c r="AF3533" s="2"/>
      <c r="AG3533" s="2"/>
      <c r="AS3533"/>
      <c r="AT3533"/>
    </row>
    <row r="3534" spans="20:46" ht="16.8">
      <c r="T3534" s="112"/>
      <c r="U3534" s="113"/>
      <c r="AF3534" s="2"/>
      <c r="AG3534" s="2"/>
      <c r="AS3534"/>
      <c r="AT3534"/>
    </row>
    <row r="3535" spans="20:46" ht="16.8">
      <c r="T3535" s="112"/>
      <c r="U3535" s="113"/>
      <c r="AF3535" s="2"/>
      <c r="AG3535" s="2"/>
      <c r="AS3535"/>
      <c r="AT3535"/>
    </row>
    <row r="3536" spans="20:46" ht="16.8">
      <c r="T3536" s="112"/>
      <c r="U3536" s="113"/>
      <c r="AF3536" s="2"/>
      <c r="AG3536" s="2"/>
      <c r="AS3536"/>
      <c r="AT3536"/>
    </row>
    <row r="3537" spans="20:46" ht="16.8">
      <c r="T3537" s="112"/>
      <c r="U3537" s="113"/>
      <c r="AF3537" s="2"/>
      <c r="AG3537" s="2"/>
      <c r="AS3537"/>
      <c r="AT3537"/>
    </row>
    <row r="3538" spans="20:46" ht="16.8">
      <c r="T3538" s="112"/>
      <c r="U3538" s="113"/>
      <c r="AF3538" s="2"/>
      <c r="AG3538" s="2"/>
      <c r="AS3538"/>
      <c r="AT3538"/>
    </row>
    <row r="3539" spans="20:46" ht="16.8">
      <c r="T3539" s="112"/>
      <c r="U3539" s="113"/>
      <c r="AF3539" s="2"/>
      <c r="AG3539" s="2"/>
      <c r="AS3539"/>
      <c r="AT3539"/>
    </row>
    <row r="3540" spans="20:46" ht="16.8">
      <c r="T3540" s="112"/>
      <c r="U3540" s="113"/>
      <c r="AF3540" s="2"/>
      <c r="AG3540" s="2"/>
      <c r="AS3540"/>
      <c r="AT3540"/>
    </row>
    <row r="3541" spans="20:46" ht="16.8">
      <c r="T3541" s="112"/>
      <c r="U3541" s="113"/>
      <c r="AF3541" s="2"/>
      <c r="AG3541" s="2"/>
      <c r="AS3541"/>
      <c r="AT3541"/>
    </row>
    <row r="3542" spans="20:46" ht="16.8">
      <c r="T3542" s="112"/>
      <c r="U3542" s="113"/>
      <c r="AF3542" s="2"/>
      <c r="AG3542" s="2"/>
      <c r="AS3542"/>
      <c r="AT3542"/>
    </row>
    <row r="3543" spans="20:46" ht="16.8">
      <c r="T3543" s="112"/>
      <c r="U3543" s="113"/>
      <c r="AF3543" s="2"/>
      <c r="AG3543" s="2"/>
      <c r="AS3543"/>
      <c r="AT3543"/>
    </row>
    <row r="3544" spans="20:46" ht="16.8">
      <c r="T3544" s="112"/>
      <c r="U3544" s="113"/>
      <c r="AF3544" s="2"/>
      <c r="AG3544" s="2"/>
      <c r="AS3544"/>
      <c r="AT3544"/>
    </row>
    <row r="3545" spans="20:46" ht="16.8">
      <c r="T3545" s="112"/>
      <c r="U3545" s="113"/>
      <c r="AF3545" s="2"/>
      <c r="AG3545" s="2"/>
      <c r="AS3545"/>
      <c r="AT3545"/>
    </row>
    <row r="3546" spans="20:46" ht="16.8">
      <c r="T3546" s="112"/>
      <c r="U3546" s="113"/>
      <c r="AF3546" s="2"/>
      <c r="AG3546" s="2"/>
      <c r="AS3546"/>
      <c r="AT3546"/>
    </row>
    <row r="3547" spans="20:46" ht="16.8">
      <c r="T3547" s="112"/>
      <c r="U3547" s="113"/>
      <c r="AF3547" s="2"/>
      <c r="AG3547" s="2"/>
      <c r="AS3547"/>
      <c r="AT3547"/>
    </row>
    <row r="3548" spans="20:46" ht="16.8">
      <c r="T3548" s="112"/>
      <c r="U3548" s="113"/>
      <c r="AF3548" s="2"/>
      <c r="AG3548" s="2"/>
      <c r="AS3548"/>
      <c r="AT3548"/>
    </row>
    <row r="3549" spans="20:46" ht="16.8">
      <c r="T3549" s="112"/>
      <c r="U3549" s="113"/>
      <c r="AF3549" s="2"/>
      <c r="AG3549" s="2"/>
      <c r="AS3549"/>
      <c r="AT3549"/>
    </row>
    <row r="3550" spans="20:46" ht="16.8">
      <c r="T3550" s="112"/>
      <c r="U3550" s="113"/>
      <c r="AF3550" s="2"/>
      <c r="AG3550" s="2"/>
      <c r="AS3550"/>
      <c r="AT3550"/>
    </row>
    <row r="3551" spans="20:46" ht="16.8">
      <c r="T3551" s="112"/>
      <c r="U3551" s="113"/>
      <c r="AF3551" s="2"/>
      <c r="AG3551" s="2"/>
      <c r="AS3551"/>
      <c r="AT3551"/>
    </row>
    <row r="3552" spans="20:46" ht="16.8">
      <c r="T3552" s="112"/>
      <c r="U3552" s="113"/>
      <c r="AF3552" s="2"/>
      <c r="AG3552" s="2"/>
      <c r="AS3552"/>
      <c r="AT3552"/>
    </row>
    <row r="3553" spans="20:46" ht="16.8">
      <c r="T3553" s="112"/>
      <c r="U3553" s="113"/>
      <c r="AF3553" s="2"/>
      <c r="AG3553" s="2"/>
      <c r="AS3553"/>
      <c r="AT3553"/>
    </row>
    <row r="3554" spans="20:46" ht="16.8">
      <c r="T3554" s="112"/>
      <c r="U3554" s="113"/>
      <c r="AF3554" s="2"/>
      <c r="AG3554" s="2"/>
      <c r="AS3554"/>
      <c r="AT3554"/>
    </row>
    <row r="3555" spans="20:46" ht="16.8">
      <c r="T3555" s="112"/>
      <c r="U3555" s="113"/>
      <c r="AF3555" s="2"/>
      <c r="AG3555" s="2"/>
      <c r="AS3555"/>
      <c r="AT3555"/>
    </row>
    <row r="3556" spans="20:46" ht="16.8">
      <c r="T3556" s="112"/>
      <c r="U3556" s="113"/>
      <c r="AF3556" s="2"/>
      <c r="AG3556" s="2"/>
      <c r="AS3556"/>
      <c r="AT3556"/>
    </row>
    <row r="3557" spans="20:46" ht="16.8">
      <c r="T3557" s="112"/>
      <c r="U3557" s="113"/>
      <c r="AF3557" s="2"/>
      <c r="AG3557" s="2"/>
      <c r="AS3557"/>
      <c r="AT3557"/>
    </row>
    <row r="3558" spans="20:46" ht="16.8">
      <c r="T3558" s="112"/>
      <c r="U3558" s="113"/>
      <c r="AF3558" s="2"/>
      <c r="AG3558" s="2"/>
      <c r="AS3558"/>
      <c r="AT3558"/>
    </row>
    <row r="3559" spans="20:46" ht="16.8">
      <c r="T3559" s="112"/>
      <c r="U3559" s="113"/>
      <c r="AF3559" s="2"/>
      <c r="AG3559" s="2"/>
      <c r="AS3559"/>
      <c r="AT3559"/>
    </row>
    <row r="3560" spans="20:46" ht="16.8">
      <c r="T3560" s="112"/>
      <c r="U3560" s="113"/>
      <c r="AF3560" s="2"/>
      <c r="AG3560" s="2"/>
      <c r="AS3560"/>
      <c r="AT3560"/>
    </row>
    <row r="3561" spans="20:46" ht="16.8">
      <c r="T3561" s="112"/>
      <c r="U3561" s="113"/>
      <c r="AF3561" s="2"/>
      <c r="AG3561" s="2"/>
      <c r="AS3561"/>
      <c r="AT3561"/>
    </row>
    <row r="3562" spans="20:46" ht="16.8">
      <c r="T3562" s="112"/>
      <c r="U3562" s="113"/>
      <c r="AF3562" s="2"/>
      <c r="AG3562" s="2"/>
      <c r="AS3562"/>
      <c r="AT3562"/>
    </row>
    <row r="3563" spans="20:46" ht="16.8">
      <c r="T3563" s="112"/>
      <c r="U3563" s="113"/>
      <c r="AF3563" s="2"/>
      <c r="AG3563" s="2"/>
      <c r="AS3563"/>
      <c r="AT3563"/>
    </row>
    <row r="3564" spans="20:46" ht="16.8">
      <c r="T3564" s="112"/>
      <c r="U3564" s="113"/>
      <c r="AF3564" s="2"/>
      <c r="AG3564" s="2"/>
      <c r="AS3564"/>
      <c r="AT3564"/>
    </row>
    <row r="3565" spans="20:46" ht="16.8">
      <c r="T3565" s="112"/>
      <c r="U3565" s="113"/>
      <c r="AF3565" s="2"/>
      <c r="AG3565" s="2"/>
      <c r="AS3565"/>
      <c r="AT3565"/>
    </row>
    <row r="3566" spans="20:46" ht="16.8">
      <c r="T3566" s="112"/>
      <c r="U3566" s="113"/>
      <c r="AF3566" s="2"/>
      <c r="AG3566" s="2"/>
      <c r="AS3566"/>
      <c r="AT3566"/>
    </row>
    <row r="3567" spans="20:46" ht="16.8">
      <c r="T3567" s="112"/>
      <c r="U3567" s="113"/>
      <c r="AF3567" s="2"/>
      <c r="AG3567" s="2"/>
      <c r="AS3567"/>
      <c r="AT3567"/>
    </row>
    <row r="3568" spans="20:46" ht="16.8">
      <c r="T3568" s="112"/>
      <c r="U3568" s="113"/>
      <c r="AF3568" s="2"/>
      <c r="AG3568" s="2"/>
      <c r="AS3568"/>
      <c r="AT3568"/>
    </row>
    <row r="3569" spans="20:46" ht="16.8">
      <c r="T3569" s="112"/>
      <c r="U3569" s="113"/>
      <c r="AF3569" s="2"/>
      <c r="AG3569" s="2"/>
      <c r="AS3569"/>
      <c r="AT3569"/>
    </row>
    <row r="3570" spans="20:46" ht="16.8">
      <c r="T3570" s="112"/>
      <c r="U3570" s="113"/>
      <c r="AF3570" s="2"/>
      <c r="AG3570" s="2"/>
      <c r="AS3570"/>
      <c r="AT3570"/>
    </row>
    <row r="3571" spans="20:46" ht="16.8">
      <c r="T3571" s="112"/>
      <c r="U3571" s="113"/>
      <c r="AF3571" s="2"/>
      <c r="AG3571" s="2"/>
      <c r="AS3571"/>
      <c r="AT3571"/>
    </row>
    <row r="3572" spans="20:46" ht="16.8">
      <c r="T3572" s="112"/>
      <c r="U3572" s="113"/>
      <c r="AF3572" s="2"/>
      <c r="AG3572" s="2"/>
      <c r="AS3572"/>
      <c r="AT3572"/>
    </row>
    <row r="3573" spans="20:46" ht="16.8">
      <c r="T3573" s="112"/>
      <c r="U3573" s="113"/>
      <c r="AF3573" s="2"/>
      <c r="AG3573" s="2"/>
      <c r="AS3573"/>
      <c r="AT3573"/>
    </row>
    <row r="3574" spans="20:46" ht="16.8">
      <c r="T3574" s="112"/>
      <c r="U3574" s="113"/>
      <c r="AF3574" s="2"/>
      <c r="AG3574" s="2"/>
      <c r="AS3574"/>
      <c r="AT3574"/>
    </row>
    <row r="3575" spans="20:46" ht="16.8">
      <c r="T3575" s="112"/>
      <c r="U3575" s="113"/>
      <c r="AF3575" s="2"/>
      <c r="AG3575" s="2"/>
      <c r="AS3575"/>
      <c r="AT3575"/>
    </row>
    <row r="3576" spans="20:46" ht="16.8">
      <c r="T3576" s="112"/>
      <c r="U3576" s="113"/>
      <c r="AF3576" s="2"/>
      <c r="AG3576" s="2"/>
      <c r="AS3576"/>
      <c r="AT3576"/>
    </row>
    <row r="3577" spans="20:46" ht="16.8">
      <c r="T3577" s="112"/>
      <c r="U3577" s="113"/>
      <c r="AF3577" s="2"/>
      <c r="AG3577" s="2"/>
      <c r="AS3577"/>
      <c r="AT3577"/>
    </row>
    <row r="3578" spans="20:46" ht="16.8">
      <c r="T3578" s="112"/>
      <c r="U3578" s="113"/>
      <c r="AF3578" s="2"/>
      <c r="AG3578" s="2"/>
      <c r="AS3578"/>
      <c r="AT3578"/>
    </row>
    <row r="3579" spans="20:46" ht="16.8">
      <c r="T3579" s="112"/>
      <c r="U3579" s="113"/>
      <c r="AF3579" s="2"/>
      <c r="AG3579" s="2"/>
      <c r="AS3579"/>
      <c r="AT3579"/>
    </row>
    <row r="3580" spans="20:46" ht="16.8">
      <c r="T3580" s="112"/>
      <c r="U3580" s="113"/>
      <c r="AF3580" s="2"/>
      <c r="AG3580" s="2"/>
      <c r="AS3580"/>
      <c r="AT3580"/>
    </row>
    <row r="3581" spans="20:46" ht="16.8">
      <c r="T3581" s="112"/>
      <c r="U3581" s="113"/>
      <c r="AF3581" s="2"/>
      <c r="AG3581" s="2"/>
      <c r="AS3581"/>
      <c r="AT3581"/>
    </row>
    <row r="3582" spans="20:46" ht="16.8">
      <c r="T3582" s="112"/>
      <c r="U3582" s="113"/>
      <c r="AF3582" s="2"/>
      <c r="AG3582" s="2"/>
      <c r="AS3582"/>
      <c r="AT3582"/>
    </row>
    <row r="3583" spans="20:46" ht="16.8">
      <c r="T3583" s="112"/>
      <c r="U3583" s="113"/>
      <c r="AF3583" s="2"/>
      <c r="AG3583" s="2"/>
      <c r="AS3583"/>
      <c r="AT3583"/>
    </row>
    <row r="3584" spans="20:46" ht="16.8">
      <c r="T3584" s="112"/>
      <c r="U3584" s="113"/>
      <c r="AF3584" s="2"/>
      <c r="AG3584" s="2"/>
      <c r="AS3584"/>
      <c r="AT3584"/>
    </row>
    <row r="3585" spans="20:46" ht="16.8">
      <c r="T3585" s="112"/>
      <c r="U3585" s="113"/>
      <c r="AF3585" s="2"/>
      <c r="AG3585" s="2"/>
      <c r="AS3585"/>
      <c r="AT3585"/>
    </row>
    <row r="3586" spans="20:46" ht="16.8">
      <c r="T3586" s="112"/>
      <c r="U3586" s="113"/>
      <c r="AF3586" s="2"/>
      <c r="AG3586" s="2"/>
      <c r="AS3586"/>
      <c r="AT3586"/>
    </row>
    <row r="3587" spans="20:46" ht="16.8">
      <c r="T3587" s="112"/>
      <c r="U3587" s="113"/>
      <c r="AF3587" s="2"/>
      <c r="AG3587" s="2"/>
      <c r="AS3587"/>
      <c r="AT3587"/>
    </row>
    <row r="3588" spans="20:46" ht="16.8">
      <c r="T3588" s="112"/>
      <c r="U3588" s="113"/>
      <c r="AF3588" s="2"/>
      <c r="AG3588" s="2"/>
      <c r="AS3588"/>
      <c r="AT3588"/>
    </row>
    <row r="3589" spans="20:46" ht="16.8">
      <c r="T3589" s="112"/>
      <c r="U3589" s="113"/>
      <c r="AF3589" s="2"/>
      <c r="AG3589" s="2"/>
      <c r="AS3589"/>
      <c r="AT3589"/>
    </row>
    <row r="3590" spans="20:46" ht="16.8">
      <c r="T3590" s="112"/>
      <c r="U3590" s="113"/>
      <c r="AF3590" s="2"/>
      <c r="AG3590" s="2"/>
      <c r="AS3590"/>
      <c r="AT3590"/>
    </row>
    <row r="3591" spans="20:46" ht="16.8">
      <c r="T3591" s="112"/>
      <c r="U3591" s="113"/>
      <c r="AF3591" s="2"/>
      <c r="AG3591" s="2"/>
      <c r="AS3591"/>
      <c r="AT3591"/>
    </row>
    <row r="3592" spans="20:46" ht="16.8">
      <c r="T3592" s="112"/>
      <c r="U3592" s="113"/>
      <c r="AF3592" s="2"/>
      <c r="AG3592" s="2"/>
      <c r="AS3592"/>
      <c r="AT3592"/>
    </row>
    <row r="3593" spans="20:46" ht="16.8">
      <c r="T3593" s="112"/>
      <c r="U3593" s="113"/>
      <c r="AF3593" s="2"/>
      <c r="AG3593" s="2"/>
      <c r="AS3593"/>
      <c r="AT3593"/>
    </row>
    <row r="3594" spans="20:46" ht="16.8">
      <c r="T3594" s="112"/>
      <c r="U3594" s="113"/>
      <c r="AF3594" s="2"/>
      <c r="AG3594" s="2"/>
      <c r="AS3594"/>
      <c r="AT3594"/>
    </row>
    <row r="3595" spans="20:46" ht="16.8">
      <c r="T3595" s="112"/>
      <c r="U3595" s="113"/>
      <c r="AF3595" s="2"/>
      <c r="AG3595" s="2"/>
      <c r="AS3595"/>
      <c r="AT3595"/>
    </row>
    <row r="3596" spans="20:46" ht="16.8">
      <c r="T3596" s="112"/>
      <c r="U3596" s="113"/>
      <c r="AF3596" s="2"/>
      <c r="AG3596" s="2"/>
      <c r="AS3596"/>
      <c r="AT3596"/>
    </row>
    <row r="3597" spans="20:46" ht="16.8">
      <c r="T3597" s="112"/>
      <c r="U3597" s="113"/>
      <c r="AF3597" s="2"/>
      <c r="AG3597" s="2"/>
      <c r="AS3597"/>
      <c r="AT3597"/>
    </row>
    <row r="3598" spans="20:46" ht="16.8">
      <c r="T3598" s="112"/>
      <c r="U3598" s="113"/>
      <c r="AF3598" s="2"/>
      <c r="AG3598" s="2"/>
      <c r="AS3598"/>
      <c r="AT3598"/>
    </row>
    <row r="3599" spans="20:46" ht="16.8">
      <c r="T3599" s="112"/>
      <c r="U3599" s="113"/>
      <c r="AF3599" s="2"/>
      <c r="AG3599" s="2"/>
      <c r="AS3599"/>
      <c r="AT3599"/>
    </row>
    <row r="3600" spans="20:46" ht="16.8">
      <c r="T3600" s="112"/>
      <c r="U3600" s="113"/>
      <c r="AF3600" s="2"/>
      <c r="AG3600" s="2"/>
      <c r="AS3600"/>
      <c r="AT3600"/>
    </row>
    <row r="3601" spans="20:46" ht="16.8">
      <c r="T3601" s="112"/>
      <c r="U3601" s="113"/>
      <c r="AF3601" s="2"/>
      <c r="AG3601" s="2"/>
      <c r="AS3601"/>
      <c r="AT3601"/>
    </row>
    <row r="3602" spans="20:46" ht="16.8">
      <c r="T3602" s="112"/>
      <c r="U3602" s="113"/>
      <c r="AF3602" s="2"/>
      <c r="AG3602" s="2"/>
      <c r="AS3602"/>
      <c r="AT3602"/>
    </row>
    <row r="3603" spans="20:46" ht="16.8">
      <c r="T3603" s="112"/>
      <c r="U3603" s="113"/>
      <c r="AF3603" s="2"/>
      <c r="AG3603" s="2"/>
      <c r="AS3603"/>
      <c r="AT3603"/>
    </row>
    <row r="3604" spans="20:46" ht="16.8">
      <c r="T3604" s="112"/>
      <c r="U3604" s="113"/>
      <c r="AF3604" s="2"/>
      <c r="AG3604" s="2"/>
      <c r="AS3604"/>
      <c r="AT3604"/>
    </row>
    <row r="3605" spans="20:46" ht="16.8">
      <c r="T3605" s="112"/>
      <c r="U3605" s="113"/>
      <c r="AF3605" s="2"/>
      <c r="AG3605" s="2"/>
      <c r="AS3605"/>
      <c r="AT3605"/>
    </row>
    <row r="3606" spans="20:46" ht="16.8">
      <c r="T3606" s="112"/>
      <c r="U3606" s="113"/>
      <c r="AF3606" s="2"/>
      <c r="AG3606" s="2"/>
      <c r="AS3606"/>
      <c r="AT3606"/>
    </row>
    <row r="3607" spans="20:46" ht="16.8">
      <c r="T3607" s="112"/>
      <c r="U3607" s="113"/>
      <c r="AF3607" s="2"/>
      <c r="AG3607" s="2"/>
      <c r="AS3607"/>
      <c r="AT3607"/>
    </row>
    <row r="3608" spans="20:46" ht="16.8">
      <c r="T3608" s="112"/>
      <c r="U3608" s="113"/>
      <c r="AF3608" s="2"/>
      <c r="AG3608" s="2"/>
      <c r="AS3608"/>
      <c r="AT3608"/>
    </row>
    <row r="3609" spans="20:46" ht="16.8">
      <c r="T3609" s="112"/>
      <c r="U3609" s="113"/>
      <c r="AF3609" s="2"/>
      <c r="AG3609" s="2"/>
      <c r="AS3609"/>
      <c r="AT3609"/>
    </row>
    <row r="3610" spans="20:46" ht="16.8">
      <c r="T3610" s="112"/>
      <c r="U3610" s="113"/>
      <c r="AF3610" s="2"/>
      <c r="AG3610" s="2"/>
      <c r="AS3610"/>
      <c r="AT3610"/>
    </row>
    <row r="3611" spans="20:46" ht="16.8">
      <c r="T3611" s="112"/>
      <c r="U3611" s="113"/>
      <c r="AF3611" s="2"/>
      <c r="AG3611" s="2"/>
      <c r="AS3611"/>
      <c r="AT3611"/>
    </row>
    <row r="3612" spans="20:46" ht="16.8">
      <c r="T3612" s="112"/>
      <c r="U3612" s="113"/>
      <c r="AF3612" s="2"/>
      <c r="AG3612" s="2"/>
      <c r="AS3612"/>
      <c r="AT3612"/>
    </row>
    <row r="3613" spans="20:46" ht="16.8">
      <c r="T3613" s="112"/>
      <c r="U3613" s="113"/>
      <c r="AF3613" s="2"/>
      <c r="AG3613" s="2"/>
      <c r="AS3613"/>
      <c r="AT3613"/>
    </row>
    <row r="3614" spans="20:46" ht="16.8">
      <c r="T3614" s="112"/>
      <c r="U3614" s="113"/>
      <c r="AF3614" s="2"/>
      <c r="AG3614" s="2"/>
      <c r="AS3614"/>
      <c r="AT3614"/>
    </row>
    <row r="3615" spans="20:46" ht="16.8">
      <c r="T3615" s="112"/>
      <c r="U3615" s="113"/>
      <c r="AF3615" s="2"/>
      <c r="AG3615" s="2"/>
      <c r="AS3615"/>
      <c r="AT3615"/>
    </row>
    <row r="3616" spans="20:46" ht="16.8">
      <c r="T3616" s="112"/>
      <c r="U3616" s="113"/>
      <c r="AF3616" s="2"/>
      <c r="AG3616" s="2"/>
      <c r="AS3616"/>
      <c r="AT3616"/>
    </row>
    <row r="3617" spans="20:46" ht="16.8">
      <c r="T3617" s="112"/>
      <c r="U3617" s="113"/>
      <c r="AF3617" s="2"/>
      <c r="AG3617" s="2"/>
      <c r="AS3617"/>
      <c r="AT3617"/>
    </row>
    <row r="3618" spans="20:46" ht="16.8">
      <c r="T3618" s="112"/>
      <c r="U3618" s="113"/>
      <c r="AF3618" s="2"/>
      <c r="AG3618" s="2"/>
      <c r="AS3618"/>
      <c r="AT3618"/>
    </row>
    <row r="3619" spans="20:46" ht="16.8">
      <c r="T3619" s="112"/>
      <c r="U3619" s="113"/>
      <c r="AF3619" s="2"/>
      <c r="AG3619" s="2"/>
      <c r="AS3619"/>
      <c r="AT3619"/>
    </row>
    <row r="3620" spans="20:46" ht="16.8">
      <c r="T3620" s="112"/>
      <c r="U3620" s="113"/>
      <c r="AF3620" s="2"/>
      <c r="AG3620" s="2"/>
      <c r="AS3620"/>
      <c r="AT3620"/>
    </row>
    <row r="3621" spans="20:46" ht="16.8">
      <c r="T3621" s="112"/>
      <c r="U3621" s="113"/>
      <c r="AF3621" s="2"/>
      <c r="AG3621" s="2"/>
      <c r="AS3621"/>
      <c r="AT3621"/>
    </row>
    <row r="3622" spans="20:46" ht="16.8">
      <c r="T3622" s="112"/>
      <c r="U3622" s="113"/>
      <c r="AF3622" s="2"/>
      <c r="AG3622" s="2"/>
      <c r="AS3622"/>
      <c r="AT3622"/>
    </row>
    <row r="3623" spans="20:46" ht="16.8">
      <c r="T3623" s="112"/>
      <c r="U3623" s="113"/>
      <c r="AF3623" s="2"/>
      <c r="AG3623" s="2"/>
      <c r="AS3623"/>
      <c r="AT3623"/>
    </row>
    <row r="3624" spans="20:46" ht="16.8">
      <c r="T3624" s="112"/>
      <c r="U3624" s="113"/>
      <c r="AF3624" s="2"/>
      <c r="AG3624" s="2"/>
      <c r="AS3624"/>
      <c r="AT3624"/>
    </row>
    <row r="3625" spans="20:46" ht="16.8">
      <c r="T3625" s="112"/>
      <c r="U3625" s="113"/>
      <c r="AF3625" s="2"/>
      <c r="AG3625" s="2"/>
      <c r="AS3625"/>
      <c r="AT3625"/>
    </row>
    <row r="3626" spans="20:46" ht="16.8">
      <c r="T3626" s="112"/>
      <c r="U3626" s="113"/>
      <c r="AF3626" s="2"/>
      <c r="AG3626" s="2"/>
      <c r="AS3626"/>
      <c r="AT3626"/>
    </row>
    <row r="3627" spans="20:46" ht="16.8">
      <c r="T3627" s="112"/>
      <c r="U3627" s="113"/>
      <c r="AF3627" s="2"/>
      <c r="AG3627" s="2"/>
      <c r="AS3627"/>
      <c r="AT3627"/>
    </row>
    <row r="3628" spans="20:46" ht="16.8">
      <c r="T3628" s="112"/>
      <c r="U3628" s="113"/>
      <c r="AF3628" s="2"/>
      <c r="AG3628" s="2"/>
      <c r="AS3628"/>
      <c r="AT3628"/>
    </row>
    <row r="3629" spans="20:46" ht="16.8">
      <c r="T3629" s="112"/>
      <c r="U3629" s="113"/>
      <c r="AF3629" s="2"/>
      <c r="AG3629" s="2"/>
      <c r="AS3629"/>
      <c r="AT3629"/>
    </row>
    <row r="3630" spans="20:46" ht="16.8">
      <c r="T3630" s="112"/>
      <c r="U3630" s="113"/>
      <c r="AF3630" s="2"/>
      <c r="AG3630" s="2"/>
      <c r="AS3630"/>
      <c r="AT3630"/>
    </row>
    <row r="3631" spans="20:46" ht="16.8">
      <c r="T3631" s="112"/>
      <c r="U3631" s="113"/>
      <c r="AF3631" s="2"/>
      <c r="AG3631" s="2"/>
      <c r="AS3631"/>
      <c r="AT3631"/>
    </row>
    <row r="3632" spans="20:46" ht="16.8">
      <c r="T3632" s="112"/>
      <c r="U3632" s="113"/>
      <c r="AF3632" s="2"/>
      <c r="AG3632" s="2"/>
      <c r="AS3632"/>
      <c r="AT3632"/>
    </row>
    <row r="3633" spans="20:46" ht="16.8">
      <c r="T3633" s="112"/>
      <c r="U3633" s="113"/>
      <c r="AF3633" s="2"/>
      <c r="AG3633" s="2"/>
      <c r="AS3633"/>
      <c r="AT3633"/>
    </row>
    <row r="3634" spans="20:46" ht="16.8">
      <c r="T3634" s="112"/>
      <c r="U3634" s="113"/>
      <c r="AF3634" s="2"/>
      <c r="AG3634" s="2"/>
      <c r="AS3634"/>
      <c r="AT3634"/>
    </row>
    <row r="3635" spans="20:46" ht="16.8">
      <c r="T3635" s="112"/>
      <c r="U3635" s="113"/>
      <c r="AF3635" s="2"/>
      <c r="AG3635" s="2"/>
      <c r="AS3635"/>
      <c r="AT3635"/>
    </row>
    <row r="3636" spans="20:46" ht="16.8">
      <c r="T3636" s="112"/>
      <c r="U3636" s="113"/>
      <c r="AF3636" s="2"/>
      <c r="AG3636" s="2"/>
      <c r="AS3636"/>
      <c r="AT3636"/>
    </row>
    <row r="3637" spans="20:46" ht="16.8">
      <c r="T3637" s="112"/>
      <c r="U3637" s="113"/>
      <c r="AF3637" s="2"/>
      <c r="AG3637" s="2"/>
      <c r="AS3637"/>
      <c r="AT3637"/>
    </row>
    <row r="3638" spans="20:46" ht="16.8">
      <c r="T3638" s="112"/>
      <c r="U3638" s="113"/>
      <c r="AF3638" s="2"/>
      <c r="AG3638" s="2"/>
      <c r="AS3638"/>
      <c r="AT3638"/>
    </row>
    <row r="3639" spans="20:46" ht="16.8">
      <c r="T3639" s="112"/>
      <c r="U3639" s="113"/>
      <c r="AF3639" s="2"/>
      <c r="AG3639" s="2"/>
      <c r="AS3639"/>
      <c r="AT3639"/>
    </row>
    <row r="3640" spans="20:46" ht="16.8">
      <c r="T3640" s="112"/>
      <c r="U3640" s="113"/>
      <c r="AF3640" s="2"/>
      <c r="AG3640" s="2"/>
      <c r="AS3640"/>
      <c r="AT3640"/>
    </row>
    <row r="3641" spans="20:46" ht="16.8">
      <c r="T3641" s="112"/>
      <c r="U3641" s="113"/>
      <c r="AF3641" s="2"/>
      <c r="AG3641" s="2"/>
      <c r="AS3641"/>
      <c r="AT3641"/>
    </row>
    <row r="3642" spans="20:46" ht="16.8">
      <c r="T3642" s="112"/>
      <c r="U3642" s="113"/>
      <c r="AF3642" s="2"/>
      <c r="AG3642" s="2"/>
      <c r="AS3642"/>
      <c r="AT3642"/>
    </row>
    <row r="3643" spans="20:46" ht="16.8">
      <c r="T3643" s="112"/>
      <c r="U3643" s="113"/>
      <c r="AF3643" s="2"/>
      <c r="AG3643" s="2"/>
      <c r="AS3643"/>
      <c r="AT3643"/>
    </row>
    <row r="3644" spans="20:46" ht="16.8">
      <c r="T3644" s="112"/>
      <c r="U3644" s="113"/>
      <c r="AF3644" s="2"/>
      <c r="AG3644" s="2"/>
      <c r="AS3644"/>
      <c r="AT3644"/>
    </row>
    <row r="3645" spans="20:46" ht="16.8">
      <c r="T3645" s="112"/>
      <c r="U3645" s="113"/>
      <c r="AF3645" s="2"/>
      <c r="AG3645" s="2"/>
      <c r="AS3645"/>
      <c r="AT3645"/>
    </row>
    <row r="3646" spans="20:46" ht="16.8">
      <c r="T3646" s="112"/>
      <c r="U3646" s="113"/>
      <c r="AF3646" s="2"/>
      <c r="AG3646" s="2"/>
      <c r="AS3646"/>
      <c r="AT3646"/>
    </row>
    <row r="3647" spans="20:46" ht="16.8">
      <c r="T3647" s="112"/>
      <c r="U3647" s="113"/>
      <c r="AF3647" s="2"/>
      <c r="AG3647" s="2"/>
      <c r="AS3647"/>
      <c r="AT3647"/>
    </row>
    <row r="3648" spans="20:46" ht="16.8">
      <c r="T3648" s="112"/>
      <c r="U3648" s="113"/>
      <c r="AF3648" s="2"/>
      <c r="AG3648" s="2"/>
      <c r="AS3648"/>
      <c r="AT3648"/>
    </row>
    <row r="3649" spans="20:46" ht="16.8">
      <c r="T3649" s="112"/>
      <c r="U3649" s="113"/>
      <c r="AF3649" s="2"/>
      <c r="AG3649" s="2"/>
      <c r="AS3649"/>
      <c r="AT3649"/>
    </row>
    <row r="3650" spans="20:46" ht="16.8">
      <c r="T3650" s="112"/>
      <c r="U3650" s="113"/>
      <c r="AF3650" s="2"/>
      <c r="AG3650" s="2"/>
      <c r="AS3650"/>
      <c r="AT3650"/>
    </row>
    <row r="3651" spans="20:46" ht="16.8">
      <c r="T3651" s="112"/>
      <c r="U3651" s="113"/>
      <c r="AF3651" s="2"/>
      <c r="AG3651" s="2"/>
      <c r="AS3651"/>
      <c r="AT3651"/>
    </row>
    <row r="3652" spans="20:46" ht="16.8">
      <c r="T3652" s="112"/>
      <c r="U3652" s="113"/>
      <c r="AF3652" s="2"/>
      <c r="AG3652" s="2"/>
      <c r="AS3652"/>
      <c r="AT3652"/>
    </row>
    <row r="3653" spans="20:46" ht="16.8">
      <c r="T3653" s="112"/>
      <c r="U3653" s="113"/>
      <c r="AF3653" s="2"/>
      <c r="AG3653" s="2"/>
      <c r="AS3653"/>
      <c r="AT3653"/>
    </row>
    <row r="3654" spans="20:46" ht="16.8">
      <c r="T3654" s="112"/>
      <c r="U3654" s="113"/>
      <c r="AF3654" s="2"/>
      <c r="AG3654" s="2"/>
      <c r="AS3654"/>
      <c r="AT3654"/>
    </row>
    <row r="3655" spans="20:46" ht="16.8">
      <c r="T3655" s="112"/>
      <c r="U3655" s="113"/>
      <c r="AF3655" s="2"/>
      <c r="AG3655" s="2"/>
      <c r="AS3655"/>
      <c r="AT3655"/>
    </row>
    <row r="3656" spans="20:46" ht="16.8">
      <c r="T3656" s="112"/>
      <c r="U3656" s="113"/>
      <c r="AF3656" s="2"/>
      <c r="AG3656" s="2"/>
      <c r="AS3656"/>
      <c r="AT3656"/>
    </row>
    <row r="3657" spans="20:46" ht="16.8">
      <c r="T3657" s="112"/>
      <c r="U3657" s="113"/>
      <c r="AF3657" s="2"/>
      <c r="AG3657" s="2"/>
      <c r="AS3657"/>
      <c r="AT3657"/>
    </row>
    <row r="3658" spans="20:46" ht="16.8">
      <c r="T3658" s="112"/>
      <c r="U3658" s="113"/>
      <c r="AF3658" s="2"/>
      <c r="AG3658" s="2"/>
      <c r="AS3658"/>
      <c r="AT3658"/>
    </row>
    <row r="3659" spans="20:46" ht="16.8">
      <c r="T3659" s="112"/>
      <c r="U3659" s="113"/>
      <c r="AF3659" s="2"/>
      <c r="AG3659" s="2"/>
      <c r="AS3659"/>
      <c r="AT3659"/>
    </row>
    <row r="3660" spans="20:46" ht="16.8">
      <c r="T3660" s="112"/>
      <c r="U3660" s="113"/>
      <c r="AF3660" s="2"/>
      <c r="AG3660" s="2"/>
      <c r="AS3660"/>
      <c r="AT3660"/>
    </row>
    <row r="3661" spans="20:46" ht="16.8">
      <c r="T3661" s="112"/>
      <c r="U3661" s="113"/>
      <c r="AF3661" s="2"/>
      <c r="AG3661" s="2"/>
      <c r="AS3661"/>
      <c r="AT3661"/>
    </row>
    <row r="3662" spans="20:46" ht="16.8">
      <c r="T3662" s="112"/>
      <c r="U3662" s="113"/>
      <c r="AF3662" s="2"/>
      <c r="AG3662" s="2"/>
      <c r="AS3662"/>
      <c r="AT3662"/>
    </row>
    <row r="3663" spans="20:46" ht="16.8">
      <c r="T3663" s="112"/>
      <c r="U3663" s="113"/>
      <c r="AF3663" s="2"/>
      <c r="AG3663" s="2"/>
      <c r="AS3663"/>
      <c r="AT3663"/>
    </row>
    <row r="3664" spans="20:46" ht="16.8">
      <c r="T3664" s="112"/>
      <c r="U3664" s="113"/>
      <c r="AF3664" s="2"/>
      <c r="AG3664" s="2"/>
      <c r="AS3664"/>
      <c r="AT3664"/>
    </row>
    <row r="3665" spans="20:46" ht="16.8">
      <c r="T3665" s="112"/>
      <c r="U3665" s="113"/>
      <c r="AF3665" s="2"/>
      <c r="AG3665" s="2"/>
      <c r="AS3665"/>
      <c r="AT3665"/>
    </row>
    <row r="3666" spans="20:46" ht="16.8">
      <c r="T3666" s="112"/>
      <c r="U3666" s="113"/>
      <c r="AF3666" s="2"/>
      <c r="AG3666" s="2"/>
      <c r="AS3666"/>
      <c r="AT3666"/>
    </row>
    <row r="3667" spans="20:46" ht="16.8">
      <c r="T3667" s="112"/>
      <c r="U3667" s="113"/>
      <c r="AF3667" s="2"/>
      <c r="AG3667" s="2"/>
      <c r="AS3667"/>
      <c r="AT3667"/>
    </row>
    <row r="3668" spans="20:46" ht="16.8">
      <c r="T3668" s="112"/>
      <c r="U3668" s="113"/>
      <c r="AF3668" s="2"/>
      <c r="AG3668" s="2"/>
      <c r="AS3668"/>
      <c r="AT3668"/>
    </row>
    <row r="3669" spans="20:46" ht="16.8">
      <c r="T3669" s="112"/>
      <c r="U3669" s="113"/>
      <c r="AF3669" s="2"/>
      <c r="AG3669" s="2"/>
      <c r="AS3669"/>
      <c r="AT3669"/>
    </row>
    <row r="3670" spans="20:46" ht="16.8">
      <c r="T3670" s="112"/>
      <c r="U3670" s="113"/>
      <c r="AF3670" s="2"/>
      <c r="AG3670" s="2"/>
      <c r="AS3670"/>
      <c r="AT3670"/>
    </row>
    <row r="3671" spans="20:46" ht="16.8">
      <c r="T3671" s="112"/>
      <c r="U3671" s="113"/>
      <c r="AF3671" s="2"/>
      <c r="AG3671" s="2"/>
      <c r="AS3671"/>
      <c r="AT3671"/>
    </row>
    <row r="3672" spans="20:46" ht="16.8">
      <c r="T3672" s="112"/>
      <c r="U3672" s="113"/>
      <c r="AF3672" s="2"/>
      <c r="AG3672" s="2"/>
      <c r="AS3672"/>
      <c r="AT3672"/>
    </row>
    <row r="3673" spans="20:46" ht="16.8">
      <c r="T3673" s="112"/>
      <c r="U3673" s="113"/>
      <c r="AF3673" s="2"/>
      <c r="AG3673" s="2"/>
      <c r="AS3673"/>
      <c r="AT3673"/>
    </row>
    <row r="3674" spans="20:46" ht="16.8">
      <c r="T3674" s="112"/>
      <c r="U3674" s="113"/>
      <c r="AF3674" s="2"/>
      <c r="AG3674" s="2"/>
      <c r="AS3674"/>
      <c r="AT3674"/>
    </row>
    <row r="3675" spans="20:46" ht="16.8">
      <c r="T3675" s="112"/>
      <c r="U3675" s="113"/>
      <c r="AF3675" s="2"/>
      <c r="AG3675" s="2"/>
      <c r="AS3675"/>
      <c r="AT3675"/>
    </row>
    <row r="3676" spans="20:46" ht="16.8">
      <c r="T3676" s="112"/>
      <c r="U3676" s="113"/>
      <c r="AF3676" s="2"/>
      <c r="AG3676" s="2"/>
      <c r="AS3676"/>
      <c r="AT3676"/>
    </row>
    <row r="3677" spans="20:46" ht="16.8">
      <c r="T3677" s="112"/>
      <c r="U3677" s="113"/>
      <c r="AF3677" s="2"/>
      <c r="AG3677" s="2"/>
      <c r="AS3677"/>
      <c r="AT3677"/>
    </row>
    <row r="3678" spans="20:46" ht="16.8">
      <c r="T3678" s="112"/>
      <c r="U3678" s="113"/>
      <c r="AF3678" s="2"/>
      <c r="AG3678" s="2"/>
      <c r="AS3678"/>
      <c r="AT3678"/>
    </row>
    <row r="3679" spans="20:46" ht="16.8">
      <c r="T3679" s="112"/>
      <c r="U3679" s="113"/>
      <c r="AF3679" s="2"/>
      <c r="AG3679" s="2"/>
      <c r="AS3679"/>
      <c r="AT3679"/>
    </row>
    <row r="3680" spans="20:46" ht="16.8">
      <c r="T3680" s="112"/>
      <c r="U3680" s="113"/>
      <c r="AF3680" s="2"/>
      <c r="AG3680" s="2"/>
      <c r="AS3680"/>
      <c r="AT3680"/>
    </row>
    <row r="3681" spans="20:46" ht="16.8">
      <c r="T3681" s="112"/>
      <c r="U3681" s="113"/>
      <c r="AF3681" s="2"/>
      <c r="AG3681" s="2"/>
      <c r="AS3681"/>
      <c r="AT3681"/>
    </row>
    <row r="3682" spans="20:46" ht="16.8">
      <c r="T3682" s="112"/>
      <c r="U3682" s="113"/>
      <c r="AF3682" s="2"/>
      <c r="AG3682" s="2"/>
      <c r="AS3682"/>
      <c r="AT3682"/>
    </row>
    <row r="3683" spans="20:46" ht="16.8">
      <c r="T3683" s="112"/>
      <c r="U3683" s="113"/>
      <c r="AF3683" s="2"/>
      <c r="AG3683" s="2"/>
      <c r="AS3683"/>
      <c r="AT3683"/>
    </row>
    <row r="3684" spans="20:46" ht="16.8">
      <c r="T3684" s="112"/>
      <c r="U3684" s="113"/>
      <c r="AF3684" s="2"/>
      <c r="AG3684" s="2"/>
      <c r="AS3684"/>
      <c r="AT3684"/>
    </row>
    <row r="3685" spans="20:46" ht="16.8">
      <c r="T3685" s="112"/>
      <c r="U3685" s="113"/>
      <c r="AF3685" s="2"/>
      <c r="AG3685" s="2"/>
      <c r="AS3685"/>
      <c r="AT3685"/>
    </row>
    <row r="3686" spans="20:46" ht="16.8">
      <c r="T3686" s="112"/>
      <c r="U3686" s="113"/>
      <c r="AF3686" s="2"/>
      <c r="AG3686" s="2"/>
      <c r="AS3686"/>
      <c r="AT3686"/>
    </row>
    <row r="3687" spans="20:46" ht="16.8">
      <c r="T3687" s="112"/>
      <c r="U3687" s="113"/>
      <c r="AF3687" s="2"/>
      <c r="AG3687" s="2"/>
      <c r="AS3687"/>
      <c r="AT3687"/>
    </row>
    <row r="3688" spans="20:46" ht="16.8">
      <c r="T3688" s="112"/>
      <c r="U3688" s="113"/>
      <c r="AF3688" s="2"/>
      <c r="AG3688" s="2"/>
      <c r="AS3688"/>
      <c r="AT3688"/>
    </row>
    <row r="3689" spans="20:46" ht="16.8">
      <c r="T3689" s="112"/>
      <c r="U3689" s="113"/>
      <c r="AF3689" s="2"/>
      <c r="AG3689" s="2"/>
      <c r="AS3689"/>
      <c r="AT3689"/>
    </row>
    <row r="3690" spans="20:46" ht="16.8">
      <c r="T3690" s="112"/>
      <c r="U3690" s="113"/>
      <c r="AF3690" s="2"/>
      <c r="AG3690" s="2"/>
      <c r="AS3690"/>
      <c r="AT3690"/>
    </row>
    <row r="3691" spans="20:46" ht="16.8">
      <c r="T3691" s="112"/>
      <c r="U3691" s="113"/>
      <c r="AF3691" s="2"/>
      <c r="AG3691" s="2"/>
      <c r="AS3691"/>
      <c r="AT3691"/>
    </row>
    <row r="3692" spans="20:46" ht="16.8">
      <c r="T3692" s="112"/>
      <c r="U3692" s="113"/>
      <c r="AF3692" s="2"/>
      <c r="AG3692" s="2"/>
      <c r="AS3692"/>
      <c r="AT3692"/>
    </row>
    <row r="3693" spans="20:46" ht="16.8">
      <c r="T3693" s="112"/>
      <c r="U3693" s="113"/>
      <c r="AF3693" s="2"/>
      <c r="AG3693" s="2"/>
      <c r="AS3693"/>
      <c r="AT3693"/>
    </row>
    <row r="3694" spans="20:46" ht="16.8">
      <c r="T3694" s="112"/>
      <c r="U3694" s="113"/>
      <c r="AF3694" s="2"/>
      <c r="AG3694" s="2"/>
      <c r="AS3694"/>
      <c r="AT3694"/>
    </row>
    <row r="3695" spans="20:46" ht="16.8">
      <c r="T3695" s="112"/>
      <c r="U3695" s="113"/>
      <c r="AF3695" s="2"/>
      <c r="AG3695" s="2"/>
      <c r="AS3695"/>
      <c r="AT3695"/>
    </row>
    <row r="3696" spans="20:46" ht="16.8">
      <c r="T3696" s="112"/>
      <c r="U3696" s="113"/>
      <c r="AF3696" s="2"/>
      <c r="AG3696" s="2"/>
      <c r="AS3696"/>
      <c r="AT3696"/>
    </row>
    <row r="3697" spans="20:46" ht="16.8">
      <c r="T3697" s="112"/>
      <c r="U3697" s="113"/>
      <c r="AF3697" s="2"/>
      <c r="AG3697" s="2"/>
      <c r="AS3697"/>
      <c r="AT3697"/>
    </row>
    <row r="3698" spans="20:46" ht="16.8">
      <c r="T3698" s="112"/>
      <c r="U3698" s="113"/>
      <c r="AF3698" s="2"/>
      <c r="AG3698" s="2"/>
      <c r="AS3698"/>
      <c r="AT3698"/>
    </row>
    <row r="3699" spans="20:46" ht="16.8">
      <c r="T3699" s="112"/>
      <c r="U3699" s="113"/>
      <c r="AF3699" s="2"/>
      <c r="AG3699" s="2"/>
      <c r="AS3699"/>
      <c r="AT3699"/>
    </row>
    <row r="3700" spans="20:46" ht="16.8">
      <c r="T3700" s="112"/>
      <c r="U3700" s="113"/>
      <c r="AF3700" s="2"/>
      <c r="AG3700" s="2"/>
      <c r="AS3700"/>
      <c r="AT3700"/>
    </row>
    <row r="3701" spans="20:46" ht="16.8">
      <c r="T3701" s="112"/>
      <c r="U3701" s="113"/>
      <c r="AF3701" s="2"/>
      <c r="AG3701" s="2"/>
      <c r="AS3701"/>
      <c r="AT3701"/>
    </row>
    <row r="3702" spans="20:46" ht="16.8">
      <c r="T3702" s="112"/>
      <c r="U3702" s="113"/>
      <c r="AF3702" s="2"/>
      <c r="AG3702" s="2"/>
      <c r="AS3702"/>
      <c r="AT3702"/>
    </row>
    <row r="3703" spans="20:46" ht="16.8">
      <c r="T3703" s="112"/>
      <c r="U3703" s="113"/>
      <c r="AF3703" s="2"/>
      <c r="AG3703" s="2"/>
      <c r="AS3703"/>
      <c r="AT3703"/>
    </row>
    <row r="3704" spans="20:46" ht="16.8">
      <c r="T3704" s="112"/>
      <c r="U3704" s="113"/>
      <c r="AF3704" s="2"/>
      <c r="AG3704" s="2"/>
      <c r="AS3704"/>
      <c r="AT3704"/>
    </row>
    <row r="3705" spans="20:46" ht="16.8">
      <c r="T3705" s="112"/>
      <c r="U3705" s="113"/>
      <c r="AF3705" s="2"/>
      <c r="AG3705" s="2"/>
      <c r="AS3705"/>
      <c r="AT3705"/>
    </row>
    <row r="3706" spans="20:46" ht="16.8">
      <c r="T3706" s="112"/>
      <c r="U3706" s="113"/>
      <c r="AF3706" s="2"/>
      <c r="AG3706" s="2"/>
      <c r="AS3706"/>
      <c r="AT3706"/>
    </row>
    <row r="3707" spans="20:46" ht="16.8">
      <c r="T3707" s="112"/>
      <c r="U3707" s="113"/>
      <c r="AF3707" s="2"/>
      <c r="AG3707" s="2"/>
      <c r="AS3707"/>
      <c r="AT3707"/>
    </row>
    <row r="3708" spans="20:46" ht="16.8">
      <c r="T3708" s="112"/>
      <c r="U3708" s="113"/>
      <c r="AF3708" s="2"/>
      <c r="AG3708" s="2"/>
      <c r="AS3708"/>
      <c r="AT3708"/>
    </row>
    <row r="3709" spans="20:46" ht="16.8">
      <c r="T3709" s="112"/>
      <c r="U3709" s="113"/>
      <c r="AF3709" s="2"/>
      <c r="AG3709" s="2"/>
      <c r="AS3709"/>
      <c r="AT3709"/>
    </row>
    <row r="3710" spans="20:46" ht="16.8">
      <c r="T3710" s="112"/>
      <c r="U3710" s="113"/>
      <c r="AF3710" s="2"/>
      <c r="AG3710" s="2"/>
      <c r="AS3710"/>
      <c r="AT3710"/>
    </row>
    <row r="3711" spans="20:46" ht="16.8">
      <c r="T3711" s="112"/>
      <c r="U3711" s="113"/>
      <c r="AF3711" s="2"/>
      <c r="AG3711" s="2"/>
      <c r="AS3711"/>
      <c r="AT3711"/>
    </row>
    <row r="3712" spans="20:46" ht="16.8">
      <c r="T3712" s="112"/>
      <c r="U3712" s="113"/>
      <c r="AF3712" s="2"/>
      <c r="AG3712" s="2"/>
      <c r="AS3712"/>
      <c r="AT3712"/>
    </row>
    <row r="3713" spans="20:46" ht="16.8">
      <c r="T3713" s="112"/>
      <c r="U3713" s="113"/>
      <c r="AF3713" s="2"/>
      <c r="AG3713" s="2"/>
      <c r="AS3713"/>
      <c r="AT3713"/>
    </row>
    <row r="3714" spans="20:46" ht="16.8">
      <c r="T3714" s="112"/>
      <c r="U3714" s="113"/>
      <c r="AF3714" s="2"/>
      <c r="AG3714" s="2"/>
      <c r="AS3714"/>
      <c r="AT3714"/>
    </row>
    <row r="3715" spans="20:46" ht="16.8">
      <c r="T3715" s="112"/>
      <c r="U3715" s="113"/>
      <c r="AF3715" s="2"/>
      <c r="AG3715" s="2"/>
      <c r="AS3715"/>
      <c r="AT3715"/>
    </row>
    <row r="3716" spans="20:46" ht="16.8">
      <c r="T3716" s="112"/>
      <c r="U3716" s="113"/>
      <c r="AF3716" s="2"/>
      <c r="AG3716" s="2"/>
      <c r="AS3716"/>
      <c r="AT3716"/>
    </row>
    <row r="3717" spans="20:46" ht="16.8">
      <c r="T3717" s="112"/>
      <c r="U3717" s="113"/>
      <c r="AF3717" s="2"/>
      <c r="AG3717" s="2"/>
      <c r="AS3717"/>
      <c r="AT3717"/>
    </row>
    <row r="3718" spans="20:46" ht="16.8">
      <c r="T3718" s="112"/>
      <c r="U3718" s="113"/>
      <c r="AF3718" s="2"/>
      <c r="AG3718" s="2"/>
      <c r="AS3718"/>
      <c r="AT3718"/>
    </row>
    <row r="3719" spans="20:46" ht="16.8">
      <c r="T3719" s="112"/>
      <c r="U3719" s="113"/>
      <c r="AF3719" s="2"/>
      <c r="AG3719" s="2"/>
      <c r="AS3719"/>
      <c r="AT3719"/>
    </row>
    <row r="3720" spans="20:46" ht="16.8">
      <c r="T3720" s="112"/>
      <c r="U3720" s="113"/>
      <c r="AF3720" s="2"/>
      <c r="AG3720" s="2"/>
      <c r="AS3720"/>
      <c r="AT3720"/>
    </row>
    <row r="3721" spans="20:46" ht="16.8">
      <c r="T3721" s="112"/>
      <c r="U3721" s="113"/>
      <c r="AF3721" s="2"/>
      <c r="AG3721" s="2"/>
      <c r="AS3721"/>
      <c r="AT3721"/>
    </row>
    <row r="3722" spans="20:46" ht="16.8">
      <c r="T3722" s="112"/>
      <c r="U3722" s="113"/>
      <c r="AF3722" s="2"/>
      <c r="AG3722" s="2"/>
      <c r="AS3722"/>
      <c r="AT3722"/>
    </row>
    <row r="3723" spans="20:46" ht="16.8">
      <c r="T3723" s="112"/>
      <c r="U3723" s="113"/>
      <c r="AF3723" s="2"/>
      <c r="AG3723" s="2"/>
      <c r="AS3723"/>
      <c r="AT3723"/>
    </row>
    <row r="3724" spans="20:46" ht="16.8">
      <c r="T3724" s="112"/>
      <c r="U3724" s="113"/>
      <c r="AF3724" s="2"/>
      <c r="AG3724" s="2"/>
      <c r="AS3724"/>
      <c r="AT3724"/>
    </row>
    <row r="3725" spans="20:46" ht="16.8">
      <c r="T3725" s="112"/>
      <c r="U3725" s="113"/>
      <c r="AF3725" s="2"/>
      <c r="AG3725" s="2"/>
      <c r="AS3725"/>
      <c r="AT3725"/>
    </row>
    <row r="3726" spans="20:46" ht="16.8">
      <c r="T3726" s="112"/>
      <c r="U3726" s="113"/>
      <c r="AF3726" s="2"/>
      <c r="AG3726" s="2"/>
      <c r="AS3726"/>
      <c r="AT3726"/>
    </row>
    <row r="3727" spans="20:46" ht="16.8">
      <c r="T3727" s="112"/>
      <c r="U3727" s="113"/>
      <c r="AF3727" s="2"/>
      <c r="AG3727" s="2"/>
      <c r="AS3727"/>
      <c r="AT3727"/>
    </row>
    <row r="3728" spans="20:46" ht="16.8">
      <c r="T3728" s="112"/>
      <c r="U3728" s="113"/>
      <c r="AF3728" s="2"/>
      <c r="AG3728" s="2"/>
      <c r="AS3728"/>
      <c r="AT3728"/>
    </row>
    <row r="3729" spans="20:46" ht="16.8">
      <c r="T3729" s="112"/>
      <c r="U3729" s="113"/>
      <c r="AF3729" s="2"/>
      <c r="AG3729" s="2"/>
      <c r="AS3729"/>
      <c r="AT3729"/>
    </row>
    <row r="3730" spans="20:46" ht="16.8">
      <c r="T3730" s="112"/>
      <c r="U3730" s="113"/>
      <c r="AF3730" s="2"/>
      <c r="AG3730" s="2"/>
      <c r="AS3730"/>
      <c r="AT3730"/>
    </row>
    <row r="3731" spans="20:46" ht="16.8">
      <c r="T3731" s="112"/>
      <c r="U3731" s="113"/>
      <c r="AF3731" s="2"/>
      <c r="AG3731" s="2"/>
      <c r="AS3731"/>
      <c r="AT3731"/>
    </row>
    <row r="3732" spans="20:46" ht="16.8">
      <c r="T3732" s="112"/>
      <c r="U3732" s="113"/>
      <c r="AF3732" s="2"/>
      <c r="AG3732" s="2"/>
      <c r="AS3732"/>
      <c r="AT3732"/>
    </row>
    <row r="3733" spans="20:46" ht="16.8">
      <c r="T3733" s="112"/>
      <c r="U3733" s="113"/>
      <c r="AF3733" s="2"/>
      <c r="AG3733" s="2"/>
      <c r="AS3733"/>
      <c r="AT3733"/>
    </row>
    <row r="3734" spans="20:46" ht="16.8">
      <c r="T3734" s="112"/>
      <c r="U3734" s="113"/>
      <c r="AF3734" s="2"/>
      <c r="AG3734" s="2"/>
      <c r="AS3734"/>
      <c r="AT3734"/>
    </row>
    <row r="3735" spans="20:46" ht="16.8">
      <c r="T3735" s="112"/>
      <c r="U3735" s="113"/>
      <c r="AF3735" s="2"/>
      <c r="AG3735" s="2"/>
      <c r="AS3735"/>
      <c r="AT3735"/>
    </row>
    <row r="3736" spans="20:46" ht="16.8">
      <c r="T3736" s="112"/>
      <c r="U3736" s="113"/>
      <c r="AF3736" s="2"/>
      <c r="AG3736" s="2"/>
      <c r="AS3736"/>
      <c r="AT3736"/>
    </row>
    <row r="3737" spans="20:46" ht="16.8">
      <c r="T3737" s="112"/>
      <c r="U3737" s="113"/>
      <c r="AF3737" s="2"/>
      <c r="AG3737" s="2"/>
      <c r="AS3737"/>
      <c r="AT3737"/>
    </row>
    <row r="3738" spans="20:46" ht="16.8">
      <c r="T3738" s="112"/>
      <c r="U3738" s="113"/>
      <c r="AF3738" s="2"/>
      <c r="AG3738" s="2"/>
      <c r="AS3738"/>
      <c r="AT3738"/>
    </row>
    <row r="3739" spans="20:46" ht="16.8">
      <c r="T3739" s="112"/>
      <c r="U3739" s="113"/>
      <c r="AF3739" s="2"/>
      <c r="AG3739" s="2"/>
      <c r="AS3739"/>
      <c r="AT3739"/>
    </row>
    <row r="3740" spans="20:46" ht="16.8">
      <c r="T3740" s="112"/>
      <c r="U3740" s="113"/>
      <c r="AF3740" s="2"/>
      <c r="AG3740" s="2"/>
      <c r="AS3740"/>
      <c r="AT3740"/>
    </row>
    <row r="3741" spans="20:46" ht="16.8">
      <c r="T3741" s="112"/>
      <c r="U3741" s="113"/>
      <c r="AF3741" s="2"/>
      <c r="AG3741" s="2"/>
      <c r="AS3741"/>
      <c r="AT3741"/>
    </row>
    <row r="3742" spans="20:46" ht="16.8">
      <c r="T3742" s="112"/>
      <c r="U3742" s="113"/>
      <c r="AF3742" s="2"/>
      <c r="AG3742" s="2"/>
      <c r="AS3742"/>
      <c r="AT3742"/>
    </row>
    <row r="3743" spans="20:46" ht="16.8">
      <c r="T3743" s="112"/>
      <c r="U3743" s="113"/>
      <c r="AF3743" s="2"/>
      <c r="AG3743" s="2"/>
      <c r="AS3743"/>
      <c r="AT3743"/>
    </row>
    <row r="3744" spans="20:46" ht="16.8">
      <c r="T3744" s="112"/>
      <c r="U3744" s="113"/>
      <c r="AF3744" s="2"/>
      <c r="AG3744" s="2"/>
      <c r="AS3744"/>
      <c r="AT3744"/>
    </row>
    <row r="3745" spans="20:46" ht="16.8">
      <c r="T3745" s="112"/>
      <c r="U3745" s="113"/>
      <c r="AF3745" s="2"/>
      <c r="AG3745" s="2"/>
      <c r="AS3745"/>
      <c r="AT3745"/>
    </row>
    <row r="3746" spans="20:46" ht="16.8">
      <c r="T3746" s="112"/>
      <c r="U3746" s="113"/>
      <c r="AF3746" s="2"/>
      <c r="AG3746" s="2"/>
      <c r="AS3746"/>
      <c r="AT3746"/>
    </row>
    <row r="3747" spans="20:46" ht="16.8">
      <c r="T3747" s="112"/>
      <c r="U3747" s="113"/>
      <c r="AF3747" s="2"/>
      <c r="AG3747" s="2"/>
      <c r="AS3747"/>
      <c r="AT3747"/>
    </row>
    <row r="3748" spans="20:46" ht="16.8">
      <c r="T3748" s="112"/>
      <c r="U3748" s="113"/>
      <c r="AF3748" s="2"/>
      <c r="AG3748" s="2"/>
      <c r="AS3748"/>
      <c r="AT3748"/>
    </row>
    <row r="3749" spans="20:46" ht="16.8">
      <c r="T3749" s="112"/>
      <c r="U3749" s="113"/>
      <c r="AF3749" s="2"/>
      <c r="AG3749" s="2"/>
      <c r="AS3749"/>
      <c r="AT3749"/>
    </row>
    <row r="3750" spans="20:46" ht="16.8">
      <c r="T3750" s="112"/>
      <c r="U3750" s="113"/>
      <c r="AF3750" s="2"/>
      <c r="AG3750" s="2"/>
      <c r="AS3750"/>
      <c r="AT3750"/>
    </row>
    <row r="3751" spans="20:46" ht="16.8">
      <c r="T3751" s="112"/>
      <c r="U3751" s="113"/>
      <c r="AF3751" s="2"/>
      <c r="AG3751" s="2"/>
      <c r="AS3751"/>
      <c r="AT3751"/>
    </row>
    <row r="3752" spans="20:46" ht="16.8">
      <c r="T3752" s="112"/>
      <c r="U3752" s="113"/>
      <c r="AF3752" s="2"/>
      <c r="AG3752" s="2"/>
      <c r="AS3752"/>
      <c r="AT3752"/>
    </row>
    <row r="3753" spans="20:46" ht="16.8">
      <c r="T3753" s="112"/>
      <c r="U3753" s="113"/>
      <c r="AF3753" s="2"/>
      <c r="AG3753" s="2"/>
      <c r="AS3753"/>
      <c r="AT3753"/>
    </row>
    <row r="3754" spans="20:46" ht="16.8">
      <c r="T3754" s="112"/>
      <c r="U3754" s="113"/>
      <c r="AF3754" s="2"/>
      <c r="AG3754" s="2"/>
      <c r="AS3754"/>
      <c r="AT3754"/>
    </row>
    <row r="3755" spans="20:46" ht="16.8">
      <c r="T3755" s="112"/>
      <c r="U3755" s="113"/>
      <c r="AF3755" s="2"/>
      <c r="AG3755" s="2"/>
      <c r="AS3755"/>
      <c r="AT3755"/>
    </row>
    <row r="3756" spans="20:46" ht="16.8">
      <c r="T3756" s="112"/>
      <c r="U3756" s="113"/>
      <c r="AF3756" s="2"/>
      <c r="AG3756" s="2"/>
      <c r="AS3756"/>
      <c r="AT3756"/>
    </row>
    <row r="3757" spans="20:46" ht="16.8">
      <c r="T3757" s="112"/>
      <c r="U3757" s="113"/>
      <c r="AF3757" s="2"/>
      <c r="AG3757" s="2"/>
      <c r="AS3757"/>
      <c r="AT3757"/>
    </row>
    <row r="3758" spans="20:46" ht="16.8">
      <c r="T3758" s="112"/>
      <c r="U3758" s="113"/>
      <c r="AF3758" s="2"/>
      <c r="AG3758" s="2"/>
      <c r="AS3758"/>
      <c r="AT3758"/>
    </row>
    <row r="3759" spans="20:46" ht="16.8">
      <c r="T3759" s="112"/>
      <c r="U3759" s="113"/>
      <c r="AF3759" s="2"/>
      <c r="AG3759" s="2"/>
      <c r="AS3759"/>
      <c r="AT3759"/>
    </row>
    <row r="3760" spans="20:46" ht="16.8">
      <c r="T3760" s="112"/>
      <c r="U3760" s="113"/>
      <c r="AF3760" s="2"/>
      <c r="AG3760" s="2"/>
      <c r="AS3760"/>
      <c r="AT3760"/>
    </row>
    <row r="3761" spans="20:46" ht="16.8">
      <c r="T3761" s="112"/>
      <c r="U3761" s="113"/>
      <c r="AF3761" s="2"/>
      <c r="AG3761" s="2"/>
      <c r="AS3761"/>
      <c r="AT3761"/>
    </row>
    <row r="3762" spans="20:46" ht="16.8">
      <c r="T3762" s="112"/>
      <c r="U3762" s="113"/>
      <c r="AF3762" s="2"/>
      <c r="AG3762" s="2"/>
      <c r="AS3762"/>
      <c r="AT3762"/>
    </row>
    <row r="3763" spans="20:46" ht="16.8">
      <c r="T3763" s="112"/>
      <c r="U3763" s="113"/>
      <c r="AF3763" s="2"/>
      <c r="AG3763" s="2"/>
      <c r="AS3763"/>
      <c r="AT3763"/>
    </row>
    <row r="3764" spans="20:46" ht="16.8">
      <c r="T3764" s="112"/>
      <c r="U3764" s="113"/>
      <c r="AF3764" s="2"/>
      <c r="AG3764" s="2"/>
      <c r="AS3764"/>
      <c r="AT3764"/>
    </row>
    <row r="3765" spans="20:46" ht="16.8">
      <c r="T3765" s="112"/>
      <c r="U3765" s="113"/>
      <c r="AF3765" s="2"/>
      <c r="AG3765" s="2"/>
      <c r="AS3765"/>
      <c r="AT3765"/>
    </row>
    <row r="3766" spans="20:46" ht="16.8">
      <c r="T3766" s="112"/>
      <c r="U3766" s="113"/>
      <c r="AF3766" s="2"/>
      <c r="AG3766" s="2"/>
      <c r="AS3766"/>
      <c r="AT3766"/>
    </row>
    <row r="3767" spans="20:46" ht="16.8">
      <c r="T3767" s="112"/>
      <c r="U3767" s="113"/>
      <c r="AF3767" s="2"/>
      <c r="AG3767" s="2"/>
      <c r="AS3767"/>
      <c r="AT3767"/>
    </row>
    <row r="3768" spans="20:46" ht="16.8">
      <c r="T3768" s="112"/>
      <c r="U3768" s="113"/>
      <c r="AF3768" s="2"/>
      <c r="AG3768" s="2"/>
      <c r="AS3768"/>
      <c r="AT3768"/>
    </row>
    <row r="3769" spans="20:46" ht="16.8">
      <c r="T3769" s="112"/>
      <c r="U3769" s="113"/>
      <c r="AF3769" s="2"/>
      <c r="AG3769" s="2"/>
      <c r="AS3769"/>
      <c r="AT3769"/>
    </row>
    <row r="3770" spans="20:46" ht="16.8">
      <c r="T3770" s="112"/>
      <c r="U3770" s="113"/>
      <c r="AF3770" s="2"/>
      <c r="AG3770" s="2"/>
      <c r="AS3770"/>
      <c r="AT3770"/>
    </row>
    <row r="3771" spans="20:46" ht="16.8">
      <c r="T3771" s="112"/>
      <c r="U3771" s="113"/>
      <c r="AF3771" s="2"/>
      <c r="AG3771" s="2"/>
      <c r="AS3771"/>
      <c r="AT3771"/>
    </row>
    <row r="3772" spans="20:46" ht="16.8">
      <c r="T3772" s="112"/>
      <c r="U3772" s="113"/>
      <c r="AF3772" s="2"/>
      <c r="AG3772" s="2"/>
      <c r="AS3772"/>
      <c r="AT3772"/>
    </row>
    <row r="3773" spans="20:46" ht="16.8">
      <c r="T3773" s="112"/>
      <c r="U3773" s="113"/>
      <c r="AF3773" s="2"/>
      <c r="AG3773" s="2"/>
      <c r="AS3773"/>
      <c r="AT3773"/>
    </row>
    <row r="3774" spans="20:46" ht="16.8">
      <c r="T3774" s="112"/>
      <c r="U3774" s="113"/>
      <c r="AF3774" s="2"/>
      <c r="AG3774" s="2"/>
      <c r="AS3774"/>
      <c r="AT3774"/>
    </row>
    <row r="3775" spans="20:46" ht="16.8">
      <c r="T3775" s="112"/>
      <c r="U3775" s="113"/>
      <c r="AF3775" s="2"/>
      <c r="AG3775" s="2"/>
      <c r="AS3775"/>
      <c r="AT3775"/>
    </row>
    <row r="3776" spans="20:46" ht="16.8">
      <c r="T3776" s="112"/>
      <c r="U3776" s="113"/>
      <c r="AF3776" s="2"/>
      <c r="AG3776" s="2"/>
      <c r="AS3776"/>
      <c r="AT3776"/>
    </row>
    <row r="3777" spans="20:46" ht="16.8">
      <c r="T3777" s="112"/>
      <c r="U3777" s="113"/>
      <c r="AF3777" s="2"/>
      <c r="AG3777" s="2"/>
      <c r="AS3777"/>
      <c r="AT3777"/>
    </row>
    <row r="3778" spans="20:46" ht="16.8">
      <c r="T3778" s="112"/>
      <c r="U3778" s="113"/>
      <c r="AF3778" s="2"/>
      <c r="AG3778" s="2"/>
      <c r="AS3778"/>
      <c r="AT3778"/>
    </row>
    <row r="3779" spans="20:46" ht="16.8">
      <c r="T3779" s="112"/>
      <c r="U3779" s="113"/>
      <c r="AF3779" s="2"/>
      <c r="AG3779" s="2"/>
      <c r="AS3779"/>
      <c r="AT3779"/>
    </row>
    <row r="3780" spans="20:46" ht="16.8">
      <c r="T3780" s="112"/>
      <c r="U3780" s="113"/>
      <c r="AF3780" s="2"/>
      <c r="AG3780" s="2"/>
      <c r="AS3780"/>
      <c r="AT3780"/>
    </row>
    <row r="3781" spans="20:46" ht="16.8">
      <c r="T3781" s="112"/>
      <c r="U3781" s="113"/>
      <c r="AF3781" s="2"/>
      <c r="AG3781" s="2"/>
      <c r="AS3781"/>
      <c r="AT3781"/>
    </row>
    <row r="3782" spans="20:46" ht="16.8">
      <c r="T3782" s="112"/>
      <c r="U3782" s="113"/>
      <c r="AF3782" s="2"/>
      <c r="AG3782" s="2"/>
      <c r="AS3782"/>
      <c r="AT3782"/>
    </row>
    <row r="3783" spans="20:46" ht="16.8">
      <c r="T3783" s="112"/>
      <c r="U3783" s="113"/>
      <c r="AF3783" s="2"/>
      <c r="AG3783" s="2"/>
      <c r="AS3783"/>
      <c r="AT3783"/>
    </row>
    <row r="3784" spans="20:46" ht="16.8">
      <c r="T3784" s="112"/>
      <c r="U3784" s="113"/>
      <c r="AF3784" s="2"/>
      <c r="AG3784" s="2"/>
      <c r="AS3784"/>
      <c r="AT3784"/>
    </row>
    <row r="3785" spans="20:46" ht="16.8">
      <c r="T3785" s="112"/>
      <c r="U3785" s="113"/>
      <c r="AF3785" s="2"/>
      <c r="AG3785" s="2"/>
      <c r="AS3785"/>
      <c r="AT3785"/>
    </row>
    <row r="3786" spans="20:46" ht="16.8">
      <c r="T3786" s="112"/>
      <c r="U3786" s="113"/>
      <c r="AF3786" s="2"/>
      <c r="AG3786" s="2"/>
      <c r="AS3786"/>
      <c r="AT3786"/>
    </row>
    <row r="3787" spans="20:46" ht="16.8">
      <c r="T3787" s="112"/>
      <c r="U3787" s="113"/>
      <c r="AF3787" s="2"/>
      <c r="AG3787" s="2"/>
      <c r="AS3787"/>
      <c r="AT3787"/>
    </row>
    <row r="3788" spans="20:46" ht="16.8">
      <c r="T3788" s="112"/>
      <c r="U3788" s="113"/>
      <c r="AF3788" s="2"/>
      <c r="AG3788" s="2"/>
      <c r="AS3788"/>
      <c r="AT3788"/>
    </row>
    <row r="3789" spans="20:46" ht="16.8">
      <c r="T3789" s="112"/>
      <c r="U3789" s="113"/>
      <c r="AF3789" s="2"/>
      <c r="AG3789" s="2"/>
      <c r="AS3789"/>
      <c r="AT3789"/>
    </row>
    <row r="3790" spans="20:46" ht="16.8">
      <c r="T3790" s="112"/>
      <c r="U3790" s="113"/>
      <c r="AF3790" s="2"/>
      <c r="AG3790" s="2"/>
      <c r="AS3790"/>
      <c r="AT3790"/>
    </row>
    <row r="3791" spans="20:46" ht="16.8">
      <c r="T3791" s="112"/>
      <c r="U3791" s="113"/>
      <c r="AF3791" s="2"/>
      <c r="AG3791" s="2"/>
      <c r="AS3791"/>
      <c r="AT3791"/>
    </row>
    <row r="3792" spans="20:46" ht="16.8">
      <c r="T3792" s="112"/>
      <c r="U3792" s="113"/>
      <c r="AF3792" s="2"/>
      <c r="AG3792" s="2"/>
      <c r="AS3792"/>
      <c r="AT3792"/>
    </row>
    <row r="3793" spans="20:46" ht="16.8">
      <c r="T3793" s="112"/>
      <c r="U3793" s="113"/>
      <c r="AF3793" s="2"/>
      <c r="AG3793" s="2"/>
      <c r="AS3793"/>
      <c r="AT3793"/>
    </row>
    <row r="3794" spans="20:46" ht="16.8">
      <c r="T3794" s="112"/>
      <c r="U3794" s="113"/>
      <c r="AF3794" s="2"/>
      <c r="AG3794" s="2"/>
      <c r="AS3794"/>
      <c r="AT3794"/>
    </row>
    <row r="3795" spans="20:46" ht="16.8">
      <c r="T3795" s="112"/>
      <c r="U3795" s="113"/>
      <c r="AF3795" s="2"/>
      <c r="AG3795" s="2"/>
      <c r="AS3795"/>
      <c r="AT3795"/>
    </row>
    <row r="3796" spans="20:46" ht="16.8">
      <c r="T3796" s="112"/>
      <c r="U3796" s="113"/>
      <c r="AF3796" s="2"/>
      <c r="AG3796" s="2"/>
      <c r="AS3796"/>
      <c r="AT3796"/>
    </row>
    <row r="3797" spans="20:46" ht="16.8">
      <c r="T3797" s="112"/>
      <c r="U3797" s="113"/>
      <c r="AF3797" s="2"/>
      <c r="AG3797" s="2"/>
      <c r="AS3797"/>
      <c r="AT3797"/>
    </row>
    <row r="3798" spans="20:46" ht="16.8">
      <c r="T3798" s="112"/>
      <c r="U3798" s="113"/>
      <c r="AF3798" s="2"/>
      <c r="AG3798" s="2"/>
      <c r="AS3798"/>
      <c r="AT3798"/>
    </row>
    <row r="3799" spans="20:46" ht="16.8">
      <c r="T3799" s="112"/>
      <c r="U3799" s="113"/>
      <c r="AF3799" s="2"/>
      <c r="AG3799" s="2"/>
      <c r="AS3799"/>
      <c r="AT3799"/>
    </row>
    <row r="3800" spans="20:46" ht="16.8">
      <c r="T3800" s="112"/>
      <c r="U3800" s="113"/>
      <c r="AF3800" s="2"/>
      <c r="AG3800" s="2"/>
      <c r="AS3800"/>
      <c r="AT3800"/>
    </row>
    <row r="3801" spans="20:46" ht="16.8">
      <c r="T3801" s="112"/>
      <c r="U3801" s="113"/>
      <c r="AF3801" s="2"/>
      <c r="AG3801" s="2"/>
      <c r="AS3801"/>
      <c r="AT3801"/>
    </row>
    <row r="3802" spans="20:46" ht="16.8">
      <c r="T3802" s="112"/>
      <c r="U3802" s="113"/>
      <c r="AF3802" s="2"/>
      <c r="AG3802" s="2"/>
      <c r="AS3802"/>
      <c r="AT3802"/>
    </row>
    <row r="3803" spans="20:46" ht="16.8">
      <c r="T3803" s="112"/>
      <c r="U3803" s="113"/>
      <c r="AF3803" s="2"/>
      <c r="AG3803" s="2"/>
      <c r="AS3803"/>
      <c r="AT3803"/>
    </row>
    <row r="3804" spans="20:46" ht="16.8">
      <c r="T3804" s="112"/>
      <c r="U3804" s="113"/>
      <c r="AF3804" s="2"/>
      <c r="AG3804" s="2"/>
      <c r="AS3804"/>
      <c r="AT3804"/>
    </row>
    <row r="3805" spans="20:46" ht="16.8">
      <c r="T3805" s="112"/>
      <c r="U3805" s="113"/>
      <c r="AF3805" s="2"/>
      <c r="AG3805" s="2"/>
      <c r="AS3805"/>
      <c r="AT3805"/>
    </row>
    <row r="3806" spans="20:46" ht="16.8">
      <c r="T3806" s="112"/>
      <c r="U3806" s="113"/>
      <c r="AF3806" s="2"/>
      <c r="AG3806" s="2"/>
      <c r="AS3806"/>
      <c r="AT3806"/>
    </row>
    <row r="3807" spans="20:46" ht="16.8">
      <c r="T3807" s="112"/>
      <c r="U3807" s="113"/>
      <c r="AF3807" s="2"/>
      <c r="AG3807" s="2"/>
      <c r="AS3807"/>
      <c r="AT3807"/>
    </row>
    <row r="3808" spans="20:46" ht="16.8">
      <c r="T3808" s="112"/>
      <c r="U3808" s="113"/>
      <c r="AF3808" s="2"/>
      <c r="AG3808" s="2"/>
      <c r="AS3808"/>
      <c r="AT3808"/>
    </row>
    <row r="3809" spans="20:46" ht="16.8">
      <c r="T3809" s="112"/>
      <c r="U3809" s="113"/>
      <c r="AF3809" s="2"/>
      <c r="AG3809" s="2"/>
      <c r="AS3809"/>
      <c r="AT3809"/>
    </row>
    <row r="3810" spans="20:46" ht="16.8">
      <c r="T3810" s="112"/>
      <c r="U3810" s="113"/>
      <c r="AF3810" s="2"/>
      <c r="AG3810" s="2"/>
      <c r="AS3810"/>
      <c r="AT3810"/>
    </row>
    <row r="3811" spans="20:46" ht="16.8">
      <c r="T3811" s="112"/>
      <c r="U3811" s="113"/>
      <c r="AF3811" s="2"/>
      <c r="AG3811" s="2"/>
      <c r="AS3811"/>
      <c r="AT3811"/>
    </row>
    <row r="3812" spans="20:46" ht="16.8">
      <c r="T3812" s="112"/>
      <c r="U3812" s="113"/>
      <c r="AF3812" s="2"/>
      <c r="AG3812" s="2"/>
      <c r="AS3812"/>
      <c r="AT3812"/>
    </row>
    <row r="3813" spans="20:46" ht="16.8">
      <c r="T3813" s="112"/>
      <c r="U3813" s="113"/>
      <c r="AF3813" s="2"/>
      <c r="AG3813" s="2"/>
      <c r="AS3813"/>
      <c r="AT3813"/>
    </row>
    <row r="3814" spans="20:46" ht="16.8">
      <c r="T3814" s="112"/>
      <c r="U3814" s="113"/>
      <c r="AF3814" s="2"/>
      <c r="AG3814" s="2"/>
      <c r="AS3814"/>
      <c r="AT3814"/>
    </row>
    <row r="3815" spans="20:46" ht="16.8">
      <c r="T3815" s="112"/>
      <c r="U3815" s="113"/>
      <c r="AF3815" s="2"/>
      <c r="AG3815" s="2"/>
      <c r="AS3815"/>
      <c r="AT3815"/>
    </row>
    <row r="3816" spans="20:46" ht="16.8">
      <c r="T3816" s="112"/>
      <c r="U3816" s="113"/>
      <c r="AF3816" s="2"/>
      <c r="AG3816" s="2"/>
      <c r="AS3816"/>
      <c r="AT3816"/>
    </row>
    <row r="3817" spans="20:46" ht="16.8">
      <c r="T3817" s="112"/>
      <c r="U3817" s="113"/>
      <c r="AF3817" s="2"/>
      <c r="AG3817" s="2"/>
      <c r="AS3817"/>
      <c r="AT3817"/>
    </row>
    <row r="3818" spans="20:46" ht="16.8">
      <c r="T3818" s="112"/>
      <c r="U3818" s="113"/>
      <c r="AF3818" s="2"/>
      <c r="AG3818" s="2"/>
      <c r="AS3818"/>
      <c r="AT3818"/>
    </row>
    <row r="3819" spans="20:46" ht="16.8">
      <c r="T3819" s="112"/>
      <c r="U3819" s="113"/>
      <c r="AF3819" s="2"/>
      <c r="AG3819" s="2"/>
      <c r="AS3819"/>
      <c r="AT3819"/>
    </row>
    <row r="3820" spans="20:46" ht="16.8">
      <c r="T3820" s="112"/>
      <c r="U3820" s="113"/>
      <c r="AF3820" s="2"/>
      <c r="AG3820" s="2"/>
      <c r="AS3820"/>
      <c r="AT3820"/>
    </row>
    <row r="3821" spans="20:46" ht="16.8">
      <c r="T3821" s="112"/>
      <c r="U3821" s="113"/>
      <c r="AF3821" s="2"/>
      <c r="AG3821" s="2"/>
      <c r="AS3821"/>
      <c r="AT3821"/>
    </row>
    <row r="3822" spans="20:46" ht="16.8">
      <c r="T3822" s="112"/>
      <c r="U3822" s="113"/>
      <c r="AF3822" s="2"/>
      <c r="AG3822" s="2"/>
      <c r="AS3822"/>
      <c r="AT3822"/>
    </row>
    <row r="3823" spans="20:46" ht="16.8">
      <c r="T3823" s="112"/>
      <c r="U3823" s="113"/>
      <c r="AF3823" s="2"/>
      <c r="AG3823" s="2"/>
      <c r="AS3823"/>
      <c r="AT3823"/>
    </row>
    <row r="3824" spans="20:46" ht="16.8">
      <c r="T3824" s="112"/>
      <c r="U3824" s="113"/>
      <c r="AF3824" s="2"/>
      <c r="AG3824" s="2"/>
      <c r="AS3824"/>
      <c r="AT3824"/>
    </row>
    <row r="3825" spans="20:46" ht="16.8">
      <c r="T3825" s="112"/>
      <c r="U3825" s="113"/>
      <c r="AF3825" s="2"/>
      <c r="AG3825" s="2"/>
      <c r="AS3825"/>
      <c r="AT3825"/>
    </row>
    <row r="3826" spans="20:46" ht="16.8">
      <c r="T3826" s="112"/>
      <c r="U3826" s="113"/>
      <c r="AF3826" s="2"/>
      <c r="AG3826" s="2"/>
      <c r="AS3826"/>
      <c r="AT3826"/>
    </row>
    <row r="3827" spans="20:46" ht="16.8">
      <c r="T3827" s="112"/>
      <c r="U3827" s="113"/>
      <c r="AF3827" s="2"/>
      <c r="AG3827" s="2"/>
      <c r="AS3827"/>
      <c r="AT3827"/>
    </row>
    <row r="3828" spans="20:46" ht="16.8">
      <c r="T3828" s="112"/>
      <c r="U3828" s="113"/>
      <c r="AF3828" s="2"/>
      <c r="AG3828" s="2"/>
      <c r="AS3828"/>
      <c r="AT3828"/>
    </row>
    <row r="3829" spans="20:46" ht="16.8">
      <c r="T3829" s="112"/>
      <c r="U3829" s="113"/>
      <c r="AF3829" s="2"/>
      <c r="AG3829" s="2"/>
      <c r="AS3829"/>
      <c r="AT3829"/>
    </row>
    <row r="3830" spans="20:46" ht="16.8">
      <c r="T3830" s="112"/>
      <c r="U3830" s="113"/>
      <c r="AF3830" s="2"/>
      <c r="AG3830" s="2"/>
      <c r="AS3830"/>
      <c r="AT3830"/>
    </row>
    <row r="3831" spans="20:46" ht="16.8">
      <c r="T3831" s="112"/>
      <c r="U3831" s="113"/>
      <c r="AF3831" s="2"/>
      <c r="AG3831" s="2"/>
      <c r="AS3831"/>
      <c r="AT3831"/>
    </row>
    <row r="3832" spans="20:46" ht="16.8">
      <c r="T3832" s="112"/>
      <c r="U3832" s="113"/>
      <c r="AF3832" s="2"/>
      <c r="AG3832" s="2"/>
      <c r="AS3832"/>
      <c r="AT3832"/>
    </row>
    <row r="3833" spans="20:46" ht="16.8">
      <c r="T3833" s="112"/>
      <c r="U3833" s="113"/>
      <c r="AF3833" s="2"/>
      <c r="AG3833" s="2"/>
      <c r="AS3833"/>
      <c r="AT3833"/>
    </row>
    <row r="3834" spans="20:46" ht="16.8">
      <c r="T3834" s="112"/>
      <c r="U3834" s="113"/>
      <c r="AF3834" s="2"/>
      <c r="AG3834" s="2"/>
      <c r="AS3834"/>
      <c r="AT3834"/>
    </row>
    <row r="3835" spans="20:46" ht="16.8">
      <c r="T3835" s="112"/>
      <c r="U3835" s="113"/>
      <c r="AF3835" s="2"/>
      <c r="AG3835" s="2"/>
      <c r="AS3835"/>
      <c r="AT3835"/>
    </row>
    <row r="3836" spans="20:46" ht="16.8">
      <c r="T3836" s="112"/>
      <c r="U3836" s="113"/>
      <c r="AF3836" s="2"/>
      <c r="AG3836" s="2"/>
      <c r="AS3836"/>
      <c r="AT3836"/>
    </row>
    <row r="3837" spans="20:46" ht="16.8">
      <c r="T3837" s="112"/>
      <c r="U3837" s="113"/>
      <c r="AF3837" s="2"/>
      <c r="AG3837" s="2"/>
      <c r="AS3837"/>
      <c r="AT3837"/>
    </row>
    <row r="3838" spans="20:46" ht="16.8">
      <c r="T3838" s="112"/>
      <c r="U3838" s="113"/>
      <c r="AF3838" s="2"/>
      <c r="AG3838" s="2"/>
      <c r="AS3838"/>
      <c r="AT3838"/>
    </row>
    <row r="3839" spans="20:46" ht="16.8">
      <c r="T3839" s="112"/>
      <c r="U3839" s="113"/>
      <c r="AF3839" s="2"/>
      <c r="AG3839" s="2"/>
      <c r="AS3839"/>
      <c r="AT3839"/>
    </row>
    <row r="3840" spans="20:46" ht="16.8">
      <c r="T3840" s="112"/>
      <c r="U3840" s="113"/>
      <c r="AF3840" s="2"/>
      <c r="AG3840" s="2"/>
      <c r="AS3840"/>
      <c r="AT3840"/>
    </row>
    <row r="3841" spans="20:46" ht="16.8">
      <c r="T3841" s="112"/>
      <c r="U3841" s="113"/>
      <c r="AF3841" s="2"/>
      <c r="AG3841" s="2"/>
      <c r="AS3841"/>
      <c r="AT3841"/>
    </row>
    <row r="3842" spans="20:46" ht="16.8">
      <c r="T3842" s="112"/>
      <c r="U3842" s="113"/>
      <c r="AF3842" s="2"/>
      <c r="AG3842" s="2"/>
      <c r="AS3842"/>
      <c r="AT3842"/>
    </row>
    <row r="3843" spans="20:46" ht="16.8">
      <c r="T3843" s="112"/>
      <c r="U3843" s="113"/>
      <c r="AF3843" s="2"/>
      <c r="AG3843" s="2"/>
      <c r="AS3843"/>
      <c r="AT3843"/>
    </row>
    <row r="3844" spans="20:46" ht="16.8">
      <c r="T3844" s="112"/>
      <c r="U3844" s="113"/>
      <c r="AF3844" s="2"/>
      <c r="AG3844" s="2"/>
      <c r="AS3844"/>
      <c r="AT3844"/>
    </row>
    <row r="3845" spans="20:46" ht="16.8">
      <c r="T3845" s="112"/>
      <c r="U3845" s="113"/>
      <c r="AF3845" s="2"/>
      <c r="AG3845" s="2"/>
      <c r="AS3845"/>
      <c r="AT3845"/>
    </row>
    <row r="3846" spans="20:46" ht="16.8">
      <c r="T3846" s="112"/>
      <c r="U3846" s="113"/>
      <c r="AF3846" s="2"/>
      <c r="AG3846" s="2"/>
      <c r="AS3846"/>
      <c r="AT3846"/>
    </row>
    <row r="3847" spans="20:46" ht="16.8">
      <c r="T3847" s="112"/>
      <c r="U3847" s="113"/>
      <c r="AF3847" s="2"/>
      <c r="AG3847" s="2"/>
      <c r="AS3847"/>
      <c r="AT3847"/>
    </row>
    <row r="3848" spans="20:46" ht="16.8">
      <c r="T3848" s="112"/>
      <c r="U3848" s="113"/>
      <c r="AF3848" s="2"/>
      <c r="AG3848" s="2"/>
      <c r="AS3848"/>
      <c r="AT3848"/>
    </row>
    <row r="3849" spans="20:46" ht="16.8">
      <c r="T3849" s="112"/>
      <c r="U3849" s="113"/>
      <c r="AF3849" s="2"/>
      <c r="AG3849" s="2"/>
      <c r="AS3849"/>
      <c r="AT3849"/>
    </row>
    <row r="3850" spans="20:46" ht="16.8">
      <c r="T3850" s="112"/>
      <c r="U3850" s="113"/>
      <c r="AF3850" s="2"/>
      <c r="AG3850" s="2"/>
      <c r="AS3850"/>
      <c r="AT3850"/>
    </row>
    <row r="3851" spans="20:46" ht="16.8">
      <c r="T3851" s="112"/>
      <c r="U3851" s="113"/>
      <c r="AF3851" s="2"/>
      <c r="AG3851" s="2"/>
      <c r="AS3851"/>
      <c r="AT3851"/>
    </row>
    <row r="3852" spans="20:46" ht="16.8">
      <c r="T3852" s="112"/>
      <c r="U3852" s="113"/>
      <c r="AF3852" s="2"/>
      <c r="AG3852" s="2"/>
      <c r="AS3852"/>
      <c r="AT3852"/>
    </row>
    <row r="3853" spans="20:46" ht="16.8">
      <c r="T3853" s="112"/>
      <c r="U3853" s="113"/>
      <c r="AF3853" s="2"/>
      <c r="AG3853" s="2"/>
      <c r="AS3853"/>
      <c r="AT3853"/>
    </row>
    <row r="3854" spans="20:46" ht="16.8">
      <c r="T3854" s="112"/>
      <c r="U3854" s="113"/>
      <c r="AF3854" s="2"/>
      <c r="AG3854" s="2"/>
      <c r="AS3854"/>
      <c r="AT3854"/>
    </row>
    <row r="3855" spans="20:46" ht="16.8">
      <c r="T3855" s="112"/>
      <c r="U3855" s="113"/>
      <c r="AF3855" s="2"/>
      <c r="AG3855" s="2"/>
      <c r="AS3855"/>
      <c r="AT3855"/>
    </row>
    <row r="3856" spans="20:46" ht="16.8">
      <c r="T3856" s="112"/>
      <c r="U3856" s="113"/>
      <c r="AF3856" s="2"/>
      <c r="AG3856" s="2"/>
      <c r="AS3856"/>
      <c r="AT3856"/>
    </row>
    <row r="3857" spans="20:46" ht="16.8">
      <c r="T3857" s="112"/>
      <c r="U3857" s="113"/>
      <c r="AF3857" s="2"/>
      <c r="AG3857" s="2"/>
      <c r="AS3857"/>
      <c r="AT3857"/>
    </row>
    <row r="3858" spans="20:46" ht="16.8">
      <c r="T3858" s="112"/>
      <c r="U3858" s="113"/>
      <c r="AF3858" s="2"/>
      <c r="AG3858" s="2"/>
      <c r="AS3858"/>
      <c r="AT3858"/>
    </row>
    <row r="3859" spans="20:46" ht="16.8">
      <c r="T3859" s="112"/>
      <c r="U3859" s="113"/>
      <c r="AF3859" s="2"/>
      <c r="AG3859" s="2"/>
      <c r="AS3859"/>
      <c r="AT3859"/>
    </row>
    <row r="3860" spans="20:46" ht="16.8">
      <c r="T3860" s="112"/>
      <c r="U3860" s="113"/>
      <c r="AF3860" s="2"/>
      <c r="AG3860" s="2"/>
      <c r="AS3860"/>
      <c r="AT3860"/>
    </row>
    <row r="3861" spans="20:46" ht="16.8">
      <c r="T3861" s="112"/>
      <c r="U3861" s="113"/>
      <c r="AF3861" s="2"/>
      <c r="AG3861" s="2"/>
      <c r="AS3861"/>
      <c r="AT3861"/>
    </row>
    <row r="3862" spans="20:46" ht="16.8">
      <c r="T3862" s="112"/>
      <c r="U3862" s="113"/>
      <c r="AF3862" s="2"/>
      <c r="AG3862" s="2"/>
      <c r="AS3862"/>
      <c r="AT3862"/>
    </row>
    <row r="3863" spans="20:46" ht="16.8">
      <c r="T3863" s="112"/>
      <c r="U3863" s="113"/>
      <c r="AF3863" s="2"/>
      <c r="AG3863" s="2"/>
      <c r="AS3863"/>
      <c r="AT3863"/>
    </row>
    <row r="3864" spans="20:46" ht="16.8">
      <c r="T3864" s="112"/>
      <c r="U3864" s="113"/>
      <c r="AF3864" s="2"/>
      <c r="AG3864" s="2"/>
      <c r="AS3864"/>
      <c r="AT3864"/>
    </row>
    <row r="3865" spans="20:46" ht="16.8">
      <c r="T3865" s="112"/>
      <c r="U3865" s="113"/>
      <c r="AF3865" s="2"/>
      <c r="AG3865" s="2"/>
      <c r="AS3865"/>
      <c r="AT3865"/>
    </row>
    <row r="3866" spans="20:46" ht="16.8">
      <c r="T3866" s="112"/>
      <c r="U3866" s="113"/>
      <c r="AF3866" s="2"/>
      <c r="AG3866" s="2"/>
      <c r="AS3866"/>
      <c r="AT3866"/>
    </row>
    <row r="3867" spans="20:46" ht="16.8">
      <c r="T3867" s="112"/>
      <c r="U3867" s="113"/>
      <c r="AF3867" s="2"/>
      <c r="AG3867" s="2"/>
      <c r="AS3867"/>
      <c r="AT3867"/>
    </row>
    <row r="3868" spans="20:46" ht="16.8">
      <c r="T3868" s="112"/>
      <c r="U3868" s="113"/>
      <c r="AF3868" s="2"/>
      <c r="AG3868" s="2"/>
      <c r="AS3868"/>
      <c r="AT3868"/>
    </row>
    <row r="3869" spans="20:46" ht="16.8">
      <c r="T3869" s="112"/>
      <c r="U3869" s="113"/>
      <c r="AF3869" s="2"/>
      <c r="AG3869" s="2"/>
      <c r="AS3869"/>
      <c r="AT3869"/>
    </row>
    <row r="3870" spans="20:46" ht="16.8">
      <c r="T3870" s="112"/>
      <c r="U3870" s="113"/>
      <c r="AF3870" s="2"/>
      <c r="AG3870" s="2"/>
      <c r="AS3870"/>
      <c r="AT3870"/>
    </row>
    <row r="3871" spans="20:46" ht="16.8">
      <c r="T3871" s="112"/>
      <c r="U3871" s="113"/>
      <c r="AF3871" s="2"/>
      <c r="AG3871" s="2"/>
      <c r="AS3871"/>
      <c r="AT3871"/>
    </row>
    <row r="3872" spans="20:46" ht="16.8">
      <c r="T3872" s="112"/>
      <c r="U3872" s="113"/>
      <c r="AF3872" s="2"/>
      <c r="AG3872" s="2"/>
      <c r="AS3872"/>
      <c r="AT3872"/>
    </row>
    <row r="3873" spans="20:46" ht="16.8">
      <c r="T3873" s="112"/>
      <c r="U3873" s="113"/>
      <c r="AF3873" s="2"/>
      <c r="AG3873" s="2"/>
      <c r="AS3873"/>
      <c r="AT3873"/>
    </row>
    <row r="3874" spans="20:46" ht="16.8">
      <c r="T3874" s="112"/>
      <c r="U3874" s="113"/>
      <c r="AF3874" s="2"/>
      <c r="AG3874" s="2"/>
      <c r="AS3874"/>
      <c r="AT3874"/>
    </row>
    <row r="3875" spans="20:46" ht="16.8">
      <c r="T3875" s="112"/>
      <c r="U3875" s="113"/>
      <c r="AF3875" s="2"/>
      <c r="AG3875" s="2"/>
      <c r="AS3875"/>
      <c r="AT3875"/>
    </row>
    <row r="3876" spans="20:46" ht="16.8">
      <c r="T3876" s="112"/>
      <c r="U3876" s="113"/>
      <c r="AF3876" s="2"/>
      <c r="AG3876" s="2"/>
      <c r="AS3876"/>
      <c r="AT3876"/>
    </row>
    <row r="3877" spans="20:46" ht="16.8">
      <c r="T3877" s="112"/>
      <c r="U3877" s="113"/>
      <c r="AF3877" s="2"/>
      <c r="AG3877" s="2"/>
      <c r="AS3877"/>
      <c r="AT3877"/>
    </row>
    <row r="3878" spans="20:46" ht="16.8">
      <c r="T3878" s="112"/>
      <c r="U3878" s="113"/>
      <c r="AF3878" s="2"/>
      <c r="AG3878" s="2"/>
      <c r="AS3878"/>
      <c r="AT3878"/>
    </row>
    <row r="3879" spans="20:46" ht="16.8">
      <c r="T3879" s="112"/>
      <c r="U3879" s="113"/>
      <c r="AF3879" s="2"/>
      <c r="AG3879" s="2"/>
      <c r="AS3879"/>
      <c r="AT3879"/>
    </row>
    <row r="3880" spans="20:46" ht="16.8">
      <c r="T3880" s="112"/>
      <c r="U3880" s="113"/>
      <c r="AF3880" s="2"/>
      <c r="AG3880" s="2"/>
      <c r="AS3880"/>
      <c r="AT3880"/>
    </row>
    <row r="3881" spans="20:46" ht="16.8">
      <c r="T3881" s="112"/>
      <c r="U3881" s="113"/>
      <c r="AF3881" s="2"/>
      <c r="AG3881" s="2"/>
      <c r="AS3881"/>
      <c r="AT3881"/>
    </row>
    <row r="3882" spans="20:46" ht="16.8">
      <c r="T3882" s="112"/>
      <c r="U3882" s="113"/>
      <c r="AF3882" s="2"/>
      <c r="AG3882" s="2"/>
      <c r="AS3882"/>
      <c r="AT3882"/>
    </row>
    <row r="3883" spans="20:46" ht="16.8">
      <c r="T3883" s="112"/>
      <c r="U3883" s="113"/>
      <c r="AF3883" s="2"/>
      <c r="AG3883" s="2"/>
      <c r="AS3883"/>
      <c r="AT3883"/>
    </row>
    <row r="3884" spans="20:46" ht="16.8">
      <c r="T3884" s="112"/>
      <c r="U3884" s="113"/>
      <c r="AF3884" s="2"/>
      <c r="AG3884" s="2"/>
      <c r="AS3884"/>
      <c r="AT3884"/>
    </row>
    <row r="3885" spans="20:46" ht="16.8">
      <c r="T3885" s="112"/>
      <c r="U3885" s="113"/>
      <c r="AF3885" s="2"/>
      <c r="AG3885" s="2"/>
      <c r="AS3885"/>
      <c r="AT3885"/>
    </row>
    <row r="3886" spans="20:46" ht="16.8">
      <c r="T3886" s="112"/>
      <c r="U3886" s="113"/>
      <c r="AF3886" s="2"/>
      <c r="AG3886" s="2"/>
      <c r="AS3886"/>
      <c r="AT3886"/>
    </row>
    <row r="3887" spans="20:46" ht="16.8">
      <c r="T3887" s="112"/>
      <c r="U3887" s="113"/>
      <c r="AF3887" s="2"/>
      <c r="AG3887" s="2"/>
      <c r="AS3887"/>
      <c r="AT3887"/>
    </row>
    <row r="3888" spans="20:46" ht="16.8">
      <c r="T3888" s="112"/>
      <c r="U3888" s="113"/>
      <c r="AF3888" s="2"/>
      <c r="AG3888" s="2"/>
      <c r="AS3888"/>
      <c r="AT3888"/>
    </row>
    <row r="3889" spans="20:46" ht="16.8">
      <c r="T3889" s="112"/>
      <c r="U3889" s="113"/>
      <c r="AF3889" s="2"/>
      <c r="AG3889" s="2"/>
      <c r="AS3889"/>
      <c r="AT3889"/>
    </row>
    <row r="3890" spans="20:46" ht="16.8">
      <c r="T3890" s="112"/>
      <c r="U3890" s="113"/>
      <c r="AF3890" s="2"/>
      <c r="AG3890" s="2"/>
      <c r="AS3890"/>
      <c r="AT3890"/>
    </row>
    <row r="3891" spans="20:46" ht="16.8">
      <c r="T3891" s="112"/>
      <c r="U3891" s="113"/>
      <c r="AF3891" s="2"/>
      <c r="AG3891" s="2"/>
      <c r="AS3891"/>
      <c r="AT3891"/>
    </row>
    <row r="3892" spans="20:46" ht="16.8">
      <c r="T3892" s="112"/>
      <c r="U3892" s="113"/>
      <c r="AF3892" s="2"/>
      <c r="AG3892" s="2"/>
      <c r="AS3892"/>
      <c r="AT3892"/>
    </row>
    <row r="3893" spans="20:46" ht="16.8">
      <c r="T3893" s="112"/>
      <c r="U3893" s="113"/>
      <c r="AF3893" s="2"/>
      <c r="AG3893" s="2"/>
      <c r="AS3893"/>
      <c r="AT3893"/>
    </row>
    <row r="3894" spans="20:46" ht="16.8">
      <c r="T3894" s="112"/>
      <c r="U3894" s="113"/>
      <c r="AF3894" s="2"/>
      <c r="AG3894" s="2"/>
      <c r="AS3894"/>
      <c r="AT3894"/>
    </row>
    <row r="3895" spans="20:46" ht="16.8">
      <c r="T3895" s="112"/>
      <c r="U3895" s="113"/>
      <c r="AF3895" s="2"/>
      <c r="AG3895" s="2"/>
      <c r="AS3895"/>
      <c r="AT3895"/>
    </row>
    <row r="3896" spans="20:46" ht="16.8">
      <c r="T3896" s="112"/>
      <c r="U3896" s="113"/>
      <c r="AF3896" s="2"/>
      <c r="AG3896" s="2"/>
      <c r="AS3896"/>
      <c r="AT3896"/>
    </row>
    <row r="3897" spans="20:46" ht="16.8">
      <c r="T3897" s="112"/>
      <c r="U3897" s="113"/>
      <c r="AF3897" s="2"/>
      <c r="AG3897" s="2"/>
      <c r="AS3897"/>
      <c r="AT3897"/>
    </row>
    <row r="3898" spans="20:46" ht="16.8">
      <c r="T3898" s="112"/>
      <c r="U3898" s="113"/>
      <c r="AF3898" s="2"/>
      <c r="AG3898" s="2"/>
      <c r="AS3898"/>
      <c r="AT3898"/>
    </row>
    <row r="3899" spans="20:46" ht="16.8">
      <c r="T3899" s="112"/>
      <c r="U3899" s="113"/>
      <c r="AF3899" s="2"/>
      <c r="AG3899" s="2"/>
      <c r="AS3899"/>
      <c r="AT3899"/>
    </row>
    <row r="3900" spans="20:46" ht="16.8">
      <c r="T3900" s="112"/>
      <c r="U3900" s="113"/>
      <c r="AF3900" s="2"/>
      <c r="AG3900" s="2"/>
      <c r="AS3900"/>
      <c r="AT3900"/>
    </row>
    <row r="3901" spans="20:46" ht="16.8">
      <c r="T3901" s="112"/>
      <c r="U3901" s="113"/>
      <c r="AF3901" s="2"/>
      <c r="AG3901" s="2"/>
      <c r="AS3901"/>
      <c r="AT3901"/>
    </row>
    <row r="3902" spans="20:46" ht="16.8">
      <c r="T3902" s="112"/>
      <c r="U3902" s="113"/>
      <c r="AF3902" s="2"/>
      <c r="AG3902" s="2"/>
      <c r="AS3902"/>
      <c r="AT3902"/>
    </row>
    <row r="3903" spans="20:46" ht="16.8">
      <c r="T3903" s="112"/>
      <c r="U3903" s="113"/>
      <c r="AF3903" s="2"/>
      <c r="AG3903" s="2"/>
      <c r="AS3903"/>
      <c r="AT3903"/>
    </row>
    <row r="3904" spans="20:46" ht="16.8">
      <c r="T3904" s="112"/>
      <c r="U3904" s="113"/>
      <c r="AF3904" s="2"/>
      <c r="AG3904" s="2"/>
      <c r="AS3904"/>
      <c r="AT3904"/>
    </row>
    <row r="3905" spans="20:46" ht="16.8">
      <c r="T3905" s="112"/>
      <c r="U3905" s="113"/>
      <c r="AF3905" s="2"/>
      <c r="AG3905" s="2"/>
      <c r="AS3905"/>
      <c r="AT3905"/>
    </row>
    <row r="3906" spans="20:46" ht="16.8">
      <c r="T3906" s="112"/>
      <c r="U3906" s="113"/>
      <c r="AF3906" s="2"/>
      <c r="AG3906" s="2"/>
      <c r="AS3906"/>
      <c r="AT3906"/>
    </row>
    <row r="3907" spans="20:46" ht="16.8">
      <c r="T3907" s="112"/>
      <c r="U3907" s="113"/>
      <c r="AF3907" s="2"/>
      <c r="AG3907" s="2"/>
      <c r="AS3907"/>
      <c r="AT3907"/>
    </row>
    <row r="3908" spans="20:46" ht="16.8">
      <c r="T3908" s="112"/>
      <c r="U3908" s="113"/>
      <c r="AF3908" s="2"/>
      <c r="AG3908" s="2"/>
      <c r="AS3908"/>
      <c r="AT3908"/>
    </row>
    <row r="3909" spans="20:46" ht="16.8">
      <c r="T3909" s="112"/>
      <c r="U3909" s="113"/>
      <c r="AF3909" s="2"/>
      <c r="AG3909" s="2"/>
      <c r="AS3909"/>
      <c r="AT3909"/>
    </row>
    <row r="3910" spans="20:46" ht="16.8">
      <c r="T3910" s="112"/>
      <c r="U3910" s="113"/>
      <c r="AF3910" s="2"/>
      <c r="AG3910" s="2"/>
      <c r="AS3910"/>
      <c r="AT3910"/>
    </row>
    <row r="3911" spans="20:46" ht="16.8">
      <c r="T3911" s="112"/>
      <c r="U3911" s="113"/>
      <c r="AF3911" s="2"/>
      <c r="AG3911" s="2"/>
      <c r="AS3911"/>
      <c r="AT3911"/>
    </row>
    <row r="3912" spans="20:46" ht="16.8">
      <c r="T3912" s="112"/>
      <c r="U3912" s="113"/>
      <c r="AF3912" s="2"/>
      <c r="AG3912" s="2"/>
      <c r="AS3912"/>
      <c r="AT3912"/>
    </row>
    <row r="3913" spans="20:46" ht="16.8">
      <c r="T3913" s="112"/>
      <c r="U3913" s="113"/>
      <c r="AF3913" s="2"/>
      <c r="AG3913" s="2"/>
      <c r="AS3913"/>
      <c r="AT3913"/>
    </row>
    <row r="3914" spans="20:46" ht="16.8">
      <c r="T3914" s="112"/>
      <c r="U3914" s="113"/>
      <c r="AF3914" s="2"/>
      <c r="AG3914" s="2"/>
      <c r="AS3914"/>
      <c r="AT3914"/>
    </row>
    <row r="3915" spans="20:46" ht="16.8">
      <c r="T3915" s="112"/>
      <c r="U3915" s="113"/>
      <c r="AF3915" s="2"/>
      <c r="AG3915" s="2"/>
      <c r="AS3915"/>
      <c r="AT3915"/>
    </row>
    <row r="3916" spans="20:46" ht="16.8">
      <c r="T3916" s="112"/>
      <c r="U3916" s="113"/>
      <c r="AF3916" s="2"/>
      <c r="AG3916" s="2"/>
      <c r="AS3916"/>
      <c r="AT3916"/>
    </row>
    <row r="3917" spans="20:46" ht="16.8">
      <c r="T3917" s="112"/>
      <c r="U3917" s="113"/>
      <c r="AF3917" s="2"/>
      <c r="AG3917" s="2"/>
      <c r="AS3917"/>
      <c r="AT3917"/>
    </row>
    <row r="3918" spans="20:46" ht="16.8">
      <c r="T3918" s="112"/>
      <c r="U3918" s="113"/>
      <c r="AF3918" s="2"/>
      <c r="AG3918" s="2"/>
      <c r="AS3918"/>
      <c r="AT3918"/>
    </row>
    <row r="3919" spans="20:46" ht="16.8">
      <c r="T3919" s="112"/>
      <c r="U3919" s="113"/>
      <c r="AF3919" s="2"/>
      <c r="AG3919" s="2"/>
      <c r="AS3919"/>
      <c r="AT3919"/>
    </row>
    <row r="3920" spans="20:46" ht="16.8">
      <c r="T3920" s="112"/>
      <c r="U3920" s="113"/>
      <c r="AF3920" s="2"/>
      <c r="AG3920" s="2"/>
      <c r="AS3920"/>
      <c r="AT3920"/>
    </row>
    <row r="3921" spans="20:46" ht="16.8">
      <c r="T3921" s="112"/>
      <c r="U3921" s="113"/>
      <c r="AF3921" s="2"/>
      <c r="AG3921" s="2"/>
      <c r="AS3921"/>
      <c r="AT3921"/>
    </row>
    <row r="3922" spans="20:46" ht="16.8">
      <c r="T3922" s="112"/>
      <c r="U3922" s="113"/>
      <c r="AF3922" s="2"/>
      <c r="AG3922" s="2"/>
      <c r="AS3922"/>
      <c r="AT3922"/>
    </row>
    <row r="3923" spans="20:46" ht="16.8">
      <c r="T3923" s="112"/>
      <c r="U3923" s="113"/>
      <c r="AF3923" s="2"/>
      <c r="AG3923" s="2"/>
      <c r="AS3923"/>
      <c r="AT3923"/>
    </row>
    <row r="3924" spans="20:46" ht="16.8">
      <c r="T3924" s="112"/>
      <c r="U3924" s="113"/>
      <c r="AF3924" s="2"/>
      <c r="AG3924" s="2"/>
      <c r="AS3924"/>
      <c r="AT3924"/>
    </row>
    <row r="3925" spans="20:46" ht="16.8">
      <c r="T3925" s="112"/>
      <c r="U3925" s="113"/>
      <c r="AF3925" s="2"/>
      <c r="AG3925" s="2"/>
      <c r="AS3925"/>
      <c r="AT3925"/>
    </row>
    <row r="3926" spans="20:46" ht="16.8">
      <c r="T3926" s="112"/>
      <c r="U3926" s="113"/>
      <c r="AF3926" s="2"/>
      <c r="AG3926" s="2"/>
      <c r="AS3926"/>
      <c r="AT3926"/>
    </row>
    <row r="3927" spans="20:46" ht="16.8">
      <c r="T3927" s="112"/>
      <c r="U3927" s="113"/>
      <c r="AF3927" s="2"/>
      <c r="AG3927" s="2"/>
      <c r="AS3927"/>
      <c r="AT3927"/>
    </row>
    <row r="3928" spans="20:46" ht="16.8">
      <c r="T3928" s="112"/>
      <c r="U3928" s="113"/>
      <c r="AF3928" s="2"/>
      <c r="AG3928" s="2"/>
      <c r="AS3928"/>
      <c r="AT3928"/>
    </row>
    <row r="3929" spans="20:46" ht="16.8">
      <c r="T3929" s="112"/>
      <c r="U3929" s="113"/>
      <c r="AF3929" s="2"/>
      <c r="AG3929" s="2"/>
      <c r="AS3929"/>
      <c r="AT3929"/>
    </row>
    <row r="3930" spans="20:46" ht="16.8">
      <c r="T3930" s="112"/>
      <c r="U3930" s="113"/>
      <c r="AF3930" s="2"/>
      <c r="AG3930" s="2"/>
      <c r="AS3930"/>
      <c r="AT3930"/>
    </row>
    <row r="3931" spans="20:46" ht="16.8">
      <c r="T3931" s="112"/>
      <c r="U3931" s="113"/>
      <c r="AF3931" s="2"/>
      <c r="AG3931" s="2"/>
      <c r="AS3931"/>
      <c r="AT3931"/>
    </row>
    <row r="3932" spans="20:46" ht="16.8">
      <c r="T3932" s="112"/>
      <c r="U3932" s="113"/>
      <c r="AF3932" s="2"/>
      <c r="AG3932" s="2"/>
      <c r="AS3932"/>
      <c r="AT3932"/>
    </row>
    <row r="3933" spans="20:46" ht="16.8">
      <c r="T3933" s="112"/>
      <c r="U3933" s="113"/>
      <c r="AF3933" s="2"/>
      <c r="AG3933" s="2"/>
      <c r="AS3933"/>
      <c r="AT3933"/>
    </row>
    <row r="3934" spans="20:46" ht="16.8">
      <c r="T3934" s="112"/>
      <c r="U3934" s="113"/>
      <c r="AF3934" s="2"/>
      <c r="AG3934" s="2"/>
      <c r="AS3934"/>
      <c r="AT3934"/>
    </row>
    <row r="3935" spans="20:46" ht="16.8">
      <c r="T3935" s="112"/>
      <c r="U3935" s="113"/>
      <c r="AF3935" s="2"/>
      <c r="AG3935" s="2"/>
      <c r="AS3935"/>
      <c r="AT3935"/>
    </row>
    <row r="3936" spans="20:46" ht="16.8">
      <c r="T3936" s="112"/>
      <c r="U3936" s="113"/>
      <c r="AF3936" s="2"/>
      <c r="AG3936" s="2"/>
      <c r="AS3936"/>
      <c r="AT3936"/>
    </row>
    <row r="3937" spans="20:46" ht="16.8">
      <c r="T3937" s="112"/>
      <c r="U3937" s="113"/>
      <c r="AF3937" s="2"/>
      <c r="AG3937" s="2"/>
      <c r="AS3937"/>
      <c r="AT3937"/>
    </row>
    <row r="3938" spans="20:46" ht="16.8">
      <c r="T3938" s="112"/>
      <c r="U3938" s="113"/>
      <c r="AF3938" s="2"/>
      <c r="AG3938" s="2"/>
      <c r="AS3938"/>
      <c r="AT3938"/>
    </row>
    <row r="3939" spans="20:46" ht="16.8">
      <c r="T3939" s="112"/>
      <c r="U3939" s="113"/>
      <c r="AF3939" s="2"/>
      <c r="AG3939" s="2"/>
      <c r="AS3939"/>
      <c r="AT3939"/>
    </row>
    <row r="3940" spans="20:46" ht="16.8">
      <c r="T3940" s="112"/>
      <c r="U3940" s="113"/>
      <c r="AF3940" s="2"/>
      <c r="AG3940" s="2"/>
      <c r="AS3940"/>
      <c r="AT3940"/>
    </row>
    <row r="3941" spans="20:46" ht="16.8">
      <c r="T3941" s="112"/>
      <c r="U3941" s="113"/>
      <c r="AF3941" s="2"/>
      <c r="AG3941" s="2"/>
      <c r="AS3941"/>
      <c r="AT3941"/>
    </row>
    <row r="3942" spans="20:46" ht="16.8">
      <c r="T3942" s="112"/>
      <c r="U3942" s="113"/>
      <c r="AF3942" s="2"/>
      <c r="AG3942" s="2"/>
      <c r="AS3942"/>
      <c r="AT3942"/>
    </row>
    <row r="3943" spans="20:46" ht="16.8">
      <c r="T3943" s="112"/>
      <c r="U3943" s="113"/>
      <c r="AF3943" s="2"/>
      <c r="AG3943" s="2"/>
      <c r="AS3943"/>
      <c r="AT3943"/>
    </row>
    <row r="3944" spans="20:46" ht="16.8">
      <c r="T3944" s="112"/>
      <c r="U3944" s="113"/>
      <c r="AF3944" s="2"/>
      <c r="AG3944" s="2"/>
      <c r="AS3944"/>
      <c r="AT3944"/>
    </row>
    <row r="3945" spans="20:46" ht="16.8">
      <c r="T3945" s="112"/>
      <c r="U3945" s="113"/>
      <c r="AF3945" s="2"/>
      <c r="AG3945" s="2"/>
      <c r="AS3945"/>
      <c r="AT3945"/>
    </row>
    <row r="3946" spans="20:46" ht="16.8">
      <c r="T3946" s="112"/>
      <c r="U3946" s="113"/>
      <c r="AF3946" s="2"/>
      <c r="AG3946" s="2"/>
      <c r="AS3946"/>
      <c r="AT3946"/>
    </row>
    <row r="3947" spans="20:46" ht="16.8">
      <c r="T3947" s="112"/>
      <c r="U3947" s="113"/>
      <c r="AF3947" s="2"/>
      <c r="AG3947" s="2"/>
      <c r="AS3947"/>
      <c r="AT3947"/>
    </row>
    <row r="3948" spans="20:46" ht="16.8">
      <c r="T3948" s="112"/>
      <c r="U3948" s="113"/>
      <c r="AF3948" s="2"/>
      <c r="AG3948" s="2"/>
      <c r="AS3948"/>
      <c r="AT3948"/>
    </row>
    <row r="3949" spans="20:46" ht="16.8">
      <c r="T3949" s="112"/>
      <c r="U3949" s="113"/>
      <c r="AF3949" s="2"/>
      <c r="AG3949" s="2"/>
      <c r="AS3949"/>
      <c r="AT3949"/>
    </row>
    <row r="3950" spans="20:46" ht="16.8">
      <c r="T3950" s="112"/>
      <c r="U3950" s="113"/>
      <c r="AF3950" s="2"/>
      <c r="AG3950" s="2"/>
      <c r="AS3950"/>
      <c r="AT3950"/>
    </row>
    <row r="3951" spans="20:46" ht="16.8">
      <c r="T3951" s="112"/>
      <c r="U3951" s="113"/>
      <c r="AF3951" s="2"/>
      <c r="AG3951" s="2"/>
      <c r="AS3951"/>
      <c r="AT3951"/>
    </row>
    <row r="3952" spans="20:46" ht="16.8">
      <c r="T3952" s="112"/>
      <c r="U3952" s="113"/>
      <c r="AF3952" s="2"/>
      <c r="AG3952" s="2"/>
      <c r="AS3952"/>
      <c r="AT3952"/>
    </row>
    <row r="3953" spans="20:46" ht="16.8">
      <c r="T3953" s="112"/>
      <c r="U3953" s="113"/>
      <c r="AF3953" s="2"/>
      <c r="AG3953" s="2"/>
      <c r="AS3953"/>
      <c r="AT3953"/>
    </row>
    <row r="3954" spans="20:46" ht="16.8">
      <c r="T3954" s="112"/>
      <c r="U3954" s="113"/>
      <c r="AF3954" s="2"/>
      <c r="AG3954" s="2"/>
      <c r="AS3954"/>
      <c r="AT3954"/>
    </row>
    <row r="3955" spans="20:46" ht="16.8">
      <c r="T3955" s="112"/>
      <c r="U3955" s="113"/>
      <c r="AF3955" s="2"/>
      <c r="AG3955" s="2"/>
      <c r="AS3955"/>
      <c r="AT3955"/>
    </row>
    <row r="3956" spans="20:46" ht="16.8">
      <c r="T3956" s="112"/>
      <c r="U3956" s="113"/>
      <c r="AF3956" s="2"/>
      <c r="AG3956" s="2"/>
      <c r="AS3956"/>
      <c r="AT3956"/>
    </row>
    <row r="3957" spans="20:46" ht="16.8">
      <c r="T3957" s="112"/>
      <c r="U3957" s="113"/>
      <c r="AF3957" s="2"/>
      <c r="AG3957" s="2"/>
      <c r="AS3957"/>
      <c r="AT3957"/>
    </row>
    <row r="3958" spans="20:46" ht="16.8">
      <c r="T3958" s="112"/>
      <c r="U3958" s="113"/>
      <c r="AF3958" s="2"/>
      <c r="AG3958" s="2"/>
      <c r="AS3958"/>
      <c r="AT3958"/>
    </row>
    <row r="3959" spans="20:46" ht="16.8">
      <c r="T3959" s="112"/>
      <c r="U3959" s="113"/>
      <c r="AF3959" s="2"/>
      <c r="AG3959" s="2"/>
      <c r="AS3959"/>
      <c r="AT3959"/>
    </row>
    <row r="3960" spans="20:46" ht="16.8">
      <c r="T3960" s="112"/>
      <c r="U3960" s="113"/>
      <c r="AF3960" s="2"/>
      <c r="AG3960" s="2"/>
      <c r="AS3960"/>
      <c r="AT3960"/>
    </row>
    <row r="3961" spans="20:46" ht="16.8">
      <c r="T3961" s="112"/>
      <c r="U3961" s="113"/>
      <c r="AF3961" s="2"/>
      <c r="AG3961" s="2"/>
      <c r="AS3961"/>
      <c r="AT3961"/>
    </row>
    <row r="3962" spans="20:46" ht="16.8">
      <c r="T3962" s="112"/>
      <c r="U3962" s="113"/>
      <c r="AF3962" s="2"/>
      <c r="AG3962" s="2"/>
      <c r="AS3962"/>
      <c r="AT3962"/>
    </row>
    <row r="3963" spans="20:46" ht="16.8">
      <c r="T3963" s="112"/>
      <c r="U3963" s="113"/>
      <c r="AF3963" s="2"/>
      <c r="AG3963" s="2"/>
      <c r="AS3963"/>
      <c r="AT3963"/>
    </row>
    <row r="3964" spans="20:46" ht="16.8">
      <c r="T3964" s="112"/>
      <c r="U3964" s="113"/>
      <c r="AF3964" s="2"/>
      <c r="AG3964" s="2"/>
      <c r="AS3964"/>
      <c r="AT3964"/>
    </row>
    <row r="3965" spans="20:46" ht="16.8">
      <c r="T3965" s="112"/>
      <c r="U3965" s="113"/>
      <c r="AF3965" s="2"/>
      <c r="AG3965" s="2"/>
      <c r="AS3965"/>
      <c r="AT3965"/>
    </row>
    <row r="3966" spans="20:46" ht="16.8">
      <c r="T3966" s="112"/>
      <c r="U3966" s="113"/>
      <c r="AF3966" s="2"/>
      <c r="AG3966" s="2"/>
      <c r="AS3966"/>
      <c r="AT3966"/>
    </row>
    <row r="3967" spans="20:46" ht="16.8">
      <c r="T3967" s="112"/>
      <c r="U3967" s="113"/>
      <c r="AF3967" s="2"/>
      <c r="AG3967" s="2"/>
      <c r="AS3967"/>
      <c r="AT3967"/>
    </row>
  </sheetData>
  <mergeCells count="4">
    <mergeCell ref="Y3:Z3"/>
    <mergeCell ref="Y1:Z2"/>
    <mergeCell ref="Y4:Z6"/>
    <mergeCell ref="V5:X6"/>
  </mergeCells>
  <phoneticPr fontId="40" type="noConversion"/>
  <pageMargins left="0.7" right="0.7" top="0.75" bottom="0.75" header="0.3" footer="0.3"/>
  <pageSetup paperSize="9" scale="59" orientation="landscape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S419"/>
  <sheetViews>
    <sheetView topLeftCell="A133" zoomScale="85" zoomScaleNormal="85" workbookViewId="0">
      <selection activeCell="B141" sqref="B141"/>
    </sheetView>
  </sheetViews>
  <sheetFormatPr defaultColWidth="9" defaultRowHeight="14.4"/>
  <cols>
    <col min="1" max="1" width="9.88671875" style="2" customWidth="1"/>
    <col min="2" max="2" width="10.6640625" customWidth="1"/>
    <col min="3" max="3" width="12" customWidth="1"/>
    <col min="4" max="4" width="35.44140625" customWidth="1"/>
    <col min="5" max="5" width="17.6640625" customWidth="1"/>
    <col min="6" max="6" width="17.6640625" hidden="1" customWidth="1"/>
    <col min="7" max="7" width="22.109375" customWidth="1"/>
    <col min="8" max="8" width="14.5546875" customWidth="1"/>
    <col min="9" max="9" width="11.5546875" customWidth="1"/>
    <col min="10" max="10" width="11.33203125" customWidth="1"/>
    <col min="11" max="11" width="11.88671875" customWidth="1"/>
    <col min="13" max="13" width="13.33203125" customWidth="1"/>
    <col min="19" max="19" width="10.6640625" customWidth="1"/>
  </cols>
  <sheetData>
    <row r="1" spans="2:19">
      <c r="F1" s="2" t="s">
        <v>80</v>
      </c>
      <c r="G1" s="2" t="s">
        <v>80</v>
      </c>
    </row>
    <row r="2" spans="2:19">
      <c r="B2" s="76" t="s">
        <v>31</v>
      </c>
      <c r="C2" s="74" t="s">
        <v>81</v>
      </c>
      <c r="D2" s="74" t="s">
        <v>82</v>
      </c>
      <c r="E2" s="74" t="s">
        <v>83</v>
      </c>
      <c r="F2" s="77" t="s">
        <v>84</v>
      </c>
      <c r="G2" s="77" t="s">
        <v>85</v>
      </c>
      <c r="H2" s="74" t="s">
        <v>86</v>
      </c>
      <c r="I2" s="74" t="s">
        <v>32</v>
      </c>
      <c r="J2" s="74" t="s">
        <v>59</v>
      </c>
      <c r="K2" s="74" t="s">
        <v>60</v>
      </c>
      <c r="S2" s="1">
        <v>45292</v>
      </c>
    </row>
    <row r="3" spans="2:19">
      <c r="B3" s="23">
        <v>45840</v>
      </c>
      <c r="C3" s="24" t="s">
        <v>87</v>
      </c>
      <c r="D3" s="24" t="s">
        <v>88</v>
      </c>
      <c r="E3" s="78">
        <v>2967</v>
      </c>
      <c r="F3" s="79"/>
      <c r="G3" s="72" t="s">
        <v>89</v>
      </c>
      <c r="H3" s="24" t="s">
        <v>90</v>
      </c>
      <c r="I3" s="24" t="s">
        <v>67</v>
      </c>
      <c r="J3" s="74">
        <v>2025</v>
      </c>
      <c r="K3" s="74" t="s">
        <v>68</v>
      </c>
      <c r="S3" s="1">
        <v>45293</v>
      </c>
    </row>
    <row r="4" spans="2:19">
      <c r="B4" s="23">
        <v>45840</v>
      </c>
      <c r="C4" s="24" t="s">
        <v>87</v>
      </c>
      <c r="D4" s="24" t="s">
        <v>91</v>
      </c>
      <c r="E4" s="78">
        <v>2567</v>
      </c>
      <c r="F4" s="78"/>
      <c r="G4" s="24" t="s">
        <v>89</v>
      </c>
      <c r="H4" s="24" t="s">
        <v>90</v>
      </c>
      <c r="I4" s="24" t="s">
        <v>67</v>
      </c>
      <c r="J4" s="74">
        <v>2025</v>
      </c>
      <c r="K4" s="74" t="s">
        <v>68</v>
      </c>
      <c r="S4" s="1">
        <v>45294</v>
      </c>
    </row>
    <row r="5" spans="2:19">
      <c r="B5" s="23">
        <v>45840</v>
      </c>
      <c r="C5" s="24" t="s">
        <v>87</v>
      </c>
      <c r="D5" s="24" t="s">
        <v>92</v>
      </c>
      <c r="E5" s="78">
        <v>2600</v>
      </c>
      <c r="F5" s="78"/>
      <c r="G5" s="24" t="s">
        <v>89</v>
      </c>
      <c r="H5" s="24" t="s">
        <v>90</v>
      </c>
      <c r="I5" s="24" t="s">
        <v>67</v>
      </c>
      <c r="J5" s="74">
        <v>2025</v>
      </c>
      <c r="K5" s="74" t="s">
        <v>68</v>
      </c>
      <c r="S5" s="1">
        <v>45295</v>
      </c>
    </row>
    <row r="6" spans="2:19">
      <c r="B6" s="23">
        <v>45840</v>
      </c>
      <c r="C6" s="24" t="s">
        <v>87</v>
      </c>
      <c r="D6" s="24" t="s">
        <v>93</v>
      </c>
      <c r="E6" s="78">
        <v>4000</v>
      </c>
      <c r="F6" s="78"/>
      <c r="G6" s="24" t="s">
        <v>89</v>
      </c>
      <c r="H6" s="24" t="s">
        <v>90</v>
      </c>
      <c r="I6" s="24" t="s">
        <v>67</v>
      </c>
      <c r="J6" s="74">
        <v>2025</v>
      </c>
      <c r="K6" s="74" t="s">
        <v>68</v>
      </c>
      <c r="S6" s="1">
        <v>45296</v>
      </c>
    </row>
    <row r="7" spans="2:19">
      <c r="B7" s="23">
        <v>45840</v>
      </c>
      <c r="C7" s="24" t="s">
        <v>87</v>
      </c>
      <c r="D7" s="24" t="s">
        <v>94</v>
      </c>
      <c r="E7" s="78">
        <v>3200</v>
      </c>
      <c r="F7" s="78"/>
      <c r="G7" s="24" t="s">
        <v>89</v>
      </c>
      <c r="H7" s="24" t="s">
        <v>90</v>
      </c>
      <c r="I7" s="24" t="s">
        <v>67</v>
      </c>
      <c r="J7" s="74">
        <v>2025</v>
      </c>
      <c r="K7" s="74" t="s">
        <v>68</v>
      </c>
      <c r="S7" s="1">
        <v>45297</v>
      </c>
    </row>
    <row r="8" spans="2:19">
      <c r="B8" s="23">
        <v>45841</v>
      </c>
      <c r="C8" s="24" t="s">
        <v>87</v>
      </c>
      <c r="D8" s="24" t="s">
        <v>95</v>
      </c>
      <c r="E8" s="78">
        <v>869.15</v>
      </c>
      <c r="F8" s="79"/>
      <c r="G8" s="72" t="s">
        <v>89</v>
      </c>
      <c r="H8" s="24" t="s">
        <v>90</v>
      </c>
      <c r="I8" s="24" t="s">
        <v>67</v>
      </c>
      <c r="J8" s="74">
        <v>2025</v>
      </c>
      <c r="K8" s="74" t="s">
        <v>68</v>
      </c>
      <c r="S8" s="1">
        <v>45298</v>
      </c>
    </row>
    <row r="9" spans="2:19">
      <c r="B9" s="23">
        <v>45841</v>
      </c>
      <c r="C9" s="24" t="s">
        <v>87</v>
      </c>
      <c r="D9" s="24" t="s">
        <v>96</v>
      </c>
      <c r="E9" s="78">
        <v>760</v>
      </c>
      <c r="F9" s="78"/>
      <c r="G9" s="24" t="s">
        <v>97</v>
      </c>
      <c r="H9" s="24" t="s">
        <v>90</v>
      </c>
      <c r="I9" s="24" t="s">
        <v>67</v>
      </c>
      <c r="J9" s="74">
        <v>2025</v>
      </c>
      <c r="K9" s="74" t="s">
        <v>68</v>
      </c>
      <c r="S9" s="1">
        <v>45299</v>
      </c>
    </row>
    <row r="10" spans="2:19">
      <c r="B10" s="23">
        <v>45841</v>
      </c>
      <c r="C10" s="24" t="s">
        <v>87</v>
      </c>
      <c r="D10" s="24" t="s">
        <v>98</v>
      </c>
      <c r="E10" s="78">
        <v>1746</v>
      </c>
      <c r="F10" s="78"/>
      <c r="G10" s="24" t="s">
        <v>97</v>
      </c>
      <c r="H10" s="24" t="s">
        <v>90</v>
      </c>
      <c r="I10" s="24" t="s">
        <v>67</v>
      </c>
      <c r="J10" s="74">
        <v>2025</v>
      </c>
      <c r="K10" s="74" t="s">
        <v>68</v>
      </c>
      <c r="S10" s="1">
        <v>45300</v>
      </c>
    </row>
    <row r="11" spans="2:19">
      <c r="B11" s="23">
        <v>45841</v>
      </c>
      <c r="C11" s="24" t="s">
        <v>87</v>
      </c>
      <c r="D11" s="24" t="s">
        <v>99</v>
      </c>
      <c r="E11" s="78">
        <v>4590.8</v>
      </c>
      <c r="F11" s="78"/>
      <c r="G11" s="24" t="s">
        <v>97</v>
      </c>
      <c r="H11" s="24" t="s">
        <v>90</v>
      </c>
      <c r="I11" s="24" t="s">
        <v>67</v>
      </c>
      <c r="J11" s="74">
        <v>2025</v>
      </c>
      <c r="K11" s="74" t="s">
        <v>68</v>
      </c>
      <c r="S11" s="1">
        <v>45301</v>
      </c>
    </row>
    <row r="12" spans="2:19">
      <c r="B12" s="23">
        <v>45841</v>
      </c>
      <c r="C12" s="24" t="s">
        <v>87</v>
      </c>
      <c r="D12" s="24" t="s">
        <v>100</v>
      </c>
      <c r="E12" s="78">
        <v>761.16</v>
      </c>
      <c r="F12" s="78"/>
      <c r="G12" s="24" t="s">
        <v>89</v>
      </c>
      <c r="H12" s="24" t="s">
        <v>90</v>
      </c>
      <c r="I12" s="24" t="s">
        <v>67</v>
      </c>
      <c r="J12" s="74">
        <v>2025</v>
      </c>
      <c r="K12" s="74" t="s">
        <v>68</v>
      </c>
      <c r="S12" s="1">
        <v>45302</v>
      </c>
    </row>
    <row r="13" spans="2:19">
      <c r="B13" s="23">
        <v>45841</v>
      </c>
      <c r="C13" s="24" t="s">
        <v>87</v>
      </c>
      <c r="D13" s="24" t="s">
        <v>101</v>
      </c>
      <c r="E13" s="78">
        <v>1966.5</v>
      </c>
      <c r="F13" s="78"/>
      <c r="G13" s="24" t="s">
        <v>62</v>
      </c>
      <c r="H13" s="24" t="s">
        <v>90</v>
      </c>
      <c r="I13" s="24" t="s">
        <v>67</v>
      </c>
      <c r="J13" s="74">
        <v>2025</v>
      </c>
      <c r="K13" s="74" t="s">
        <v>68</v>
      </c>
      <c r="S13" s="1">
        <v>45303</v>
      </c>
    </row>
    <row r="14" spans="2:19">
      <c r="B14" s="23">
        <v>45841</v>
      </c>
      <c r="C14" s="24" t="s">
        <v>87</v>
      </c>
      <c r="D14" s="24" t="s">
        <v>102</v>
      </c>
      <c r="E14" s="78">
        <v>11348</v>
      </c>
      <c r="F14" s="78"/>
      <c r="G14" s="24" t="s">
        <v>103</v>
      </c>
      <c r="H14" s="24" t="s">
        <v>90</v>
      </c>
      <c r="I14" s="24" t="s">
        <v>67</v>
      </c>
      <c r="J14" s="74">
        <v>2025</v>
      </c>
      <c r="K14" s="74" t="s">
        <v>68</v>
      </c>
      <c r="S14" s="1">
        <v>45304</v>
      </c>
    </row>
    <row r="15" spans="2:19">
      <c r="B15" s="23">
        <v>45841</v>
      </c>
      <c r="C15" s="24" t="s">
        <v>87</v>
      </c>
      <c r="D15" s="24" t="s">
        <v>101</v>
      </c>
      <c r="E15" s="78">
        <v>900</v>
      </c>
      <c r="F15" s="78"/>
      <c r="G15" s="24" t="s">
        <v>62</v>
      </c>
      <c r="H15" s="24" t="s">
        <v>90</v>
      </c>
      <c r="I15" s="24" t="s">
        <v>67</v>
      </c>
      <c r="J15" s="74">
        <v>2025</v>
      </c>
      <c r="K15" s="74" t="s">
        <v>68</v>
      </c>
      <c r="S15" s="1">
        <v>45305</v>
      </c>
    </row>
    <row r="16" spans="2:19">
      <c r="B16" s="23">
        <v>45841</v>
      </c>
      <c r="C16" s="24" t="s">
        <v>87</v>
      </c>
      <c r="D16" s="24" t="s">
        <v>104</v>
      </c>
      <c r="E16" s="78">
        <v>1494</v>
      </c>
      <c r="F16" s="78"/>
      <c r="G16" s="24" t="s">
        <v>89</v>
      </c>
      <c r="H16" s="24" t="s">
        <v>90</v>
      </c>
      <c r="I16" s="24" t="s">
        <v>67</v>
      </c>
      <c r="J16" s="74">
        <v>2025</v>
      </c>
      <c r="K16" s="74" t="s">
        <v>68</v>
      </c>
      <c r="M16" s="83"/>
      <c r="S16" s="1">
        <v>45306</v>
      </c>
    </row>
    <row r="17" spans="2:19">
      <c r="B17" s="23">
        <v>45841</v>
      </c>
      <c r="C17" s="24" t="s">
        <v>87</v>
      </c>
      <c r="D17" s="24" t="s">
        <v>101</v>
      </c>
      <c r="E17" s="78">
        <v>0</v>
      </c>
      <c r="F17" s="78"/>
      <c r="G17" s="24" t="s">
        <v>105</v>
      </c>
      <c r="H17" s="24" t="s">
        <v>90</v>
      </c>
      <c r="I17" s="24" t="s">
        <v>67</v>
      </c>
      <c r="J17" s="74">
        <v>2025</v>
      </c>
      <c r="K17" s="74" t="s">
        <v>68</v>
      </c>
      <c r="M17" s="83"/>
      <c r="S17" s="1">
        <v>45307</v>
      </c>
    </row>
    <row r="18" spans="2:19">
      <c r="B18" s="23">
        <v>45841</v>
      </c>
      <c r="C18" s="24" t="s">
        <v>87</v>
      </c>
      <c r="D18" s="24" t="s">
        <v>106</v>
      </c>
      <c r="E18" s="78">
        <v>11348.9</v>
      </c>
      <c r="F18" s="78"/>
      <c r="G18" s="24" t="s">
        <v>107</v>
      </c>
      <c r="H18" s="24" t="s">
        <v>90</v>
      </c>
      <c r="I18" s="24" t="s">
        <v>67</v>
      </c>
      <c r="J18" s="74">
        <v>2025</v>
      </c>
      <c r="K18" s="74" t="s">
        <v>68</v>
      </c>
      <c r="M18" s="83"/>
      <c r="S18" s="1">
        <v>45308</v>
      </c>
    </row>
    <row r="19" spans="2:19">
      <c r="B19" s="23">
        <v>45841</v>
      </c>
      <c r="C19" s="24" t="s">
        <v>87</v>
      </c>
      <c r="D19" s="24" t="s">
        <v>108</v>
      </c>
      <c r="E19" s="78">
        <v>4000</v>
      </c>
      <c r="F19" s="78"/>
      <c r="G19" s="24" t="s">
        <v>89</v>
      </c>
      <c r="H19" s="24" t="s">
        <v>90</v>
      </c>
      <c r="I19" s="24" t="s">
        <v>67</v>
      </c>
      <c r="J19" s="74">
        <v>2025</v>
      </c>
      <c r="K19" s="74" t="s">
        <v>68</v>
      </c>
      <c r="M19" s="83"/>
      <c r="S19" s="1">
        <v>45309</v>
      </c>
    </row>
    <row r="20" spans="2:19">
      <c r="B20" s="23">
        <v>45841</v>
      </c>
      <c r="C20" s="24" t="s">
        <v>87</v>
      </c>
      <c r="D20" s="24" t="s">
        <v>109</v>
      </c>
      <c r="E20" s="78">
        <v>1374</v>
      </c>
      <c r="F20" s="79"/>
      <c r="G20" s="72" t="s">
        <v>89</v>
      </c>
      <c r="H20" s="24" t="s">
        <v>90</v>
      </c>
      <c r="I20" s="24" t="s">
        <v>67</v>
      </c>
      <c r="J20" s="74">
        <v>2025</v>
      </c>
      <c r="K20" s="74" t="s">
        <v>68</v>
      </c>
      <c r="M20" s="83"/>
      <c r="S20" s="1">
        <v>45310</v>
      </c>
    </row>
    <row r="21" spans="2:19">
      <c r="B21" s="23">
        <v>45841</v>
      </c>
      <c r="C21" s="24" t="s">
        <v>87</v>
      </c>
      <c r="D21" s="24" t="s">
        <v>110</v>
      </c>
      <c r="E21" s="80">
        <v>1672.41</v>
      </c>
      <c r="F21" s="80"/>
      <c r="G21" s="24" t="s">
        <v>111</v>
      </c>
      <c r="H21" s="24" t="s">
        <v>90</v>
      </c>
      <c r="I21" s="24" t="s">
        <v>67</v>
      </c>
      <c r="J21" s="74">
        <v>2025</v>
      </c>
      <c r="K21" s="74" t="s">
        <v>68</v>
      </c>
      <c r="M21" s="83"/>
      <c r="S21" s="1">
        <v>45311</v>
      </c>
    </row>
    <row r="22" spans="2:19">
      <c r="B22" s="23">
        <v>45841</v>
      </c>
      <c r="C22" s="24" t="s">
        <v>87</v>
      </c>
      <c r="D22" s="24" t="s">
        <v>112</v>
      </c>
      <c r="E22" s="80">
        <v>24275.19</v>
      </c>
      <c r="F22" s="81"/>
      <c r="G22" s="24" t="s">
        <v>113</v>
      </c>
      <c r="H22" s="24" t="s">
        <v>114</v>
      </c>
      <c r="I22" s="24" t="s">
        <v>67</v>
      </c>
      <c r="J22" s="24">
        <v>2025</v>
      </c>
      <c r="K22" s="74" t="s">
        <v>68</v>
      </c>
      <c r="M22" s="83"/>
      <c r="S22" s="1"/>
    </row>
    <row r="23" spans="2:19">
      <c r="B23" s="23">
        <v>45841</v>
      </c>
      <c r="C23" s="24" t="s">
        <v>87</v>
      </c>
      <c r="D23" s="24" t="s">
        <v>115</v>
      </c>
      <c r="E23" s="78">
        <v>685</v>
      </c>
      <c r="F23" s="78"/>
      <c r="G23" s="24" t="s">
        <v>97</v>
      </c>
      <c r="H23" s="24" t="s">
        <v>90</v>
      </c>
      <c r="I23" s="24" t="s">
        <v>67</v>
      </c>
      <c r="J23" s="74">
        <v>2025</v>
      </c>
      <c r="K23" s="74" t="s">
        <v>68</v>
      </c>
      <c r="M23" s="83"/>
      <c r="S23" s="1">
        <v>45312</v>
      </c>
    </row>
    <row r="24" spans="2:19">
      <c r="B24" s="23">
        <v>45841</v>
      </c>
      <c r="C24" s="24" t="s">
        <v>87</v>
      </c>
      <c r="D24" s="24" t="s">
        <v>116</v>
      </c>
      <c r="E24" s="78">
        <v>2881.53</v>
      </c>
      <c r="F24" s="78"/>
      <c r="G24" s="24" t="s">
        <v>89</v>
      </c>
      <c r="H24" s="24" t="s">
        <v>90</v>
      </c>
      <c r="I24" s="24" t="s">
        <v>67</v>
      </c>
      <c r="J24" s="74">
        <v>2025</v>
      </c>
      <c r="K24" s="74" t="s">
        <v>68</v>
      </c>
      <c r="M24" s="83"/>
      <c r="S24" s="1">
        <v>45313</v>
      </c>
    </row>
    <row r="25" spans="2:19">
      <c r="B25" s="23">
        <v>45841</v>
      </c>
      <c r="C25" s="24" t="s">
        <v>87</v>
      </c>
      <c r="D25" s="24" t="s">
        <v>98</v>
      </c>
      <c r="E25" s="78">
        <v>3313.45</v>
      </c>
      <c r="F25" s="78"/>
      <c r="G25" s="24" t="s">
        <v>97</v>
      </c>
      <c r="H25" s="24" t="s">
        <v>90</v>
      </c>
      <c r="I25" s="24" t="s">
        <v>67</v>
      </c>
      <c r="J25" s="74">
        <v>2025</v>
      </c>
      <c r="K25" s="74" t="s">
        <v>68</v>
      </c>
      <c r="M25" s="83"/>
      <c r="S25" s="1">
        <v>45314</v>
      </c>
    </row>
    <row r="26" spans="2:19">
      <c r="B26" s="23">
        <v>45841</v>
      </c>
      <c r="C26" s="24" t="s">
        <v>87</v>
      </c>
      <c r="D26" s="24" t="s">
        <v>117</v>
      </c>
      <c r="E26" s="78">
        <v>100</v>
      </c>
      <c r="F26" s="78"/>
      <c r="G26" s="24" t="s">
        <v>118</v>
      </c>
      <c r="H26" s="24" t="s">
        <v>90</v>
      </c>
      <c r="I26" s="24" t="s">
        <v>67</v>
      </c>
      <c r="J26" s="74">
        <v>2025</v>
      </c>
      <c r="K26" s="74" t="s">
        <v>68</v>
      </c>
      <c r="M26" s="83"/>
      <c r="S26" s="1">
        <v>45315</v>
      </c>
    </row>
    <row r="27" spans="2:19">
      <c r="B27" s="23">
        <v>45841</v>
      </c>
      <c r="C27" s="24" t="s">
        <v>87</v>
      </c>
      <c r="D27" s="24" t="s">
        <v>119</v>
      </c>
      <c r="E27" s="80">
        <v>944</v>
      </c>
      <c r="F27" s="80"/>
      <c r="G27" s="24" t="s">
        <v>89</v>
      </c>
      <c r="H27" s="24" t="s">
        <v>90</v>
      </c>
      <c r="I27" s="24" t="s">
        <v>67</v>
      </c>
      <c r="J27" s="74">
        <v>2025</v>
      </c>
      <c r="K27" s="74" t="s">
        <v>68</v>
      </c>
      <c r="M27" s="83"/>
      <c r="S27" s="1">
        <v>45316</v>
      </c>
    </row>
    <row r="28" spans="2:19">
      <c r="B28" s="23">
        <v>45841</v>
      </c>
      <c r="C28" s="24" t="s">
        <v>87</v>
      </c>
      <c r="D28" s="24" t="s">
        <v>120</v>
      </c>
      <c r="E28" s="80">
        <v>4200</v>
      </c>
      <c r="F28" s="80"/>
      <c r="G28" s="24" t="s">
        <v>97</v>
      </c>
      <c r="H28" s="24" t="s">
        <v>90</v>
      </c>
      <c r="I28" s="24" t="s">
        <v>67</v>
      </c>
      <c r="J28" s="74">
        <v>2025</v>
      </c>
      <c r="K28" s="74" t="s">
        <v>68</v>
      </c>
      <c r="M28" s="83"/>
      <c r="S28" s="1">
        <v>45317</v>
      </c>
    </row>
    <row r="29" spans="2:19">
      <c r="B29" s="23">
        <v>45841</v>
      </c>
      <c r="C29" s="24" t="s">
        <v>87</v>
      </c>
      <c r="D29" s="24" t="s">
        <v>121</v>
      </c>
      <c r="E29" s="80">
        <v>400</v>
      </c>
      <c r="F29" s="80"/>
      <c r="G29" s="24" t="s">
        <v>113</v>
      </c>
      <c r="H29" s="24" t="s">
        <v>90</v>
      </c>
      <c r="I29" s="24" t="s">
        <v>67</v>
      </c>
      <c r="J29" s="74">
        <v>2025</v>
      </c>
      <c r="K29" s="74" t="s">
        <v>68</v>
      </c>
      <c r="M29" s="55"/>
      <c r="S29" s="1">
        <v>45318</v>
      </c>
    </row>
    <row r="30" spans="2:19">
      <c r="B30" s="23">
        <v>45841</v>
      </c>
      <c r="C30" s="24" t="s">
        <v>87</v>
      </c>
      <c r="D30" s="24" t="s">
        <v>122</v>
      </c>
      <c r="E30" s="80">
        <v>3000</v>
      </c>
      <c r="F30" s="80"/>
      <c r="G30" s="24" t="s">
        <v>89</v>
      </c>
      <c r="H30" s="24" t="s">
        <v>90</v>
      </c>
      <c r="I30" s="24" t="s">
        <v>67</v>
      </c>
      <c r="J30" s="74">
        <v>2025</v>
      </c>
      <c r="K30" s="74" t="s">
        <v>68</v>
      </c>
      <c r="S30" s="1">
        <v>45319</v>
      </c>
    </row>
    <row r="31" spans="2:19">
      <c r="B31" s="23">
        <v>45841</v>
      </c>
      <c r="C31" s="24" t="s">
        <v>87</v>
      </c>
      <c r="D31" s="72" t="s">
        <v>123</v>
      </c>
      <c r="E31" s="81">
        <v>3212.3</v>
      </c>
      <c r="F31" s="81"/>
      <c r="G31" s="24" t="s">
        <v>89</v>
      </c>
      <c r="H31" s="24" t="s">
        <v>90</v>
      </c>
      <c r="I31" s="24" t="s">
        <v>67</v>
      </c>
      <c r="J31" s="74">
        <v>2025</v>
      </c>
      <c r="K31" s="74" t="s">
        <v>68</v>
      </c>
      <c r="S31" s="1">
        <v>45320</v>
      </c>
    </row>
    <row r="32" spans="2:19">
      <c r="B32" s="23">
        <v>45841</v>
      </c>
      <c r="C32" s="24" t="s">
        <v>87</v>
      </c>
      <c r="D32" s="72" t="s">
        <v>124</v>
      </c>
      <c r="E32" s="81">
        <v>3400</v>
      </c>
      <c r="F32" s="81"/>
      <c r="G32" s="24" t="s">
        <v>105</v>
      </c>
      <c r="H32" s="24" t="s">
        <v>90</v>
      </c>
      <c r="I32" s="24" t="s">
        <v>67</v>
      </c>
      <c r="J32" s="74">
        <v>2025</v>
      </c>
      <c r="K32" s="74" t="s">
        <v>68</v>
      </c>
      <c r="S32" s="1">
        <v>45321</v>
      </c>
    </row>
    <row r="33" spans="2:19">
      <c r="B33" s="23">
        <v>45841</v>
      </c>
      <c r="C33" s="24" t="s">
        <v>87</v>
      </c>
      <c r="D33" s="72" t="s">
        <v>125</v>
      </c>
      <c r="E33" s="81">
        <v>27475</v>
      </c>
      <c r="F33" s="81"/>
      <c r="G33" s="24" t="s">
        <v>126</v>
      </c>
      <c r="H33" s="24" t="s">
        <v>90</v>
      </c>
      <c r="I33" s="24" t="s">
        <v>67</v>
      </c>
      <c r="J33" s="74">
        <v>2025</v>
      </c>
      <c r="K33" s="74" t="s">
        <v>68</v>
      </c>
      <c r="S33" s="1">
        <v>45322</v>
      </c>
    </row>
    <row r="34" spans="2:19">
      <c r="B34" s="82">
        <v>45872</v>
      </c>
      <c r="C34" s="24" t="s">
        <v>87</v>
      </c>
      <c r="D34" s="72" t="s">
        <v>127</v>
      </c>
      <c r="E34" s="81">
        <v>1290</v>
      </c>
      <c r="F34" s="81"/>
      <c r="G34" s="24" t="s">
        <v>118</v>
      </c>
      <c r="H34" s="24" t="s">
        <v>90</v>
      </c>
      <c r="I34" s="24" t="s">
        <v>70</v>
      </c>
      <c r="J34" s="74">
        <v>2025</v>
      </c>
      <c r="K34" s="74" t="s">
        <v>68</v>
      </c>
      <c r="S34" s="1">
        <v>45323</v>
      </c>
    </row>
    <row r="35" spans="2:19">
      <c r="B35" s="82">
        <v>45872</v>
      </c>
      <c r="C35" s="24" t="s">
        <v>87</v>
      </c>
      <c r="D35" s="72" t="s">
        <v>128</v>
      </c>
      <c r="E35" s="81">
        <v>867</v>
      </c>
      <c r="F35" s="81"/>
      <c r="G35" s="24" t="s">
        <v>97</v>
      </c>
      <c r="H35" s="24" t="s">
        <v>90</v>
      </c>
      <c r="I35" s="24" t="s">
        <v>70</v>
      </c>
      <c r="J35" s="74">
        <v>2025</v>
      </c>
      <c r="K35" s="74" t="s">
        <v>68</v>
      </c>
      <c r="S35" s="1">
        <v>45324</v>
      </c>
    </row>
    <row r="36" spans="2:19">
      <c r="B36" s="82">
        <v>45872</v>
      </c>
      <c r="C36" s="24" t="s">
        <v>87</v>
      </c>
      <c r="D36" s="72" t="s">
        <v>129</v>
      </c>
      <c r="E36" s="80">
        <v>1427</v>
      </c>
      <c r="F36" s="80"/>
      <c r="G36" s="24" t="s">
        <v>97</v>
      </c>
      <c r="H36" s="24" t="s">
        <v>90</v>
      </c>
      <c r="I36" s="24" t="s">
        <v>70</v>
      </c>
      <c r="J36" s="74">
        <v>2025</v>
      </c>
      <c r="K36" s="74" t="s">
        <v>68</v>
      </c>
      <c r="S36" s="1">
        <v>45325</v>
      </c>
    </row>
    <row r="37" spans="2:19">
      <c r="B37" s="82">
        <v>45872</v>
      </c>
      <c r="C37" s="24" t="s">
        <v>87</v>
      </c>
      <c r="D37" s="72" t="s">
        <v>100</v>
      </c>
      <c r="E37" s="81">
        <v>528.5</v>
      </c>
      <c r="F37" s="81"/>
      <c r="G37" s="72" t="s">
        <v>89</v>
      </c>
      <c r="H37" s="24" t="s">
        <v>90</v>
      </c>
      <c r="I37" s="24" t="s">
        <v>70</v>
      </c>
      <c r="J37" s="74">
        <v>2025</v>
      </c>
      <c r="K37" s="74" t="s">
        <v>68</v>
      </c>
      <c r="S37" s="1">
        <v>45326</v>
      </c>
    </row>
    <row r="38" spans="2:19">
      <c r="B38" s="82">
        <v>45872</v>
      </c>
      <c r="C38" s="24" t="s">
        <v>87</v>
      </c>
      <c r="D38" s="24" t="s">
        <v>130</v>
      </c>
      <c r="E38" s="81">
        <v>200</v>
      </c>
      <c r="F38" s="81"/>
      <c r="G38" s="24" t="s">
        <v>97</v>
      </c>
      <c r="H38" s="24" t="s">
        <v>90</v>
      </c>
      <c r="I38" s="24" t="s">
        <v>70</v>
      </c>
      <c r="J38" s="74">
        <v>2025</v>
      </c>
      <c r="K38" s="74" t="s">
        <v>68</v>
      </c>
      <c r="S38" s="1">
        <v>45327</v>
      </c>
    </row>
    <row r="39" spans="2:19">
      <c r="B39" s="82">
        <v>45872</v>
      </c>
      <c r="C39" s="24" t="s">
        <v>87</v>
      </c>
      <c r="D39" s="72" t="s">
        <v>131</v>
      </c>
      <c r="E39" s="81">
        <v>4200</v>
      </c>
      <c r="F39" s="81"/>
      <c r="G39" s="24" t="s">
        <v>97</v>
      </c>
      <c r="H39" s="24" t="s">
        <v>90</v>
      </c>
      <c r="I39" s="24" t="s">
        <v>70</v>
      </c>
      <c r="J39" s="74">
        <v>2025</v>
      </c>
      <c r="K39" s="74" t="s">
        <v>68</v>
      </c>
      <c r="S39" s="1">
        <v>45328</v>
      </c>
    </row>
    <row r="40" spans="2:19">
      <c r="B40" s="82">
        <v>45872</v>
      </c>
      <c r="C40" s="24" t="s">
        <v>87</v>
      </c>
      <c r="D40" s="24" t="s">
        <v>132</v>
      </c>
      <c r="E40" s="81">
        <v>2152</v>
      </c>
      <c r="F40" s="81"/>
      <c r="G40" s="24" t="s">
        <v>118</v>
      </c>
      <c r="H40" s="24" t="s">
        <v>90</v>
      </c>
      <c r="I40" s="24" t="s">
        <v>70</v>
      </c>
      <c r="J40" s="74">
        <v>2025</v>
      </c>
      <c r="K40" s="74" t="s">
        <v>68</v>
      </c>
      <c r="S40" s="1">
        <v>45329</v>
      </c>
    </row>
    <row r="41" spans="2:19">
      <c r="B41" s="82">
        <v>45872</v>
      </c>
      <c r="C41" s="24" t="s">
        <v>87</v>
      </c>
      <c r="D41" s="24" t="s">
        <v>109</v>
      </c>
      <c r="E41" s="81">
        <v>1429.54</v>
      </c>
      <c r="F41" s="81"/>
      <c r="G41" s="24" t="s">
        <v>89</v>
      </c>
      <c r="H41" s="24" t="s">
        <v>90</v>
      </c>
      <c r="I41" s="24" t="s">
        <v>70</v>
      </c>
      <c r="J41" s="74">
        <v>2025</v>
      </c>
      <c r="K41" s="74" t="s">
        <v>68</v>
      </c>
      <c r="S41" s="1">
        <v>45330</v>
      </c>
    </row>
    <row r="42" spans="2:19">
      <c r="B42" s="82">
        <v>45872</v>
      </c>
      <c r="C42" s="24" t="s">
        <v>87</v>
      </c>
      <c r="D42" s="72" t="s">
        <v>110</v>
      </c>
      <c r="E42" s="81">
        <v>1633.88</v>
      </c>
      <c r="F42" s="81"/>
      <c r="G42" s="24" t="s">
        <v>111</v>
      </c>
      <c r="H42" s="24" t="s">
        <v>90</v>
      </c>
      <c r="I42" s="24" t="s">
        <v>70</v>
      </c>
      <c r="J42" s="74">
        <v>2025</v>
      </c>
      <c r="K42" s="74" t="s">
        <v>68</v>
      </c>
      <c r="S42" s="1">
        <v>45331</v>
      </c>
    </row>
    <row r="43" spans="2:19">
      <c r="B43" s="82">
        <v>45872</v>
      </c>
      <c r="C43" s="24" t="s">
        <v>87</v>
      </c>
      <c r="D43" s="72" t="s">
        <v>133</v>
      </c>
      <c r="E43" s="81">
        <v>1100</v>
      </c>
      <c r="F43" s="81"/>
      <c r="G43" s="24" t="s">
        <v>105</v>
      </c>
      <c r="H43" s="24" t="s">
        <v>90</v>
      </c>
      <c r="I43" s="24" t="s">
        <v>70</v>
      </c>
      <c r="J43" s="74">
        <v>2025</v>
      </c>
      <c r="K43" s="74" t="s">
        <v>68</v>
      </c>
      <c r="S43" s="1">
        <v>45332</v>
      </c>
    </row>
    <row r="44" spans="2:19">
      <c r="B44" s="82">
        <v>45872</v>
      </c>
      <c r="C44" s="24" t="s">
        <v>87</v>
      </c>
      <c r="D44" s="72" t="s">
        <v>61</v>
      </c>
      <c r="E44" s="81">
        <v>170</v>
      </c>
      <c r="F44" s="81"/>
      <c r="G44" s="24" t="s">
        <v>105</v>
      </c>
      <c r="H44" s="24" t="s">
        <v>90</v>
      </c>
      <c r="I44" s="24" t="s">
        <v>70</v>
      </c>
      <c r="J44" s="74">
        <v>2025</v>
      </c>
      <c r="K44" s="74" t="s">
        <v>68</v>
      </c>
      <c r="S44" s="1">
        <v>45333</v>
      </c>
    </row>
    <row r="45" spans="2:19">
      <c r="B45" s="82">
        <v>45872</v>
      </c>
      <c r="C45" s="24" t="s">
        <v>87</v>
      </c>
      <c r="D45" s="72" t="s">
        <v>134</v>
      </c>
      <c r="E45" s="81">
        <v>3584.85</v>
      </c>
      <c r="F45" s="81"/>
      <c r="G45" s="24" t="s">
        <v>97</v>
      </c>
      <c r="H45" s="24" t="s">
        <v>90</v>
      </c>
      <c r="I45" s="24" t="s">
        <v>70</v>
      </c>
      <c r="J45" s="74">
        <v>2025</v>
      </c>
      <c r="K45" s="74" t="s">
        <v>68</v>
      </c>
      <c r="M45" s="2"/>
      <c r="S45" s="1">
        <v>45334</v>
      </c>
    </row>
    <row r="46" spans="2:19">
      <c r="B46" s="82">
        <v>45872</v>
      </c>
      <c r="C46" s="24" t="s">
        <v>87</v>
      </c>
      <c r="D46" s="72" t="s">
        <v>135</v>
      </c>
      <c r="E46" s="81">
        <v>140</v>
      </c>
      <c r="F46" s="81"/>
      <c r="G46" s="24" t="s">
        <v>89</v>
      </c>
      <c r="H46" s="24" t="s">
        <v>90</v>
      </c>
      <c r="I46" s="24" t="s">
        <v>70</v>
      </c>
      <c r="J46" s="74">
        <v>2025</v>
      </c>
      <c r="K46" s="74" t="s">
        <v>68</v>
      </c>
      <c r="M46" s="2"/>
      <c r="S46" s="1">
        <v>45335</v>
      </c>
    </row>
    <row r="47" spans="2:19">
      <c r="B47" s="82">
        <v>45872</v>
      </c>
      <c r="C47" s="24" t="s">
        <v>87</v>
      </c>
      <c r="D47" s="72" t="s">
        <v>119</v>
      </c>
      <c r="E47" s="81">
        <v>944</v>
      </c>
      <c r="F47" s="81"/>
      <c r="G47" s="24" t="s">
        <v>89</v>
      </c>
      <c r="H47" s="24" t="s">
        <v>90</v>
      </c>
      <c r="I47" s="24" t="s">
        <v>70</v>
      </c>
      <c r="J47" s="74">
        <v>2025</v>
      </c>
      <c r="K47" s="74" t="s">
        <v>68</v>
      </c>
      <c r="M47" s="2"/>
      <c r="S47" s="1">
        <v>45336</v>
      </c>
    </row>
    <row r="48" spans="2:19">
      <c r="B48" s="82">
        <v>45872</v>
      </c>
      <c r="C48" s="24" t="s">
        <v>87</v>
      </c>
      <c r="D48" s="72" t="s">
        <v>122</v>
      </c>
      <c r="E48" s="81">
        <v>3000</v>
      </c>
      <c r="F48" s="81"/>
      <c r="G48" s="24" t="s">
        <v>89</v>
      </c>
      <c r="H48" s="24" t="s">
        <v>90</v>
      </c>
      <c r="I48" s="24" t="s">
        <v>70</v>
      </c>
      <c r="J48" s="74">
        <v>2025</v>
      </c>
      <c r="K48" s="74" t="s">
        <v>68</v>
      </c>
      <c r="M48" s="2"/>
      <c r="S48" s="1">
        <v>45337</v>
      </c>
    </row>
    <row r="49" spans="2:19">
      <c r="B49" s="82">
        <v>45872</v>
      </c>
      <c r="C49" s="24" t="s">
        <v>87</v>
      </c>
      <c r="D49" s="72" t="s">
        <v>136</v>
      </c>
      <c r="E49" s="81">
        <v>14331.08</v>
      </c>
      <c r="F49" s="81"/>
      <c r="G49" s="24" t="s">
        <v>89</v>
      </c>
      <c r="H49" s="24" t="s">
        <v>90</v>
      </c>
      <c r="I49" s="24" t="s">
        <v>70</v>
      </c>
      <c r="J49" s="74">
        <v>2025</v>
      </c>
      <c r="K49" s="74" t="s">
        <v>68</v>
      </c>
      <c r="S49" s="1">
        <v>45338</v>
      </c>
    </row>
    <row r="50" spans="2:19">
      <c r="B50" s="82">
        <v>45872</v>
      </c>
      <c r="C50" s="24" t="s">
        <v>87</v>
      </c>
      <c r="D50" s="72" t="s">
        <v>137</v>
      </c>
      <c r="E50" s="81">
        <v>700</v>
      </c>
      <c r="F50" s="81"/>
      <c r="G50" s="24" t="s">
        <v>97</v>
      </c>
      <c r="H50" s="24" t="s">
        <v>90</v>
      </c>
      <c r="I50" s="24" t="s">
        <v>70</v>
      </c>
      <c r="J50" s="74">
        <v>2025</v>
      </c>
      <c r="K50" s="74" t="s">
        <v>68</v>
      </c>
      <c r="S50" s="1">
        <v>45339</v>
      </c>
    </row>
    <row r="51" spans="2:19">
      <c r="B51" s="82">
        <v>45872</v>
      </c>
      <c r="C51" s="24" t="s">
        <v>87</v>
      </c>
      <c r="D51" s="72" t="s">
        <v>138</v>
      </c>
      <c r="E51" s="81">
        <v>900</v>
      </c>
      <c r="F51" s="81"/>
      <c r="G51" s="24" t="s">
        <v>97</v>
      </c>
      <c r="H51" s="24" t="s">
        <v>90</v>
      </c>
      <c r="I51" s="24" t="s">
        <v>70</v>
      </c>
      <c r="J51" s="74">
        <v>2025</v>
      </c>
      <c r="K51" s="74" t="s">
        <v>68</v>
      </c>
      <c r="S51" s="1">
        <v>45340</v>
      </c>
    </row>
    <row r="52" spans="2:19">
      <c r="B52" s="82">
        <v>45872</v>
      </c>
      <c r="C52" s="24" t="s">
        <v>87</v>
      </c>
      <c r="D52" s="72" t="s">
        <v>139</v>
      </c>
      <c r="E52" s="81">
        <v>2100</v>
      </c>
      <c r="F52" s="81"/>
      <c r="G52" s="24" t="s">
        <v>97</v>
      </c>
      <c r="H52" s="24" t="s">
        <v>90</v>
      </c>
      <c r="I52" s="24" t="s">
        <v>70</v>
      </c>
      <c r="J52" s="74">
        <v>2025</v>
      </c>
      <c r="K52" s="74" t="s">
        <v>68</v>
      </c>
      <c r="S52" s="1">
        <v>45341</v>
      </c>
    </row>
    <row r="53" spans="2:19">
      <c r="B53" s="82">
        <v>45903</v>
      </c>
      <c r="C53" s="24" t="s">
        <v>87</v>
      </c>
      <c r="D53" s="24" t="s">
        <v>140</v>
      </c>
      <c r="E53" s="81">
        <v>27475</v>
      </c>
      <c r="F53" s="81"/>
      <c r="G53" s="24" t="s">
        <v>126</v>
      </c>
      <c r="H53" s="24" t="s">
        <v>90</v>
      </c>
      <c r="I53" s="24" t="s">
        <v>76</v>
      </c>
      <c r="J53" s="74">
        <v>2025</v>
      </c>
      <c r="K53" s="74" t="s">
        <v>68</v>
      </c>
      <c r="S53" s="1">
        <v>45342</v>
      </c>
    </row>
    <row r="54" spans="2:19">
      <c r="B54" s="82">
        <v>45903</v>
      </c>
      <c r="C54" s="24" t="s">
        <v>87</v>
      </c>
      <c r="D54" s="72" t="s">
        <v>141</v>
      </c>
      <c r="E54" s="81">
        <v>5845.67</v>
      </c>
      <c r="F54" s="81"/>
      <c r="G54" s="72" t="s">
        <v>97</v>
      </c>
      <c r="H54" s="24" t="s">
        <v>90</v>
      </c>
      <c r="I54" s="24" t="s">
        <v>76</v>
      </c>
      <c r="J54" s="74">
        <v>2025</v>
      </c>
      <c r="K54" s="74" t="s">
        <v>68</v>
      </c>
      <c r="S54" s="1">
        <v>45343</v>
      </c>
    </row>
    <row r="55" spans="2:19">
      <c r="B55" s="82">
        <v>45903</v>
      </c>
      <c r="C55" s="24" t="s">
        <v>87</v>
      </c>
      <c r="D55" s="72" t="s">
        <v>142</v>
      </c>
      <c r="E55" s="81">
        <v>14331.08</v>
      </c>
      <c r="F55" s="81"/>
      <c r="G55" s="24" t="s">
        <v>89</v>
      </c>
      <c r="H55" s="24" t="s">
        <v>90</v>
      </c>
      <c r="I55" s="24" t="s">
        <v>76</v>
      </c>
      <c r="J55" s="74">
        <v>2025</v>
      </c>
      <c r="K55" s="74" t="s">
        <v>68</v>
      </c>
      <c r="S55" s="1">
        <v>45344</v>
      </c>
    </row>
    <row r="56" spans="2:19">
      <c r="B56" s="82">
        <v>45903</v>
      </c>
      <c r="C56" s="24" t="s">
        <v>87</v>
      </c>
      <c r="D56" s="72" t="s">
        <v>143</v>
      </c>
      <c r="E56" s="81">
        <v>1879.53</v>
      </c>
      <c r="F56" s="81"/>
      <c r="G56" s="24" t="s">
        <v>89</v>
      </c>
      <c r="H56" s="24" t="s">
        <v>90</v>
      </c>
      <c r="I56" s="24" t="s">
        <v>76</v>
      </c>
      <c r="J56" s="74">
        <v>2025</v>
      </c>
      <c r="K56" s="74" t="s">
        <v>68</v>
      </c>
      <c r="S56" s="1">
        <v>45345</v>
      </c>
    </row>
    <row r="57" spans="2:19">
      <c r="B57" s="82">
        <v>45903</v>
      </c>
      <c r="C57" s="24" t="s">
        <v>87</v>
      </c>
      <c r="D57" s="72" t="s">
        <v>100</v>
      </c>
      <c r="E57" s="81">
        <v>732.2</v>
      </c>
      <c r="F57" s="81"/>
      <c r="G57" s="24" t="s">
        <v>89</v>
      </c>
      <c r="H57" s="24" t="s">
        <v>90</v>
      </c>
      <c r="I57" s="24" t="s">
        <v>76</v>
      </c>
      <c r="J57" s="74">
        <v>2025</v>
      </c>
      <c r="K57" s="74" t="s">
        <v>68</v>
      </c>
      <c r="S57" s="1">
        <v>45346</v>
      </c>
    </row>
    <row r="58" spans="2:19">
      <c r="B58" s="82">
        <v>45903</v>
      </c>
      <c r="C58" s="24" t="s">
        <v>87</v>
      </c>
      <c r="D58" s="72" t="s">
        <v>144</v>
      </c>
      <c r="E58" s="81">
        <v>449</v>
      </c>
      <c r="F58" s="81"/>
      <c r="G58" s="24" t="s">
        <v>89</v>
      </c>
      <c r="H58" s="24" t="s">
        <v>90</v>
      </c>
      <c r="I58" s="24" t="s">
        <v>76</v>
      </c>
      <c r="J58" s="74">
        <v>2025</v>
      </c>
      <c r="K58" s="74" t="s">
        <v>68</v>
      </c>
      <c r="S58" s="1">
        <v>45347</v>
      </c>
    </row>
    <row r="59" spans="2:19">
      <c r="B59" s="82">
        <v>45903</v>
      </c>
      <c r="C59" s="24" t="s">
        <v>87</v>
      </c>
      <c r="D59" s="72" t="s">
        <v>120</v>
      </c>
      <c r="E59" s="81">
        <v>4200</v>
      </c>
      <c r="F59" s="81"/>
      <c r="G59" s="24" t="s">
        <v>89</v>
      </c>
      <c r="H59" s="24" t="s">
        <v>90</v>
      </c>
      <c r="I59" s="24" t="s">
        <v>76</v>
      </c>
      <c r="J59" s="74">
        <v>2025</v>
      </c>
      <c r="K59" s="74" t="s">
        <v>68</v>
      </c>
      <c r="S59" s="1">
        <v>45348</v>
      </c>
    </row>
    <row r="60" spans="2:19">
      <c r="B60" s="82">
        <v>45903</v>
      </c>
      <c r="C60" s="24" t="s">
        <v>87</v>
      </c>
      <c r="D60" s="24" t="s">
        <v>145</v>
      </c>
      <c r="E60" s="81">
        <v>400</v>
      </c>
      <c r="F60" s="81"/>
      <c r="G60" s="24" t="s">
        <v>89</v>
      </c>
      <c r="H60" s="24" t="s">
        <v>90</v>
      </c>
      <c r="I60" s="24" t="s">
        <v>76</v>
      </c>
      <c r="J60" s="74">
        <v>2025</v>
      </c>
      <c r="K60" s="74" t="s">
        <v>68</v>
      </c>
      <c r="S60" s="1">
        <v>45349</v>
      </c>
    </row>
    <row r="61" spans="2:19">
      <c r="B61" s="82">
        <v>45903</v>
      </c>
      <c r="C61" s="24" t="s">
        <v>87</v>
      </c>
      <c r="D61" s="24" t="s">
        <v>146</v>
      </c>
      <c r="E61" s="81">
        <v>300</v>
      </c>
      <c r="F61" s="81"/>
      <c r="G61" s="24" t="s">
        <v>118</v>
      </c>
      <c r="H61" s="24" t="s">
        <v>90</v>
      </c>
      <c r="I61" s="24" t="s">
        <v>76</v>
      </c>
      <c r="J61" s="74">
        <v>2025</v>
      </c>
      <c r="K61" s="74" t="s">
        <v>68</v>
      </c>
      <c r="S61" s="1">
        <v>45350</v>
      </c>
    </row>
    <row r="62" spans="2:19">
      <c r="B62" s="82">
        <v>45903</v>
      </c>
      <c r="C62" s="24" t="s">
        <v>87</v>
      </c>
      <c r="D62" s="72" t="s">
        <v>138</v>
      </c>
      <c r="E62" s="81">
        <v>639</v>
      </c>
      <c r="F62" s="81"/>
      <c r="G62" s="24" t="s">
        <v>138</v>
      </c>
      <c r="H62" s="24" t="s">
        <v>90</v>
      </c>
      <c r="I62" s="24" t="s">
        <v>76</v>
      </c>
      <c r="J62" s="74">
        <v>2025</v>
      </c>
      <c r="K62" s="74" t="s">
        <v>68</v>
      </c>
      <c r="S62" s="1">
        <v>45351</v>
      </c>
    </row>
    <row r="63" spans="2:19">
      <c r="B63" s="82">
        <v>45903</v>
      </c>
      <c r="C63" s="24" t="s">
        <v>87</v>
      </c>
      <c r="D63" s="72" t="s">
        <v>147</v>
      </c>
      <c r="E63" s="81">
        <v>4180</v>
      </c>
      <c r="F63" s="81"/>
      <c r="G63" s="24" t="s">
        <v>97</v>
      </c>
      <c r="H63" s="24" t="s">
        <v>90</v>
      </c>
      <c r="I63" s="24" t="s">
        <v>76</v>
      </c>
      <c r="J63" s="74">
        <v>2025</v>
      </c>
      <c r="K63" s="74" t="s">
        <v>68</v>
      </c>
      <c r="S63" s="1">
        <v>45352</v>
      </c>
    </row>
    <row r="64" spans="2:19">
      <c r="B64" s="82">
        <v>45903</v>
      </c>
      <c r="C64" s="24" t="s">
        <v>87</v>
      </c>
      <c r="D64" s="72" t="s">
        <v>108</v>
      </c>
      <c r="E64" s="81">
        <v>4000</v>
      </c>
      <c r="F64" s="81"/>
      <c r="G64" s="24" t="s">
        <v>89</v>
      </c>
      <c r="H64" s="24" t="s">
        <v>90</v>
      </c>
      <c r="I64" s="24" t="s">
        <v>76</v>
      </c>
      <c r="J64" s="74">
        <v>2025</v>
      </c>
      <c r="K64" s="74" t="s">
        <v>68</v>
      </c>
      <c r="S64" s="1">
        <v>45353</v>
      </c>
    </row>
    <row r="65" spans="2:19">
      <c r="B65" s="82">
        <v>45903</v>
      </c>
      <c r="C65" s="24" t="s">
        <v>87</v>
      </c>
      <c r="D65" s="72" t="s">
        <v>148</v>
      </c>
      <c r="E65" s="81">
        <v>866.39</v>
      </c>
      <c r="F65" s="81"/>
      <c r="G65" s="24" t="s">
        <v>97</v>
      </c>
      <c r="H65" s="24" t="s">
        <v>90</v>
      </c>
      <c r="I65" s="24" t="s">
        <v>76</v>
      </c>
      <c r="J65" s="74">
        <v>2025</v>
      </c>
      <c r="K65" s="74" t="s">
        <v>68</v>
      </c>
      <c r="S65" s="1">
        <v>45354</v>
      </c>
    </row>
    <row r="66" spans="2:19">
      <c r="B66" s="82">
        <v>45903</v>
      </c>
      <c r="C66" s="24" t="s">
        <v>87</v>
      </c>
      <c r="D66" s="72" t="s">
        <v>149</v>
      </c>
      <c r="E66" s="81">
        <v>1050</v>
      </c>
      <c r="F66" s="81"/>
      <c r="G66" s="24" t="s">
        <v>105</v>
      </c>
      <c r="H66" s="24" t="s">
        <v>90</v>
      </c>
      <c r="I66" s="24" t="s">
        <v>76</v>
      </c>
      <c r="J66" s="74">
        <v>2025</v>
      </c>
      <c r="K66" s="74" t="s">
        <v>68</v>
      </c>
      <c r="S66" s="1">
        <v>45355</v>
      </c>
    </row>
    <row r="67" spans="2:19">
      <c r="B67" s="82">
        <v>45903</v>
      </c>
      <c r="C67" s="24" t="s">
        <v>87</v>
      </c>
      <c r="D67" s="72" t="s">
        <v>150</v>
      </c>
      <c r="E67" s="81">
        <v>1420</v>
      </c>
      <c r="F67" s="81"/>
      <c r="G67" s="24" t="s">
        <v>118</v>
      </c>
      <c r="H67" s="24" t="s">
        <v>90</v>
      </c>
      <c r="I67" s="24" t="s">
        <v>76</v>
      </c>
      <c r="J67" s="74">
        <v>2025</v>
      </c>
      <c r="K67" s="74" t="s">
        <v>68</v>
      </c>
      <c r="S67" s="1">
        <v>45356</v>
      </c>
    </row>
    <row r="68" spans="2:19">
      <c r="B68" s="82">
        <v>45903</v>
      </c>
      <c r="C68" s="24" t="s">
        <v>87</v>
      </c>
      <c r="D68" s="72" t="s">
        <v>109</v>
      </c>
      <c r="E68" s="81">
        <v>1448.68</v>
      </c>
      <c r="F68" s="81"/>
      <c r="G68" s="24" t="s">
        <v>89</v>
      </c>
      <c r="H68" s="24" t="s">
        <v>90</v>
      </c>
      <c r="I68" s="24" t="s">
        <v>76</v>
      </c>
      <c r="J68" s="74">
        <v>2025</v>
      </c>
      <c r="K68" s="74" t="s">
        <v>68</v>
      </c>
      <c r="S68" s="1">
        <v>45357</v>
      </c>
    </row>
    <row r="69" spans="2:19">
      <c r="B69" s="82">
        <v>45903</v>
      </c>
      <c r="C69" s="24" t="s">
        <v>87</v>
      </c>
      <c r="D69" s="72" t="s">
        <v>151</v>
      </c>
      <c r="E69" s="81">
        <v>1587.48</v>
      </c>
      <c r="F69" s="81"/>
      <c r="G69" s="24" t="s">
        <v>111</v>
      </c>
      <c r="H69" s="24" t="s">
        <v>90</v>
      </c>
      <c r="I69" s="24" t="s">
        <v>76</v>
      </c>
      <c r="J69" s="74">
        <v>2025</v>
      </c>
      <c r="K69" s="74" t="s">
        <v>68</v>
      </c>
      <c r="S69" s="1">
        <v>45358</v>
      </c>
    </row>
    <row r="70" spans="2:19">
      <c r="B70" s="82">
        <v>45903</v>
      </c>
      <c r="C70" s="24" t="s">
        <v>87</v>
      </c>
      <c r="D70" s="72" t="s">
        <v>121</v>
      </c>
      <c r="E70" s="81">
        <v>700</v>
      </c>
      <c r="F70" s="81"/>
      <c r="G70" s="24" t="s">
        <v>113</v>
      </c>
      <c r="H70" s="24" t="s">
        <v>90</v>
      </c>
      <c r="I70" s="24" t="s">
        <v>76</v>
      </c>
      <c r="J70" s="74">
        <v>2025</v>
      </c>
      <c r="K70" s="74" t="s">
        <v>68</v>
      </c>
      <c r="S70" s="1">
        <v>45359</v>
      </c>
    </row>
    <row r="71" spans="2:19">
      <c r="B71" s="82">
        <v>45903</v>
      </c>
      <c r="C71" s="24" t="s">
        <v>87</v>
      </c>
      <c r="D71" s="72" t="s">
        <v>98</v>
      </c>
      <c r="E71" s="81">
        <v>3358.71</v>
      </c>
      <c r="F71" s="81"/>
      <c r="G71" s="24" t="s">
        <v>97</v>
      </c>
      <c r="H71" s="24" t="s">
        <v>90</v>
      </c>
      <c r="I71" s="24" t="s">
        <v>76</v>
      </c>
      <c r="J71" s="74">
        <v>2025</v>
      </c>
      <c r="K71" s="74" t="s">
        <v>68</v>
      </c>
      <c r="S71" s="1">
        <v>45360</v>
      </c>
    </row>
    <row r="72" spans="2:19">
      <c r="B72" s="82">
        <v>45903</v>
      </c>
      <c r="C72" s="24" t="s">
        <v>87</v>
      </c>
      <c r="D72" s="72" t="s">
        <v>152</v>
      </c>
      <c r="E72" s="81">
        <v>2100</v>
      </c>
      <c r="F72" s="81"/>
      <c r="G72" s="24" t="s">
        <v>105</v>
      </c>
      <c r="H72" s="24" t="s">
        <v>90</v>
      </c>
      <c r="I72" s="24" t="s">
        <v>76</v>
      </c>
      <c r="J72" s="74">
        <v>2025</v>
      </c>
      <c r="K72" s="74" t="s">
        <v>68</v>
      </c>
      <c r="S72" s="1">
        <v>45361</v>
      </c>
    </row>
    <row r="73" spans="2:19">
      <c r="B73" s="82">
        <v>45903</v>
      </c>
      <c r="C73" s="24" t="s">
        <v>87</v>
      </c>
      <c r="D73" s="72" t="s">
        <v>153</v>
      </c>
      <c r="E73" s="81">
        <v>161</v>
      </c>
      <c r="F73" s="81"/>
      <c r="G73" s="24" t="s">
        <v>97</v>
      </c>
      <c r="H73" s="24" t="s">
        <v>90</v>
      </c>
      <c r="I73" s="24" t="s">
        <v>76</v>
      </c>
      <c r="J73" s="74">
        <v>2025</v>
      </c>
      <c r="K73" s="74" t="s">
        <v>68</v>
      </c>
      <c r="S73" s="1">
        <v>45362</v>
      </c>
    </row>
    <row r="74" spans="2:19">
      <c r="B74" s="82">
        <v>45903</v>
      </c>
      <c r="C74" s="24" t="s">
        <v>87</v>
      </c>
      <c r="D74" s="72" t="s">
        <v>119</v>
      </c>
      <c r="E74" s="79">
        <v>944</v>
      </c>
      <c r="F74" s="79"/>
      <c r="G74" s="24" t="s">
        <v>89</v>
      </c>
      <c r="H74" s="24" t="s">
        <v>90</v>
      </c>
      <c r="I74" s="24" t="s">
        <v>76</v>
      </c>
      <c r="J74" s="74">
        <v>2025</v>
      </c>
      <c r="K74" s="74" t="s">
        <v>68</v>
      </c>
      <c r="S74" s="1">
        <v>45363</v>
      </c>
    </row>
    <row r="75" spans="2:19">
      <c r="B75" s="82">
        <v>45903</v>
      </c>
      <c r="C75" s="24" t="s">
        <v>87</v>
      </c>
      <c r="D75" s="72" t="s">
        <v>154</v>
      </c>
      <c r="E75" s="81">
        <v>1740</v>
      </c>
      <c r="F75" s="81"/>
      <c r="G75" s="24" t="s">
        <v>105</v>
      </c>
      <c r="H75" s="24" t="s">
        <v>90</v>
      </c>
      <c r="I75" s="24" t="s">
        <v>76</v>
      </c>
      <c r="J75" s="74">
        <v>2025</v>
      </c>
      <c r="K75" s="74" t="s">
        <v>68</v>
      </c>
    </row>
    <row r="76" spans="2:19">
      <c r="B76" s="82">
        <v>45903</v>
      </c>
      <c r="C76" s="24" t="s">
        <v>87</v>
      </c>
      <c r="D76" s="72" t="s">
        <v>122</v>
      </c>
      <c r="E76" s="81">
        <v>3000</v>
      </c>
      <c r="F76" s="81"/>
      <c r="G76" s="24" t="s">
        <v>89</v>
      </c>
      <c r="H76" s="24" t="s">
        <v>90</v>
      </c>
      <c r="I76" s="24" t="s">
        <v>76</v>
      </c>
      <c r="J76" s="74">
        <v>2025</v>
      </c>
      <c r="K76" s="74" t="s">
        <v>68</v>
      </c>
    </row>
    <row r="77" spans="2:19">
      <c r="B77" s="82">
        <v>45903</v>
      </c>
      <c r="C77" s="24" t="s">
        <v>87</v>
      </c>
      <c r="D77" s="72" t="s">
        <v>155</v>
      </c>
      <c r="E77" s="81">
        <v>27475</v>
      </c>
      <c r="F77" s="81"/>
      <c r="G77" s="72" t="s">
        <v>126</v>
      </c>
      <c r="H77" s="24" t="s">
        <v>90</v>
      </c>
      <c r="I77" s="24" t="s">
        <v>76</v>
      </c>
      <c r="J77" s="74">
        <v>2025</v>
      </c>
      <c r="K77" s="74" t="s">
        <v>68</v>
      </c>
    </row>
    <row r="78" spans="2:19">
      <c r="B78" s="82">
        <v>45903</v>
      </c>
      <c r="C78" s="24" t="s">
        <v>87</v>
      </c>
      <c r="D78" s="24" t="s">
        <v>156</v>
      </c>
      <c r="E78" s="81">
        <v>933.34</v>
      </c>
      <c r="F78" s="81"/>
      <c r="G78" s="24" t="s">
        <v>89</v>
      </c>
      <c r="H78" s="24" t="s">
        <v>90</v>
      </c>
      <c r="I78" s="24" t="s">
        <v>76</v>
      </c>
      <c r="J78" s="74">
        <v>2025</v>
      </c>
      <c r="K78" s="74" t="s">
        <v>68</v>
      </c>
    </row>
    <row r="79" spans="2:19">
      <c r="B79" s="82">
        <v>45903</v>
      </c>
      <c r="C79" s="24" t="s">
        <v>87</v>
      </c>
      <c r="D79" s="72" t="s">
        <v>141</v>
      </c>
      <c r="E79" s="81">
        <v>953.29</v>
      </c>
      <c r="F79" s="81"/>
      <c r="G79" s="24" t="s">
        <v>97</v>
      </c>
      <c r="H79" s="24" t="s">
        <v>90</v>
      </c>
      <c r="I79" s="24" t="s">
        <v>76</v>
      </c>
      <c r="J79" s="74">
        <v>2025</v>
      </c>
      <c r="K79" s="74" t="s">
        <v>68</v>
      </c>
    </row>
    <row r="80" spans="2:19">
      <c r="B80" s="82">
        <v>45903</v>
      </c>
      <c r="C80" s="24" t="s">
        <v>87</v>
      </c>
      <c r="D80" s="72" t="s">
        <v>141</v>
      </c>
      <c r="E80" s="81">
        <v>2494.8200000000002</v>
      </c>
      <c r="F80" s="81"/>
      <c r="G80" s="24" t="s">
        <v>97</v>
      </c>
      <c r="H80" s="24" t="s">
        <v>90</v>
      </c>
      <c r="I80" s="24" t="s">
        <v>76</v>
      </c>
      <c r="J80" s="74">
        <v>2025</v>
      </c>
      <c r="K80" s="74" t="s">
        <v>68</v>
      </c>
    </row>
    <row r="81" spans="2:11">
      <c r="B81" s="82">
        <v>45903</v>
      </c>
      <c r="C81" s="24" t="s">
        <v>87</v>
      </c>
      <c r="D81" s="24" t="s">
        <v>157</v>
      </c>
      <c r="E81" s="81">
        <v>178.5</v>
      </c>
      <c r="F81" s="81"/>
      <c r="G81" s="24" t="s">
        <v>105</v>
      </c>
      <c r="H81" s="24" t="s">
        <v>90</v>
      </c>
      <c r="I81" s="24" t="s">
        <v>76</v>
      </c>
      <c r="J81" s="74">
        <v>2025</v>
      </c>
      <c r="K81" s="74" t="s">
        <v>68</v>
      </c>
    </row>
    <row r="82" spans="2:11">
      <c r="B82" s="82">
        <v>45933</v>
      </c>
      <c r="C82" s="24" t="s">
        <v>87</v>
      </c>
      <c r="D82" s="72" t="s">
        <v>158</v>
      </c>
      <c r="E82" s="81">
        <v>375</v>
      </c>
      <c r="F82" s="81"/>
      <c r="G82" s="24"/>
      <c r="H82" s="24"/>
      <c r="I82" s="24" t="s">
        <v>77</v>
      </c>
      <c r="J82" s="74">
        <v>2025</v>
      </c>
      <c r="K82" s="74" t="s">
        <v>68</v>
      </c>
    </row>
    <row r="83" spans="2:11">
      <c r="B83" s="82">
        <v>45933</v>
      </c>
      <c r="C83" s="24" t="s">
        <v>87</v>
      </c>
      <c r="D83" s="72" t="s">
        <v>159</v>
      </c>
      <c r="E83" s="81">
        <v>290</v>
      </c>
      <c r="F83" s="81"/>
      <c r="G83" s="24" t="s">
        <v>113</v>
      </c>
      <c r="H83" s="24"/>
      <c r="I83" s="24" t="s">
        <v>77</v>
      </c>
      <c r="J83" s="74">
        <v>2025</v>
      </c>
      <c r="K83" s="74" t="s">
        <v>68</v>
      </c>
    </row>
    <row r="84" spans="2:11">
      <c r="B84" s="82">
        <v>45933</v>
      </c>
      <c r="C84" s="24" t="s">
        <v>87</v>
      </c>
      <c r="D84" s="72" t="s">
        <v>120</v>
      </c>
      <c r="E84" s="81">
        <v>4200</v>
      </c>
      <c r="F84" s="81"/>
      <c r="G84" s="24" t="s">
        <v>89</v>
      </c>
      <c r="H84" s="24"/>
      <c r="I84" s="24" t="s">
        <v>77</v>
      </c>
      <c r="J84" s="74">
        <v>2025</v>
      </c>
      <c r="K84" s="74" t="s">
        <v>68</v>
      </c>
    </row>
    <row r="85" spans="2:11">
      <c r="B85" s="82">
        <v>45933</v>
      </c>
      <c r="C85" s="24" t="s">
        <v>87</v>
      </c>
      <c r="D85" s="72" t="s">
        <v>141</v>
      </c>
      <c r="E85" s="79">
        <v>831.85</v>
      </c>
      <c r="F85" s="79"/>
      <c r="G85" s="24" t="s">
        <v>97</v>
      </c>
      <c r="H85" s="24"/>
      <c r="I85" s="24" t="s">
        <v>77</v>
      </c>
      <c r="J85" s="74">
        <v>2025</v>
      </c>
      <c r="K85" s="74" t="s">
        <v>68</v>
      </c>
    </row>
    <row r="86" spans="2:11">
      <c r="B86" s="82">
        <v>45933</v>
      </c>
      <c r="C86" s="24" t="s">
        <v>87</v>
      </c>
      <c r="D86" s="72" t="s">
        <v>160</v>
      </c>
      <c r="E86" s="79">
        <v>20699</v>
      </c>
      <c r="F86" s="79"/>
      <c r="G86" s="72" t="s">
        <v>103</v>
      </c>
      <c r="H86" s="72"/>
      <c r="I86" s="24" t="s">
        <v>77</v>
      </c>
      <c r="J86" s="74">
        <v>2025</v>
      </c>
      <c r="K86" s="74" t="s">
        <v>68</v>
      </c>
    </row>
    <row r="87" spans="2:11">
      <c r="B87" s="82">
        <v>45933</v>
      </c>
      <c r="C87" s="24" t="s">
        <v>87</v>
      </c>
      <c r="D87" s="72" t="s">
        <v>161</v>
      </c>
      <c r="E87" s="79">
        <v>515</v>
      </c>
      <c r="F87" s="79"/>
      <c r="G87" s="72" t="s">
        <v>97</v>
      </c>
      <c r="H87" s="72"/>
      <c r="I87" s="24" t="s">
        <v>77</v>
      </c>
      <c r="J87" s="74">
        <v>2025</v>
      </c>
      <c r="K87" s="74" t="s">
        <v>68</v>
      </c>
    </row>
    <row r="88" spans="2:11">
      <c r="B88" s="82">
        <v>45933</v>
      </c>
      <c r="C88" s="24" t="s">
        <v>87</v>
      </c>
      <c r="D88" s="72" t="s">
        <v>162</v>
      </c>
      <c r="E88" s="79">
        <v>375</v>
      </c>
      <c r="F88" s="79"/>
      <c r="G88" s="72" t="s">
        <v>89</v>
      </c>
      <c r="H88" s="72"/>
      <c r="I88" s="24" t="s">
        <v>77</v>
      </c>
      <c r="J88" s="74">
        <v>2025</v>
      </c>
      <c r="K88" s="74" t="s">
        <v>68</v>
      </c>
    </row>
    <row r="89" spans="2:11">
      <c r="B89" s="82">
        <v>45933</v>
      </c>
      <c r="C89" s="24" t="s">
        <v>87</v>
      </c>
      <c r="D89" s="72" t="s">
        <v>142</v>
      </c>
      <c r="E89" s="81">
        <v>17700</v>
      </c>
      <c r="F89" s="81"/>
      <c r="G89" s="72" t="s">
        <v>89</v>
      </c>
      <c r="H89" s="72"/>
      <c r="I89" s="24" t="s">
        <v>77</v>
      </c>
      <c r="J89" s="74">
        <v>2025</v>
      </c>
      <c r="K89" s="74" t="s">
        <v>68</v>
      </c>
    </row>
    <row r="90" spans="2:11">
      <c r="B90" s="82">
        <v>45933</v>
      </c>
      <c r="C90" s="24" t="s">
        <v>87</v>
      </c>
      <c r="D90" s="72" t="s">
        <v>163</v>
      </c>
      <c r="E90" s="81">
        <v>251</v>
      </c>
      <c r="F90" s="81"/>
      <c r="G90" s="72" t="s">
        <v>89</v>
      </c>
      <c r="H90" s="72"/>
      <c r="I90" s="24" t="s">
        <v>77</v>
      </c>
      <c r="J90" s="74">
        <v>2025</v>
      </c>
      <c r="K90" s="74" t="s">
        <v>68</v>
      </c>
    </row>
    <row r="91" spans="2:11">
      <c r="B91" s="82">
        <v>45933</v>
      </c>
      <c r="C91" s="24" t="s">
        <v>87</v>
      </c>
      <c r="D91" s="72" t="s">
        <v>61</v>
      </c>
      <c r="E91" s="81">
        <v>200</v>
      </c>
      <c r="F91" s="81"/>
      <c r="G91" s="72" t="s">
        <v>105</v>
      </c>
      <c r="H91" s="72"/>
      <c r="I91" s="24" t="s">
        <v>77</v>
      </c>
      <c r="J91" s="74">
        <v>2025</v>
      </c>
      <c r="K91" s="74" t="s">
        <v>68</v>
      </c>
    </row>
    <row r="92" spans="2:11">
      <c r="B92" s="82">
        <v>45933</v>
      </c>
      <c r="C92" s="24" t="s">
        <v>87</v>
      </c>
      <c r="D92" s="72" t="s">
        <v>161</v>
      </c>
      <c r="E92" s="81">
        <v>390</v>
      </c>
      <c r="F92" s="81"/>
      <c r="G92" s="72" t="s">
        <v>97</v>
      </c>
      <c r="H92" s="72"/>
      <c r="I92" s="24" t="s">
        <v>77</v>
      </c>
      <c r="J92" s="74">
        <v>2025</v>
      </c>
      <c r="K92" s="74" t="s">
        <v>68</v>
      </c>
    </row>
    <row r="93" spans="2:11">
      <c r="B93" s="82">
        <v>45933</v>
      </c>
      <c r="C93" s="24" t="s">
        <v>87</v>
      </c>
      <c r="D93" s="72" t="s">
        <v>138</v>
      </c>
      <c r="E93" s="81">
        <v>1785</v>
      </c>
      <c r="F93" s="81"/>
      <c r="G93" s="72" t="s">
        <v>113</v>
      </c>
      <c r="H93" s="72"/>
      <c r="I93" s="24" t="s">
        <v>77</v>
      </c>
      <c r="J93" s="74">
        <v>2025</v>
      </c>
      <c r="K93" s="74" t="s">
        <v>68</v>
      </c>
    </row>
    <row r="94" spans="2:11">
      <c r="B94" s="82">
        <v>45933</v>
      </c>
      <c r="C94" s="24" t="s">
        <v>87</v>
      </c>
      <c r="D94" s="72" t="s">
        <v>164</v>
      </c>
      <c r="E94" s="81">
        <v>290</v>
      </c>
      <c r="F94" s="81"/>
      <c r="G94" s="72" t="s">
        <v>113</v>
      </c>
      <c r="H94" s="72"/>
      <c r="I94" s="24" t="s">
        <v>77</v>
      </c>
      <c r="J94" s="74">
        <v>2025</v>
      </c>
      <c r="K94" s="74" t="s">
        <v>68</v>
      </c>
    </row>
    <row r="95" spans="2:11">
      <c r="B95" s="82">
        <v>45933</v>
      </c>
      <c r="C95" s="24" t="s">
        <v>87</v>
      </c>
      <c r="D95" s="72" t="s">
        <v>100</v>
      </c>
      <c r="E95" s="81">
        <v>1308.5</v>
      </c>
      <c r="F95" s="81"/>
      <c r="G95" s="72" t="s">
        <v>89</v>
      </c>
      <c r="H95" s="72"/>
      <c r="I95" s="24" t="s">
        <v>77</v>
      </c>
      <c r="J95" s="74">
        <v>2025</v>
      </c>
      <c r="K95" s="74" t="s">
        <v>68</v>
      </c>
    </row>
    <row r="96" spans="2:11">
      <c r="B96" s="82">
        <v>45933</v>
      </c>
      <c r="C96" s="24" t="s">
        <v>87</v>
      </c>
      <c r="D96" s="72" t="s">
        <v>165</v>
      </c>
      <c r="E96" s="79">
        <v>196</v>
      </c>
      <c r="F96" s="79"/>
      <c r="G96" s="72" t="s">
        <v>97</v>
      </c>
      <c r="H96" s="72"/>
      <c r="I96" s="24" t="s">
        <v>77</v>
      </c>
      <c r="J96" s="74">
        <v>2025</v>
      </c>
      <c r="K96" s="74" t="s">
        <v>68</v>
      </c>
    </row>
    <row r="97" spans="2:11">
      <c r="B97" s="82">
        <v>45933</v>
      </c>
      <c r="C97" s="24" t="s">
        <v>87</v>
      </c>
      <c r="D97" s="72" t="s">
        <v>166</v>
      </c>
      <c r="E97" s="81">
        <v>41904</v>
      </c>
      <c r="F97" s="81"/>
      <c r="G97" s="72"/>
      <c r="H97" s="72"/>
      <c r="I97" s="24" t="s">
        <v>77</v>
      </c>
      <c r="J97" s="74">
        <v>2025</v>
      </c>
      <c r="K97" s="74" t="s">
        <v>68</v>
      </c>
    </row>
    <row r="98" spans="2:11">
      <c r="B98" s="82">
        <v>45933</v>
      </c>
      <c r="C98" s="24" t="s">
        <v>87</v>
      </c>
      <c r="D98" s="72" t="s">
        <v>167</v>
      </c>
      <c r="E98" s="81">
        <v>12998.62</v>
      </c>
      <c r="F98" s="81"/>
      <c r="G98" s="72" t="s">
        <v>97</v>
      </c>
      <c r="H98" s="72"/>
      <c r="I98" s="24" t="s">
        <v>77</v>
      </c>
      <c r="J98" s="74">
        <v>2025</v>
      </c>
      <c r="K98" s="74" t="s">
        <v>68</v>
      </c>
    </row>
    <row r="99" spans="2:11">
      <c r="B99" s="82">
        <v>45933</v>
      </c>
      <c r="C99" s="24" t="s">
        <v>87</v>
      </c>
      <c r="D99" s="72" t="s">
        <v>108</v>
      </c>
      <c r="E99" s="81">
        <v>4000</v>
      </c>
      <c r="F99" s="81"/>
      <c r="G99" s="72" t="s">
        <v>89</v>
      </c>
      <c r="H99" s="72"/>
      <c r="I99" s="24" t="s">
        <v>77</v>
      </c>
      <c r="J99" s="74">
        <v>2025</v>
      </c>
      <c r="K99" s="74" t="s">
        <v>68</v>
      </c>
    </row>
    <row r="100" spans="2:11">
      <c r="B100" s="82">
        <v>45933</v>
      </c>
      <c r="C100" s="24" t="s">
        <v>87</v>
      </c>
      <c r="D100" s="72" t="s">
        <v>168</v>
      </c>
      <c r="E100" s="81">
        <v>3500</v>
      </c>
      <c r="F100" s="81"/>
      <c r="G100" s="72" t="s">
        <v>105</v>
      </c>
      <c r="H100" s="72"/>
      <c r="I100" s="24" t="s">
        <v>77</v>
      </c>
      <c r="J100" s="74">
        <v>2025</v>
      </c>
      <c r="K100" s="74" t="s">
        <v>68</v>
      </c>
    </row>
    <row r="101" spans="2:11">
      <c r="B101" s="82">
        <v>45933</v>
      </c>
      <c r="C101" s="24" t="s">
        <v>87</v>
      </c>
      <c r="D101" s="72" t="s">
        <v>109</v>
      </c>
      <c r="E101" s="81">
        <v>1330.4</v>
      </c>
      <c r="F101" s="81"/>
      <c r="G101" s="72" t="s">
        <v>89</v>
      </c>
      <c r="H101" s="72"/>
      <c r="I101" s="24" t="s">
        <v>77</v>
      </c>
      <c r="J101" s="74">
        <v>2025</v>
      </c>
      <c r="K101" s="74" t="s">
        <v>68</v>
      </c>
    </row>
    <row r="102" spans="2:11">
      <c r="B102" s="82">
        <v>45933</v>
      </c>
      <c r="C102" s="24" t="s">
        <v>87</v>
      </c>
      <c r="D102" s="72" t="s">
        <v>151</v>
      </c>
      <c r="E102" s="80">
        <v>1437</v>
      </c>
      <c r="F102" s="81"/>
      <c r="G102" s="72" t="s">
        <v>111</v>
      </c>
      <c r="H102" s="72"/>
      <c r="I102" s="24" t="s">
        <v>77</v>
      </c>
      <c r="J102" s="74">
        <v>2025</v>
      </c>
      <c r="K102" s="74" t="s">
        <v>68</v>
      </c>
    </row>
    <row r="103" spans="2:11">
      <c r="B103" s="82">
        <v>45933</v>
      </c>
      <c r="C103" s="24" t="s">
        <v>87</v>
      </c>
      <c r="D103" s="72" t="s">
        <v>169</v>
      </c>
      <c r="E103" s="80">
        <v>193</v>
      </c>
      <c r="F103" s="81"/>
      <c r="G103" s="72" t="s">
        <v>97</v>
      </c>
      <c r="H103" s="72"/>
      <c r="I103" s="24" t="s">
        <v>77</v>
      </c>
      <c r="J103" s="74">
        <v>2025</v>
      </c>
      <c r="K103" s="74" t="s">
        <v>68</v>
      </c>
    </row>
    <row r="104" spans="2:11">
      <c r="B104" s="82">
        <v>45933</v>
      </c>
      <c r="C104" s="24" t="s">
        <v>87</v>
      </c>
      <c r="D104" s="72" t="s">
        <v>170</v>
      </c>
      <c r="E104" s="80">
        <v>2675</v>
      </c>
      <c r="F104" s="81"/>
      <c r="G104" s="72"/>
      <c r="H104" s="72"/>
      <c r="I104" s="24" t="s">
        <v>77</v>
      </c>
      <c r="J104" s="74">
        <v>2025</v>
      </c>
      <c r="K104" s="74" t="s">
        <v>68</v>
      </c>
    </row>
    <row r="105" spans="2:11">
      <c r="B105" s="82">
        <v>45933</v>
      </c>
      <c r="C105" s="24" t="s">
        <v>87</v>
      </c>
      <c r="D105" s="72" t="s">
        <v>171</v>
      </c>
      <c r="E105" s="80">
        <v>43316</v>
      </c>
      <c r="F105" s="81"/>
      <c r="G105" s="72" t="s">
        <v>103</v>
      </c>
      <c r="H105" s="72"/>
      <c r="I105" s="24" t="s">
        <v>77</v>
      </c>
      <c r="J105" s="74">
        <v>2025</v>
      </c>
      <c r="K105" s="74" t="s">
        <v>68</v>
      </c>
    </row>
    <row r="106" spans="2:11">
      <c r="B106" s="82">
        <v>45933</v>
      </c>
      <c r="C106" s="24" t="s">
        <v>87</v>
      </c>
      <c r="D106" s="72" t="s">
        <v>119</v>
      </c>
      <c r="E106" s="80">
        <v>944</v>
      </c>
      <c r="F106" s="81"/>
      <c r="G106" s="72" t="s">
        <v>89</v>
      </c>
      <c r="H106" s="72"/>
      <c r="I106" s="24" t="s">
        <v>77</v>
      </c>
      <c r="J106" s="74">
        <v>2025</v>
      </c>
      <c r="K106" s="74" t="s">
        <v>68</v>
      </c>
    </row>
    <row r="107" spans="2:11">
      <c r="B107" s="82">
        <v>45933</v>
      </c>
      <c r="C107" s="24" t="s">
        <v>87</v>
      </c>
      <c r="D107" s="72" t="s">
        <v>141</v>
      </c>
      <c r="E107" s="80">
        <v>1353.31</v>
      </c>
      <c r="F107" s="81"/>
      <c r="G107" s="72" t="s">
        <v>97</v>
      </c>
      <c r="H107" s="72"/>
      <c r="I107" s="24" t="s">
        <v>77</v>
      </c>
      <c r="J107" s="74">
        <v>2025</v>
      </c>
      <c r="K107" s="74" t="s">
        <v>68</v>
      </c>
    </row>
    <row r="108" spans="2:11">
      <c r="B108" s="82">
        <v>45933</v>
      </c>
      <c r="C108" s="24" t="s">
        <v>87</v>
      </c>
      <c r="D108" s="72" t="s">
        <v>122</v>
      </c>
      <c r="E108" s="80">
        <v>3000</v>
      </c>
      <c r="F108" s="81"/>
      <c r="G108" s="72" t="s">
        <v>89</v>
      </c>
      <c r="H108" s="72"/>
      <c r="I108" s="24" t="s">
        <v>77</v>
      </c>
      <c r="J108" s="74">
        <v>2025</v>
      </c>
      <c r="K108" s="74" t="s">
        <v>68</v>
      </c>
    </row>
    <row r="109" spans="2:11">
      <c r="B109" s="82">
        <v>45933</v>
      </c>
      <c r="C109" s="24" t="s">
        <v>87</v>
      </c>
      <c r="D109" s="72" t="s">
        <v>101</v>
      </c>
      <c r="E109" s="80">
        <v>1338</v>
      </c>
      <c r="F109" s="81"/>
      <c r="G109" s="72" t="s">
        <v>105</v>
      </c>
      <c r="H109" s="72"/>
      <c r="I109" s="24" t="s">
        <v>77</v>
      </c>
      <c r="J109" s="74">
        <v>2025</v>
      </c>
      <c r="K109" s="74" t="s">
        <v>68</v>
      </c>
    </row>
    <row r="110" spans="2:11">
      <c r="B110" s="82">
        <v>45933</v>
      </c>
      <c r="C110" s="24" t="s">
        <v>87</v>
      </c>
      <c r="D110" s="72" t="s">
        <v>172</v>
      </c>
      <c r="E110" s="80">
        <v>27474.99</v>
      </c>
      <c r="F110" s="80"/>
      <c r="G110" s="24" t="s">
        <v>126</v>
      </c>
      <c r="H110" s="72"/>
      <c r="I110" s="24" t="s">
        <v>77</v>
      </c>
      <c r="J110" s="74">
        <v>2025</v>
      </c>
      <c r="K110" s="74" t="s">
        <v>68</v>
      </c>
    </row>
    <row r="111" spans="2:11">
      <c r="B111" s="82">
        <v>45933</v>
      </c>
      <c r="C111" s="24" t="s">
        <v>87</v>
      </c>
      <c r="D111" s="72" t="s">
        <v>173</v>
      </c>
      <c r="E111" s="80">
        <v>66960</v>
      </c>
      <c r="F111" s="80"/>
      <c r="G111" s="24" t="s">
        <v>103</v>
      </c>
      <c r="H111" s="72"/>
      <c r="I111" s="24" t="s">
        <v>77</v>
      </c>
      <c r="J111" s="74">
        <v>2025</v>
      </c>
      <c r="K111" s="74" t="s">
        <v>68</v>
      </c>
    </row>
    <row r="112" spans="2:11">
      <c r="B112" s="82">
        <v>45933</v>
      </c>
      <c r="C112" s="24" t="s">
        <v>87</v>
      </c>
      <c r="D112" s="72" t="s">
        <v>98</v>
      </c>
      <c r="E112" s="80">
        <v>1063.27</v>
      </c>
      <c r="F112" s="80"/>
      <c r="G112" s="24"/>
      <c r="H112" s="72"/>
      <c r="I112" s="24" t="s">
        <v>77</v>
      </c>
      <c r="J112" s="74">
        <v>2025</v>
      </c>
      <c r="K112" s="74" t="s">
        <v>68</v>
      </c>
    </row>
    <row r="113" spans="2:11">
      <c r="B113" s="82">
        <v>45964</v>
      </c>
      <c r="C113" s="24" t="s">
        <v>87</v>
      </c>
      <c r="D113" s="72" t="s">
        <v>174</v>
      </c>
      <c r="E113" s="80">
        <v>24623.439999999999</v>
      </c>
      <c r="F113" s="80"/>
      <c r="G113" s="24" t="s">
        <v>89</v>
      </c>
      <c r="H113" s="72"/>
      <c r="I113" s="24" t="s">
        <v>78</v>
      </c>
      <c r="J113" s="74">
        <v>2025</v>
      </c>
      <c r="K113" s="74" t="s">
        <v>68</v>
      </c>
    </row>
    <row r="114" spans="2:11">
      <c r="B114" s="82">
        <v>45964</v>
      </c>
      <c r="C114" s="24" t="s">
        <v>87</v>
      </c>
      <c r="D114" s="72" t="s">
        <v>175</v>
      </c>
      <c r="E114" s="80">
        <v>439.51</v>
      </c>
      <c r="F114" s="80"/>
      <c r="G114" s="24" t="s">
        <v>89</v>
      </c>
      <c r="H114" s="72"/>
      <c r="I114" s="24" t="s">
        <v>78</v>
      </c>
      <c r="J114" s="74">
        <v>2025</v>
      </c>
      <c r="K114" s="74" t="s">
        <v>68</v>
      </c>
    </row>
    <row r="115" spans="2:11">
      <c r="B115" s="82">
        <v>45964</v>
      </c>
      <c r="C115" s="24" t="s">
        <v>87</v>
      </c>
      <c r="D115" s="72" t="s">
        <v>141</v>
      </c>
      <c r="E115" s="80">
        <v>1384</v>
      </c>
      <c r="F115" s="80"/>
      <c r="G115" s="24" t="s">
        <v>97</v>
      </c>
      <c r="H115" s="72"/>
      <c r="I115" s="24" t="s">
        <v>78</v>
      </c>
      <c r="J115" s="74">
        <v>2025</v>
      </c>
      <c r="K115" s="74" t="s">
        <v>68</v>
      </c>
    </row>
    <row r="116" spans="2:11">
      <c r="B116" s="82">
        <v>45964</v>
      </c>
      <c r="C116" s="24" t="s">
        <v>87</v>
      </c>
      <c r="D116" s="72" t="s">
        <v>176</v>
      </c>
      <c r="E116" s="80">
        <v>1930</v>
      </c>
      <c r="F116" s="80"/>
      <c r="G116" s="24" t="s">
        <v>97</v>
      </c>
      <c r="H116" s="72"/>
      <c r="I116" s="24" t="s">
        <v>78</v>
      </c>
      <c r="J116" s="74">
        <v>2025</v>
      </c>
      <c r="K116" s="74" t="s">
        <v>68</v>
      </c>
    </row>
    <row r="117" spans="2:11">
      <c r="B117" s="82">
        <v>45964</v>
      </c>
      <c r="C117" s="24" t="s">
        <v>87</v>
      </c>
      <c r="D117" s="72" t="s">
        <v>177</v>
      </c>
      <c r="E117" s="80">
        <v>9000</v>
      </c>
      <c r="F117" s="80"/>
      <c r="G117" s="24" t="s">
        <v>97</v>
      </c>
      <c r="H117" s="72"/>
      <c r="I117" s="24" t="s">
        <v>78</v>
      </c>
      <c r="J117" s="74">
        <v>2025</v>
      </c>
      <c r="K117" s="74" t="s">
        <v>68</v>
      </c>
    </row>
    <row r="118" spans="2:11">
      <c r="B118" s="82">
        <v>45964</v>
      </c>
      <c r="C118" s="24" t="s">
        <v>87</v>
      </c>
      <c r="D118" s="72" t="s">
        <v>120</v>
      </c>
      <c r="E118" s="80">
        <v>3850</v>
      </c>
      <c r="F118" s="81"/>
      <c r="G118" s="72" t="s">
        <v>97</v>
      </c>
      <c r="H118" s="72"/>
      <c r="I118" s="24" t="s">
        <v>78</v>
      </c>
      <c r="J118" s="74">
        <v>2025</v>
      </c>
      <c r="K118" s="74" t="s">
        <v>68</v>
      </c>
    </row>
    <row r="119" spans="2:11">
      <c r="B119" s="82">
        <v>45964</v>
      </c>
      <c r="C119" s="24" t="s">
        <v>87</v>
      </c>
      <c r="D119" s="72" t="s">
        <v>178</v>
      </c>
      <c r="E119" s="80">
        <v>4180</v>
      </c>
      <c r="F119" s="81"/>
      <c r="G119" s="72" t="s">
        <v>97</v>
      </c>
      <c r="H119" s="72"/>
      <c r="I119" s="24" t="s">
        <v>78</v>
      </c>
      <c r="J119" s="74">
        <v>2025</v>
      </c>
      <c r="K119" s="74" t="s">
        <v>68</v>
      </c>
    </row>
    <row r="120" spans="2:11">
      <c r="B120" s="82">
        <v>45964</v>
      </c>
      <c r="C120" s="24" t="s">
        <v>87</v>
      </c>
      <c r="D120" s="72" t="s">
        <v>179</v>
      </c>
      <c r="E120" s="80">
        <v>1423.37</v>
      </c>
      <c r="F120" s="81"/>
      <c r="G120" s="72"/>
      <c r="H120" s="72"/>
      <c r="I120" s="24" t="s">
        <v>78</v>
      </c>
      <c r="J120" s="74">
        <v>2025</v>
      </c>
      <c r="K120" s="74" t="s">
        <v>68</v>
      </c>
    </row>
    <row r="121" spans="2:11">
      <c r="B121" s="82">
        <v>45964</v>
      </c>
      <c r="C121" s="24" t="s">
        <v>87</v>
      </c>
      <c r="D121" s="72" t="s">
        <v>100</v>
      </c>
      <c r="E121" s="80">
        <v>826</v>
      </c>
      <c r="F121" s="81"/>
      <c r="G121" s="72" t="s">
        <v>89</v>
      </c>
      <c r="H121" s="72"/>
      <c r="I121" s="24" t="s">
        <v>78</v>
      </c>
      <c r="J121" s="74">
        <v>2025</v>
      </c>
      <c r="K121" s="74" t="s">
        <v>68</v>
      </c>
    </row>
    <row r="122" spans="2:11">
      <c r="B122" s="82">
        <v>45964</v>
      </c>
      <c r="C122" s="24" t="s">
        <v>87</v>
      </c>
      <c r="D122" s="72" t="s">
        <v>172</v>
      </c>
      <c r="E122" s="80">
        <v>26200</v>
      </c>
      <c r="F122" s="81"/>
      <c r="G122" s="72" t="s">
        <v>126</v>
      </c>
      <c r="H122" s="72"/>
      <c r="I122" s="24" t="s">
        <v>78</v>
      </c>
      <c r="J122" s="74">
        <v>2025</v>
      </c>
      <c r="K122" s="74" t="s">
        <v>68</v>
      </c>
    </row>
    <row r="123" spans="2:11">
      <c r="B123" s="82">
        <v>45964</v>
      </c>
      <c r="C123" s="24" t="s">
        <v>87</v>
      </c>
      <c r="D123" s="72" t="s">
        <v>180</v>
      </c>
      <c r="E123" s="80">
        <v>1500</v>
      </c>
      <c r="F123" s="81"/>
      <c r="G123" s="72" t="s">
        <v>97</v>
      </c>
      <c r="H123" s="72"/>
      <c r="I123" s="24" t="s">
        <v>78</v>
      </c>
      <c r="J123" s="74">
        <v>2025</v>
      </c>
      <c r="K123" s="74" t="s">
        <v>68</v>
      </c>
    </row>
    <row r="124" spans="2:11">
      <c r="B124" s="82">
        <v>45964</v>
      </c>
      <c r="C124" s="24" t="s">
        <v>87</v>
      </c>
      <c r="D124" s="72" t="s">
        <v>181</v>
      </c>
      <c r="E124" s="80">
        <v>525</v>
      </c>
      <c r="F124" s="81"/>
      <c r="G124" s="72" t="s">
        <v>97</v>
      </c>
      <c r="H124" s="72"/>
      <c r="I124" s="24" t="s">
        <v>78</v>
      </c>
      <c r="J124" s="74">
        <v>2025</v>
      </c>
      <c r="K124" s="74" t="s">
        <v>68</v>
      </c>
    </row>
    <row r="125" spans="2:11">
      <c r="B125" s="82">
        <v>45964</v>
      </c>
      <c r="C125" s="24" t="s">
        <v>87</v>
      </c>
      <c r="D125" s="72" t="s">
        <v>98</v>
      </c>
      <c r="E125" s="80">
        <v>292.60000000000002</v>
      </c>
      <c r="F125" s="81"/>
      <c r="G125" s="72" t="s">
        <v>97</v>
      </c>
      <c r="H125" s="72"/>
      <c r="I125" s="24" t="s">
        <v>78</v>
      </c>
      <c r="J125" s="74">
        <v>2025</v>
      </c>
      <c r="K125" s="74" t="s">
        <v>68</v>
      </c>
    </row>
    <row r="126" spans="2:11">
      <c r="B126" s="82">
        <v>45964</v>
      </c>
      <c r="C126" s="24" t="s">
        <v>87</v>
      </c>
      <c r="D126" s="72" t="s">
        <v>182</v>
      </c>
      <c r="E126" s="80">
        <v>933.33</v>
      </c>
      <c r="F126" s="80"/>
      <c r="G126" s="24"/>
      <c r="H126" s="72"/>
      <c r="I126" s="24" t="s">
        <v>78</v>
      </c>
      <c r="J126" s="74">
        <v>2025</v>
      </c>
      <c r="K126" s="74" t="s">
        <v>68</v>
      </c>
    </row>
    <row r="127" spans="2:11">
      <c r="B127" s="82">
        <v>45964</v>
      </c>
      <c r="C127" s="24" t="s">
        <v>87</v>
      </c>
      <c r="D127" s="72" t="s">
        <v>108</v>
      </c>
      <c r="E127" s="80">
        <v>4000</v>
      </c>
      <c r="F127" s="80"/>
      <c r="G127" s="24" t="s">
        <v>89</v>
      </c>
      <c r="H127" s="72"/>
      <c r="I127" s="24" t="s">
        <v>78</v>
      </c>
      <c r="J127" s="74">
        <v>2025</v>
      </c>
      <c r="K127" s="74" t="s">
        <v>68</v>
      </c>
    </row>
    <row r="128" spans="2:11">
      <c r="B128" s="82">
        <v>45964</v>
      </c>
      <c r="C128" s="24" t="s">
        <v>87</v>
      </c>
      <c r="D128" s="72" t="s">
        <v>109</v>
      </c>
      <c r="E128" s="80">
        <v>1330.4</v>
      </c>
      <c r="F128" s="80"/>
      <c r="G128" s="24" t="s">
        <v>89</v>
      </c>
      <c r="H128" s="72"/>
      <c r="I128" s="24" t="s">
        <v>78</v>
      </c>
      <c r="J128" s="74">
        <v>2025</v>
      </c>
      <c r="K128" s="74" t="s">
        <v>68</v>
      </c>
    </row>
    <row r="129" spans="2:16">
      <c r="B129" s="82">
        <v>45964</v>
      </c>
      <c r="C129" s="24" t="s">
        <v>87</v>
      </c>
      <c r="D129" s="72" t="s">
        <v>110</v>
      </c>
      <c r="E129" s="80">
        <v>1437</v>
      </c>
      <c r="F129" s="80"/>
      <c r="G129" s="24"/>
      <c r="H129" s="72"/>
      <c r="I129" s="24" t="s">
        <v>78</v>
      </c>
      <c r="J129" s="74">
        <v>2025</v>
      </c>
      <c r="K129" s="74" t="s">
        <v>68</v>
      </c>
    </row>
    <row r="130" spans="2:16">
      <c r="B130" s="82">
        <v>45964</v>
      </c>
      <c r="C130" s="24" t="s">
        <v>87</v>
      </c>
      <c r="D130" s="72" t="s">
        <v>61</v>
      </c>
      <c r="E130" s="80">
        <v>4000</v>
      </c>
      <c r="F130" s="80"/>
      <c r="G130" s="24" t="s">
        <v>105</v>
      </c>
      <c r="H130" s="72"/>
      <c r="I130" s="24" t="s">
        <v>78</v>
      </c>
      <c r="J130" s="74">
        <v>2025</v>
      </c>
      <c r="K130" s="74" t="s">
        <v>68</v>
      </c>
    </row>
    <row r="131" spans="2:16">
      <c r="B131" s="82">
        <v>45964</v>
      </c>
      <c r="C131" s="24" t="s">
        <v>87</v>
      </c>
      <c r="D131" s="72" t="s">
        <v>183</v>
      </c>
      <c r="E131" s="80">
        <v>2000</v>
      </c>
      <c r="F131" s="80"/>
      <c r="G131" s="24"/>
      <c r="H131" s="72"/>
      <c r="I131" s="24" t="s">
        <v>78</v>
      </c>
      <c r="J131" s="74">
        <v>2025</v>
      </c>
      <c r="K131" s="74" t="s">
        <v>68</v>
      </c>
    </row>
    <row r="132" spans="2:16">
      <c r="B132" s="82">
        <v>45964</v>
      </c>
      <c r="C132" s="24" t="s">
        <v>87</v>
      </c>
      <c r="D132" s="72" t="s">
        <v>119</v>
      </c>
      <c r="E132" s="80">
        <v>944</v>
      </c>
      <c r="F132" s="80"/>
      <c r="G132" s="24" t="s">
        <v>89</v>
      </c>
      <c r="H132" s="72"/>
      <c r="I132" s="24" t="s">
        <v>78</v>
      </c>
      <c r="J132" s="74">
        <v>2025</v>
      </c>
      <c r="K132" s="74" t="s">
        <v>68</v>
      </c>
    </row>
    <row r="133" spans="2:16">
      <c r="B133" s="82">
        <v>45964</v>
      </c>
      <c r="C133" s="24" t="s">
        <v>87</v>
      </c>
      <c r="D133" s="72" t="s">
        <v>141</v>
      </c>
      <c r="E133" s="80">
        <v>5845.67</v>
      </c>
      <c r="F133" s="80"/>
      <c r="G133" s="24" t="s">
        <v>97</v>
      </c>
      <c r="H133" s="72"/>
      <c r="I133" s="24" t="s">
        <v>78</v>
      </c>
      <c r="J133" s="74">
        <v>2025</v>
      </c>
      <c r="K133" s="74" t="s">
        <v>68</v>
      </c>
    </row>
    <row r="134" spans="2:16">
      <c r="B134" s="82">
        <v>45964</v>
      </c>
      <c r="C134" s="24" t="s">
        <v>87</v>
      </c>
      <c r="D134" s="72" t="s">
        <v>122</v>
      </c>
      <c r="E134" s="80">
        <v>3000</v>
      </c>
      <c r="F134" s="80"/>
      <c r="G134" s="24" t="s">
        <v>89</v>
      </c>
      <c r="H134" s="72"/>
      <c r="I134" s="24" t="s">
        <v>78</v>
      </c>
      <c r="J134" s="74">
        <v>2025</v>
      </c>
      <c r="K134" s="74" t="s">
        <v>68</v>
      </c>
      <c r="P134">
        <v>1000</v>
      </c>
    </row>
    <row r="135" spans="2:16">
      <c r="B135" s="82">
        <v>45964</v>
      </c>
      <c r="C135" s="24" t="s">
        <v>87</v>
      </c>
      <c r="D135" s="72" t="s">
        <v>184</v>
      </c>
      <c r="E135" s="80">
        <v>3500</v>
      </c>
      <c r="F135" s="80"/>
      <c r="G135" s="24"/>
      <c r="H135" s="72"/>
      <c r="I135" s="24" t="s">
        <v>78</v>
      </c>
      <c r="J135" s="74">
        <v>2025</v>
      </c>
      <c r="K135" s="74" t="s">
        <v>68</v>
      </c>
      <c r="P135">
        <v>8</v>
      </c>
    </row>
    <row r="136" spans="2:16">
      <c r="B136" s="82">
        <v>45964</v>
      </c>
      <c r="C136" s="24" t="s">
        <v>87</v>
      </c>
      <c r="D136" s="72" t="s">
        <v>162</v>
      </c>
      <c r="E136" s="80">
        <v>160</v>
      </c>
      <c r="F136" s="80"/>
      <c r="G136" s="24" t="s">
        <v>89</v>
      </c>
      <c r="H136" s="72"/>
      <c r="I136" s="24" t="s">
        <v>78</v>
      </c>
      <c r="J136" s="74">
        <v>2025</v>
      </c>
      <c r="K136" s="74" t="s">
        <v>68</v>
      </c>
      <c r="P136">
        <v>90</v>
      </c>
    </row>
    <row r="137" spans="2:16">
      <c r="B137" s="82">
        <v>45964</v>
      </c>
      <c r="C137" s="24" t="s">
        <v>87</v>
      </c>
      <c r="D137" s="72" t="s">
        <v>185</v>
      </c>
      <c r="E137" s="80">
        <v>3500</v>
      </c>
      <c r="F137" s="80"/>
      <c r="G137" s="24" t="s">
        <v>97</v>
      </c>
      <c r="H137" s="72"/>
      <c r="I137" s="24" t="s">
        <v>78</v>
      </c>
      <c r="J137" s="74">
        <v>2025</v>
      </c>
      <c r="K137" s="74" t="s">
        <v>68</v>
      </c>
      <c r="P137">
        <f>P134*P135*P136</f>
        <v>720000</v>
      </c>
    </row>
    <row r="138" spans="2:16">
      <c r="B138" s="82">
        <v>45964</v>
      </c>
      <c r="C138" s="24" t="s">
        <v>87</v>
      </c>
      <c r="D138" s="72" t="s">
        <v>98</v>
      </c>
      <c r="E138" s="80">
        <v>14175.9</v>
      </c>
      <c r="F138" s="80"/>
      <c r="G138" s="24" t="s">
        <v>97</v>
      </c>
      <c r="H138" s="72"/>
      <c r="I138" s="24" t="s">
        <v>78</v>
      </c>
      <c r="J138" s="74">
        <v>2025</v>
      </c>
      <c r="K138" s="74" t="s">
        <v>68</v>
      </c>
      <c r="P138">
        <f>P137/250</f>
        <v>2880</v>
      </c>
    </row>
    <row r="139" spans="2:16">
      <c r="B139" s="82">
        <v>45964</v>
      </c>
      <c r="C139" s="24" t="s">
        <v>87</v>
      </c>
      <c r="D139" s="72" t="s">
        <v>186</v>
      </c>
      <c r="E139" s="80">
        <v>2000</v>
      </c>
      <c r="F139" s="80"/>
      <c r="G139" s="24" t="s">
        <v>105</v>
      </c>
      <c r="H139" s="72"/>
      <c r="I139" s="24" t="s">
        <v>78</v>
      </c>
      <c r="J139" s="74">
        <v>2025</v>
      </c>
      <c r="K139" s="74" t="s">
        <v>68</v>
      </c>
      <c r="P139">
        <f>P138/40</f>
        <v>72</v>
      </c>
    </row>
    <row r="140" spans="2:16">
      <c r="B140" s="82">
        <v>45994</v>
      </c>
      <c r="C140" s="24" t="s">
        <v>87</v>
      </c>
      <c r="D140" s="72" t="s">
        <v>174</v>
      </c>
      <c r="E140" s="80">
        <v>17600</v>
      </c>
      <c r="F140" s="80"/>
      <c r="G140" s="24" t="s">
        <v>89</v>
      </c>
      <c r="H140" s="72"/>
      <c r="I140" s="24" t="s">
        <v>79</v>
      </c>
      <c r="J140" s="74">
        <v>2025</v>
      </c>
      <c r="K140" s="74" t="s">
        <v>68</v>
      </c>
      <c r="P140">
        <f>35</f>
        <v>35</v>
      </c>
    </row>
    <row r="141" spans="2:16">
      <c r="B141" s="82">
        <v>45994</v>
      </c>
      <c r="C141" s="24" t="s">
        <v>87</v>
      </c>
      <c r="D141" s="72" t="s">
        <v>119</v>
      </c>
      <c r="E141" s="80">
        <v>933.33</v>
      </c>
      <c r="F141" s="80"/>
      <c r="G141" s="24"/>
      <c r="H141" s="72"/>
      <c r="I141" s="24" t="s">
        <v>79</v>
      </c>
      <c r="J141" s="74">
        <v>2025</v>
      </c>
      <c r="K141" s="74" t="s">
        <v>68</v>
      </c>
      <c r="P141">
        <f>P138*P140</f>
        <v>100800</v>
      </c>
    </row>
    <row r="142" spans="2:16">
      <c r="B142" s="82">
        <v>45994</v>
      </c>
      <c r="C142" s="24" t="s">
        <v>87</v>
      </c>
      <c r="D142" s="72"/>
      <c r="E142" s="80">
        <v>143</v>
      </c>
      <c r="F142" s="80"/>
      <c r="G142" s="24"/>
      <c r="H142" s="72"/>
      <c r="I142" s="24" t="s">
        <v>79</v>
      </c>
      <c r="J142" s="74">
        <v>2025</v>
      </c>
      <c r="K142" s="74" t="s">
        <v>68</v>
      </c>
    </row>
    <row r="143" spans="2:16">
      <c r="B143" s="82">
        <v>45994</v>
      </c>
      <c r="C143" s="24" t="s">
        <v>87</v>
      </c>
      <c r="D143" s="72"/>
      <c r="E143" s="80">
        <v>5000</v>
      </c>
      <c r="F143" s="80"/>
      <c r="G143" s="24"/>
      <c r="H143" s="72"/>
      <c r="I143" s="24" t="s">
        <v>79</v>
      </c>
      <c r="J143" s="74">
        <v>2025</v>
      </c>
      <c r="K143" s="74" t="s">
        <v>68</v>
      </c>
    </row>
    <row r="144" spans="2:16">
      <c r="B144" s="82">
        <v>45994</v>
      </c>
      <c r="C144" s="24" t="s">
        <v>87</v>
      </c>
      <c r="D144" s="72"/>
      <c r="E144" s="80">
        <v>3850</v>
      </c>
      <c r="F144" s="80"/>
      <c r="G144" s="24"/>
      <c r="H144" s="72"/>
      <c r="I144" s="24" t="s">
        <v>79</v>
      </c>
      <c r="J144" s="74">
        <v>2025</v>
      </c>
      <c r="K144" s="74" t="s">
        <v>68</v>
      </c>
    </row>
    <row r="145" spans="2:11">
      <c r="B145" s="82">
        <v>45994</v>
      </c>
      <c r="C145" s="24" t="s">
        <v>87</v>
      </c>
      <c r="D145" s="72"/>
      <c r="E145" s="80">
        <v>5804</v>
      </c>
      <c r="F145" s="80"/>
      <c r="G145" s="24"/>
      <c r="H145" s="72"/>
      <c r="I145" s="24" t="s">
        <v>79</v>
      </c>
      <c r="J145" s="74">
        <v>2025</v>
      </c>
      <c r="K145" s="74" t="s">
        <v>68</v>
      </c>
    </row>
    <row r="146" spans="2:11">
      <c r="B146" s="82">
        <v>45994</v>
      </c>
      <c r="C146" s="24" t="s">
        <v>87</v>
      </c>
      <c r="D146" s="72"/>
      <c r="E146" s="80">
        <v>26200</v>
      </c>
      <c r="F146" s="80"/>
      <c r="G146" s="24"/>
      <c r="H146" s="72"/>
      <c r="I146" s="24" t="s">
        <v>79</v>
      </c>
      <c r="J146" s="74">
        <v>2025</v>
      </c>
      <c r="K146" s="74" t="s">
        <v>68</v>
      </c>
    </row>
    <row r="147" spans="2:11">
      <c r="B147" s="82">
        <v>45994</v>
      </c>
      <c r="C147" s="24" t="s">
        <v>87</v>
      </c>
      <c r="D147" s="72"/>
      <c r="E147" s="80">
        <v>1500</v>
      </c>
      <c r="F147" s="80"/>
      <c r="G147" s="24"/>
      <c r="H147" s="72"/>
      <c r="I147" s="24" t="s">
        <v>79</v>
      </c>
      <c r="J147" s="74">
        <v>2025</v>
      </c>
      <c r="K147" s="74" t="s">
        <v>68</v>
      </c>
    </row>
    <row r="148" spans="2:11">
      <c r="B148" s="82">
        <v>45994</v>
      </c>
      <c r="C148" s="24" t="s">
        <v>87</v>
      </c>
      <c r="D148" s="72"/>
      <c r="E148" s="80">
        <v>1800</v>
      </c>
      <c r="F148" s="80"/>
      <c r="G148" s="24"/>
      <c r="H148" s="72"/>
      <c r="I148" s="24" t="s">
        <v>79</v>
      </c>
      <c r="J148" s="74">
        <v>2025</v>
      </c>
      <c r="K148" s="74" t="s">
        <v>68</v>
      </c>
    </row>
    <row r="149" spans="2:11">
      <c r="B149" s="82">
        <v>45994</v>
      </c>
      <c r="C149" s="24" t="s">
        <v>87</v>
      </c>
      <c r="D149" s="72"/>
      <c r="E149" s="80">
        <v>4000</v>
      </c>
      <c r="F149" s="80"/>
      <c r="G149" s="24"/>
      <c r="H149" s="72"/>
      <c r="I149" s="24" t="s">
        <v>79</v>
      </c>
      <c r="J149" s="74">
        <v>2025</v>
      </c>
      <c r="K149" s="74" t="s">
        <v>68</v>
      </c>
    </row>
    <row r="150" spans="2:11">
      <c r="B150" s="82">
        <v>45994</v>
      </c>
      <c r="C150" s="24" t="s">
        <v>87</v>
      </c>
      <c r="D150" s="72"/>
      <c r="E150" s="79">
        <v>250</v>
      </c>
      <c r="F150" s="79"/>
      <c r="G150" s="72"/>
      <c r="H150" s="72"/>
      <c r="I150" s="24" t="s">
        <v>79</v>
      </c>
      <c r="J150" s="74">
        <v>2025</v>
      </c>
      <c r="K150" s="74" t="s">
        <v>68</v>
      </c>
    </row>
    <row r="151" spans="2:11">
      <c r="B151" s="82">
        <v>45994</v>
      </c>
      <c r="C151" s="24" t="s">
        <v>87</v>
      </c>
      <c r="D151" s="72"/>
      <c r="E151" s="79">
        <v>1164.3499999999999</v>
      </c>
      <c r="F151" s="79"/>
      <c r="G151" s="72"/>
      <c r="H151" s="72"/>
      <c r="I151" s="24" t="s">
        <v>79</v>
      </c>
      <c r="J151" s="74">
        <v>2025</v>
      </c>
      <c r="K151" s="74" t="s">
        <v>68</v>
      </c>
    </row>
    <row r="152" spans="2:11">
      <c r="B152" s="82">
        <v>45994</v>
      </c>
      <c r="C152" s="24" t="s">
        <v>87</v>
      </c>
      <c r="D152" s="72"/>
      <c r="E152" s="81">
        <v>2820</v>
      </c>
      <c r="F152" s="81"/>
      <c r="G152" s="72"/>
      <c r="H152" s="72"/>
      <c r="I152" s="24" t="s">
        <v>79</v>
      </c>
      <c r="J152" s="74">
        <v>2025</v>
      </c>
      <c r="K152" s="74" t="s">
        <v>68</v>
      </c>
    </row>
    <row r="153" spans="2:11">
      <c r="B153" s="82">
        <v>45994</v>
      </c>
      <c r="C153" s="24" t="s">
        <v>87</v>
      </c>
      <c r="D153" s="72"/>
      <c r="E153" s="79">
        <v>3500</v>
      </c>
      <c r="F153" s="79"/>
      <c r="G153" s="72"/>
      <c r="H153" s="72"/>
      <c r="I153" s="24" t="s">
        <v>79</v>
      </c>
      <c r="J153" s="74">
        <v>2025</v>
      </c>
      <c r="K153" s="74" t="s">
        <v>68</v>
      </c>
    </row>
    <row r="154" spans="2:11">
      <c r="B154" s="82">
        <v>45994</v>
      </c>
      <c r="C154" s="24" t="s">
        <v>87</v>
      </c>
      <c r="D154" s="72"/>
      <c r="E154" s="81">
        <v>4480.71</v>
      </c>
      <c r="F154" s="81"/>
      <c r="G154" s="72"/>
      <c r="H154" s="72"/>
      <c r="I154" s="24" t="s">
        <v>79</v>
      </c>
      <c r="J154" s="74">
        <v>2025</v>
      </c>
      <c r="K154" s="74" t="s">
        <v>68</v>
      </c>
    </row>
    <row r="155" spans="2:11">
      <c r="B155" s="82">
        <v>45994</v>
      </c>
      <c r="C155" s="24" t="s">
        <v>87</v>
      </c>
      <c r="D155" s="72"/>
      <c r="E155" s="81">
        <v>4600</v>
      </c>
      <c r="F155" s="81"/>
      <c r="G155" s="72"/>
      <c r="H155" s="72"/>
      <c r="I155" s="24" t="s">
        <v>79</v>
      </c>
      <c r="J155" s="74">
        <v>2025</v>
      </c>
      <c r="K155" s="74" t="s">
        <v>68</v>
      </c>
    </row>
    <row r="156" spans="2:11">
      <c r="B156" s="82">
        <v>45994</v>
      </c>
      <c r="C156" s="24" t="s">
        <v>87</v>
      </c>
      <c r="D156" s="72"/>
      <c r="E156" s="81">
        <v>5845.68</v>
      </c>
      <c r="F156" s="81"/>
      <c r="G156" s="72"/>
      <c r="H156" s="72"/>
      <c r="I156" s="24" t="s">
        <v>79</v>
      </c>
      <c r="J156" s="74">
        <v>2025</v>
      </c>
      <c r="K156" s="74" t="s">
        <v>68</v>
      </c>
    </row>
    <row r="157" spans="2:11">
      <c r="B157" s="82">
        <v>45994</v>
      </c>
      <c r="C157" s="24" t="s">
        <v>87</v>
      </c>
      <c r="D157" s="72"/>
      <c r="E157" s="81">
        <v>2262.67</v>
      </c>
      <c r="F157" s="81"/>
      <c r="G157" s="72"/>
      <c r="H157" s="72"/>
      <c r="I157" s="24" t="s">
        <v>79</v>
      </c>
      <c r="J157" s="74">
        <v>2025</v>
      </c>
      <c r="K157" s="74" t="s">
        <v>68</v>
      </c>
    </row>
    <row r="158" spans="2:11">
      <c r="B158" s="82">
        <v>45994</v>
      </c>
      <c r="C158" s="24" t="s">
        <v>87</v>
      </c>
      <c r="D158" s="72"/>
      <c r="E158" s="81">
        <v>944</v>
      </c>
      <c r="F158" s="81"/>
      <c r="G158" s="72"/>
      <c r="H158" s="72"/>
      <c r="I158" s="24" t="s">
        <v>79</v>
      </c>
      <c r="J158" s="74">
        <v>2025</v>
      </c>
      <c r="K158" s="74" t="s">
        <v>68</v>
      </c>
    </row>
    <row r="159" spans="2:11">
      <c r="B159" s="82">
        <v>45994</v>
      </c>
      <c r="C159" s="24" t="s">
        <v>87</v>
      </c>
      <c r="D159" s="72"/>
      <c r="E159" s="81">
        <v>1281</v>
      </c>
      <c r="F159" s="81"/>
      <c r="G159" s="72"/>
      <c r="H159" s="72"/>
      <c r="I159" s="24" t="s">
        <v>79</v>
      </c>
      <c r="J159" s="74">
        <v>2025</v>
      </c>
      <c r="K159" s="74" t="s">
        <v>68</v>
      </c>
    </row>
    <row r="160" spans="2:11">
      <c r="B160" s="82">
        <v>45994</v>
      </c>
      <c r="C160" s="24" t="s">
        <v>87</v>
      </c>
      <c r="D160" s="72"/>
      <c r="E160" s="81">
        <v>4042</v>
      </c>
      <c r="F160" s="81"/>
      <c r="G160" s="72"/>
      <c r="H160" s="72"/>
      <c r="I160" s="24" t="s">
        <v>79</v>
      </c>
      <c r="J160" s="74">
        <v>2025</v>
      </c>
      <c r="K160" s="74" t="s">
        <v>68</v>
      </c>
    </row>
    <row r="161" spans="2:11">
      <c r="B161" s="82">
        <v>45660</v>
      </c>
      <c r="C161" s="24" t="s">
        <v>87</v>
      </c>
      <c r="D161" s="72"/>
      <c r="E161" s="81">
        <v>1332.97</v>
      </c>
      <c r="F161" s="81"/>
      <c r="G161" s="72"/>
      <c r="H161" s="72"/>
      <c r="I161" s="72" t="s">
        <v>69</v>
      </c>
      <c r="J161" s="74">
        <v>2026</v>
      </c>
      <c r="K161" s="74" t="s">
        <v>68</v>
      </c>
    </row>
    <row r="162" spans="2:11">
      <c r="B162" s="82">
        <v>45660</v>
      </c>
      <c r="C162" s="24" t="s">
        <v>87</v>
      </c>
      <c r="D162" s="72"/>
      <c r="E162" s="81">
        <v>1865.5</v>
      </c>
      <c r="F162" s="81"/>
      <c r="G162" s="72"/>
      <c r="H162" s="72"/>
      <c r="I162" s="72" t="s">
        <v>69</v>
      </c>
      <c r="J162" s="74">
        <v>2026</v>
      </c>
      <c r="K162" s="74" t="s">
        <v>68</v>
      </c>
    </row>
    <row r="163" spans="2:11">
      <c r="B163" s="82">
        <v>45660</v>
      </c>
      <c r="C163" s="24" t="s">
        <v>87</v>
      </c>
      <c r="D163" s="72"/>
      <c r="E163" s="81">
        <v>26200</v>
      </c>
      <c r="F163" s="81"/>
      <c r="G163" s="72"/>
      <c r="H163" s="72"/>
      <c r="I163" s="72" t="s">
        <v>69</v>
      </c>
      <c r="J163" s="74">
        <v>2026</v>
      </c>
      <c r="K163" s="74" t="s">
        <v>68</v>
      </c>
    </row>
    <row r="164" spans="2:11">
      <c r="B164" s="82">
        <v>45660</v>
      </c>
      <c r="C164" s="24" t="s">
        <v>87</v>
      </c>
      <c r="D164" s="72"/>
      <c r="E164" s="81">
        <v>4042</v>
      </c>
      <c r="F164" s="81"/>
      <c r="G164" s="72"/>
      <c r="H164" s="72"/>
      <c r="I164" s="72" t="s">
        <v>69</v>
      </c>
      <c r="J164" s="74">
        <v>2026</v>
      </c>
      <c r="K164" s="74" t="s">
        <v>68</v>
      </c>
    </row>
    <row r="165" spans="2:11">
      <c r="B165" s="82">
        <v>45660</v>
      </c>
      <c r="C165" s="24" t="s">
        <v>87</v>
      </c>
      <c r="D165" s="72"/>
      <c r="E165" s="81">
        <v>1085.3499999999999</v>
      </c>
      <c r="F165" s="81"/>
      <c r="G165" s="72"/>
      <c r="H165" s="72"/>
      <c r="I165" s="72" t="s">
        <v>69</v>
      </c>
      <c r="J165" s="74">
        <v>2026</v>
      </c>
      <c r="K165" s="74" t="s">
        <v>68</v>
      </c>
    </row>
    <row r="166" spans="2:11">
      <c r="B166" s="82">
        <v>45660</v>
      </c>
      <c r="C166" s="24" t="s">
        <v>87</v>
      </c>
      <c r="D166" s="72"/>
      <c r="E166" s="81">
        <v>1000</v>
      </c>
      <c r="F166" s="81"/>
      <c r="G166" s="72"/>
      <c r="H166" s="72"/>
      <c r="I166" s="72" t="s">
        <v>69</v>
      </c>
      <c r="J166" s="74">
        <v>2026</v>
      </c>
      <c r="K166" s="74" t="s">
        <v>68</v>
      </c>
    </row>
    <row r="167" spans="2:11">
      <c r="B167" s="82">
        <v>45660</v>
      </c>
      <c r="C167" s="24" t="s">
        <v>87</v>
      </c>
      <c r="D167" s="72"/>
      <c r="E167" s="81">
        <v>77</v>
      </c>
      <c r="F167" s="81"/>
      <c r="G167" s="72"/>
      <c r="H167" s="72"/>
      <c r="I167" s="72" t="s">
        <v>69</v>
      </c>
      <c r="J167" s="74">
        <v>2026</v>
      </c>
      <c r="K167" s="74" t="s">
        <v>68</v>
      </c>
    </row>
    <row r="168" spans="2:11">
      <c r="B168" s="82">
        <v>45660</v>
      </c>
      <c r="C168" s="24" t="s">
        <v>87</v>
      </c>
      <c r="D168" s="72"/>
      <c r="E168" s="81">
        <v>1230.25</v>
      </c>
      <c r="F168" s="81"/>
      <c r="G168" s="72"/>
      <c r="H168" s="72"/>
      <c r="I168" s="72" t="s">
        <v>69</v>
      </c>
      <c r="J168" s="74">
        <v>2026</v>
      </c>
      <c r="K168" s="74" t="s">
        <v>68</v>
      </c>
    </row>
    <row r="169" spans="2:11">
      <c r="B169" s="82">
        <v>45660</v>
      </c>
      <c r="C169" s="24" t="s">
        <v>87</v>
      </c>
      <c r="D169" s="72"/>
      <c r="E169" s="81">
        <v>120</v>
      </c>
      <c r="F169" s="81"/>
      <c r="G169" s="72"/>
      <c r="H169" s="72"/>
      <c r="I169" s="72" t="s">
        <v>69</v>
      </c>
      <c r="J169" s="74">
        <v>2026</v>
      </c>
      <c r="K169" s="74" t="s">
        <v>68</v>
      </c>
    </row>
    <row r="170" spans="2:11">
      <c r="B170" s="82">
        <v>45660</v>
      </c>
      <c r="C170" s="24" t="s">
        <v>87</v>
      </c>
      <c r="D170" s="72"/>
      <c r="E170" s="81">
        <v>957.16</v>
      </c>
      <c r="F170" s="81"/>
      <c r="G170" s="72"/>
      <c r="H170" s="72"/>
      <c r="I170" s="72" t="s">
        <v>69</v>
      </c>
      <c r="J170" s="74">
        <v>2026</v>
      </c>
      <c r="K170" s="74" t="s">
        <v>68</v>
      </c>
    </row>
    <row r="171" spans="2:11">
      <c r="B171" s="82">
        <v>45660</v>
      </c>
      <c r="C171" s="24" t="s">
        <v>87</v>
      </c>
      <c r="D171" s="72"/>
      <c r="E171" s="81">
        <v>475.02</v>
      </c>
      <c r="F171" s="81"/>
      <c r="G171" s="72"/>
      <c r="H171" s="72"/>
      <c r="I171" s="72" t="s">
        <v>69</v>
      </c>
      <c r="J171" s="74">
        <v>2026</v>
      </c>
      <c r="K171" s="74" t="s">
        <v>68</v>
      </c>
    </row>
    <row r="172" spans="2:11">
      <c r="B172" s="82">
        <v>45660</v>
      </c>
      <c r="C172" s="24" t="s">
        <v>87</v>
      </c>
      <c r="D172" s="72"/>
      <c r="E172" s="81">
        <v>320</v>
      </c>
      <c r="F172" s="81"/>
      <c r="G172" s="72"/>
      <c r="H172" s="72"/>
      <c r="I172" s="72" t="s">
        <v>69</v>
      </c>
      <c r="J172" s="74">
        <v>2026</v>
      </c>
      <c r="K172" s="74" t="s">
        <v>68</v>
      </c>
    </row>
    <row r="173" spans="2:11">
      <c r="B173" s="82">
        <v>45660</v>
      </c>
      <c r="C173" s="24" t="s">
        <v>87</v>
      </c>
      <c r="D173" s="72"/>
      <c r="E173" s="81">
        <v>4000</v>
      </c>
      <c r="F173" s="81"/>
      <c r="G173" s="72"/>
      <c r="H173" s="72"/>
      <c r="I173" s="72" t="s">
        <v>69</v>
      </c>
      <c r="J173" s="74">
        <v>2026</v>
      </c>
      <c r="K173" s="74" t="s">
        <v>68</v>
      </c>
    </row>
    <row r="174" spans="2:11">
      <c r="B174" s="82">
        <v>45660</v>
      </c>
      <c r="C174" s="24" t="s">
        <v>87</v>
      </c>
      <c r="D174" s="72"/>
      <c r="E174" s="81">
        <v>4000</v>
      </c>
      <c r="F174" s="81"/>
      <c r="G174" s="24"/>
      <c r="H174" s="72"/>
      <c r="I174" s="72" t="s">
        <v>69</v>
      </c>
      <c r="J174" s="74">
        <v>2026</v>
      </c>
      <c r="K174" s="74" t="s">
        <v>68</v>
      </c>
    </row>
    <row r="175" spans="2:11">
      <c r="B175" s="82">
        <v>45660</v>
      </c>
      <c r="C175" s="24" t="s">
        <v>87</v>
      </c>
      <c r="D175" s="72"/>
      <c r="E175" s="81">
        <v>1455.07</v>
      </c>
      <c r="F175" s="81"/>
      <c r="G175" s="72"/>
      <c r="H175" s="72"/>
      <c r="I175" s="72" t="s">
        <v>69</v>
      </c>
      <c r="J175" s="74">
        <v>2026</v>
      </c>
      <c r="K175" s="74" t="s">
        <v>68</v>
      </c>
    </row>
    <row r="176" spans="2:11">
      <c r="B176" s="82">
        <v>45660</v>
      </c>
      <c r="C176" s="24" t="s">
        <v>87</v>
      </c>
      <c r="D176" s="72"/>
      <c r="E176" s="81">
        <v>1886.22</v>
      </c>
      <c r="F176" s="81"/>
      <c r="G176" s="24"/>
      <c r="H176" s="72"/>
      <c r="I176" s="72" t="s">
        <v>69</v>
      </c>
      <c r="J176" s="74">
        <v>2026</v>
      </c>
      <c r="K176" s="74" t="s">
        <v>68</v>
      </c>
    </row>
    <row r="177" spans="2:11">
      <c r="B177" s="82">
        <v>45660</v>
      </c>
      <c r="C177" s="24" t="s">
        <v>87</v>
      </c>
      <c r="D177" s="72"/>
      <c r="E177" s="81">
        <v>2461.9499999999998</v>
      </c>
      <c r="F177" s="81"/>
      <c r="G177" s="24"/>
      <c r="H177" s="72"/>
      <c r="I177" s="72" t="s">
        <v>69</v>
      </c>
      <c r="J177" s="74">
        <v>2026</v>
      </c>
      <c r="K177" s="74" t="s">
        <v>68</v>
      </c>
    </row>
    <row r="178" spans="2:11">
      <c r="B178" s="82">
        <v>45660</v>
      </c>
      <c r="C178" s="24" t="s">
        <v>87</v>
      </c>
      <c r="D178" s="72"/>
      <c r="E178" s="81">
        <v>3546.4</v>
      </c>
      <c r="F178" s="81"/>
      <c r="G178" s="24"/>
      <c r="H178" s="72"/>
      <c r="I178" s="72" t="s">
        <v>69</v>
      </c>
      <c r="J178" s="74">
        <v>2026</v>
      </c>
      <c r="K178" s="74" t="s">
        <v>68</v>
      </c>
    </row>
    <row r="179" spans="2:11">
      <c r="B179" s="82">
        <v>45660</v>
      </c>
      <c r="C179" s="24" t="s">
        <v>87</v>
      </c>
      <c r="D179" s="72"/>
      <c r="E179" s="81">
        <v>8164</v>
      </c>
      <c r="F179" s="81"/>
      <c r="G179" s="72"/>
      <c r="H179" s="72"/>
      <c r="I179" s="72" t="s">
        <v>69</v>
      </c>
      <c r="J179" s="74">
        <v>2026</v>
      </c>
      <c r="K179" s="74" t="s">
        <v>68</v>
      </c>
    </row>
    <row r="180" spans="2:11">
      <c r="B180" s="82">
        <v>45660</v>
      </c>
      <c r="C180" s="24" t="s">
        <v>87</v>
      </c>
      <c r="D180" s="72"/>
      <c r="E180" s="81">
        <v>4247.24</v>
      </c>
      <c r="F180" s="81"/>
      <c r="G180" s="72"/>
      <c r="H180" s="72"/>
      <c r="I180" s="72" t="s">
        <v>69</v>
      </c>
      <c r="J180" s="74">
        <v>2026</v>
      </c>
      <c r="K180" s="74" t="s">
        <v>68</v>
      </c>
    </row>
    <row r="181" spans="2:11">
      <c r="B181" s="82">
        <v>45660</v>
      </c>
      <c r="C181" s="24" t="s">
        <v>87</v>
      </c>
      <c r="D181" s="72"/>
      <c r="E181" s="81">
        <v>1582.02</v>
      </c>
      <c r="F181" s="81"/>
      <c r="G181" s="72"/>
      <c r="H181" s="72"/>
      <c r="I181" s="72" t="s">
        <v>69</v>
      </c>
      <c r="J181" s="74">
        <v>2026</v>
      </c>
      <c r="K181" s="74" t="s">
        <v>68</v>
      </c>
    </row>
    <row r="182" spans="2:11">
      <c r="B182" s="82">
        <v>45660</v>
      </c>
      <c r="C182" s="24" t="s">
        <v>87</v>
      </c>
      <c r="D182" s="72"/>
      <c r="E182" s="81">
        <v>1153.8</v>
      </c>
      <c r="F182" s="81"/>
      <c r="G182" s="72"/>
      <c r="H182" s="72"/>
      <c r="I182" s="72" t="s">
        <v>69</v>
      </c>
      <c r="J182" s="74">
        <v>2026</v>
      </c>
      <c r="K182" s="74" t="s">
        <v>68</v>
      </c>
    </row>
    <row r="183" spans="2:11">
      <c r="B183" s="82">
        <v>45660</v>
      </c>
      <c r="C183" s="24" t="s">
        <v>87</v>
      </c>
      <c r="D183" s="72"/>
      <c r="E183" s="81">
        <v>770</v>
      </c>
      <c r="F183" s="81"/>
      <c r="G183" s="72"/>
      <c r="H183" s="72"/>
      <c r="I183" s="72" t="s">
        <v>69</v>
      </c>
      <c r="J183" s="74">
        <v>2026</v>
      </c>
      <c r="K183" s="74" t="s">
        <v>68</v>
      </c>
    </row>
    <row r="184" spans="2:11">
      <c r="B184" s="82">
        <v>45660</v>
      </c>
      <c r="C184" s="24" t="s">
        <v>87</v>
      </c>
      <c r="D184" s="72"/>
      <c r="E184" s="81">
        <v>3627.42</v>
      </c>
      <c r="F184" s="81"/>
      <c r="G184" s="72"/>
      <c r="H184" s="72"/>
      <c r="I184" s="72" t="s">
        <v>69</v>
      </c>
      <c r="J184" s="74">
        <v>2026</v>
      </c>
      <c r="K184" s="74" t="s">
        <v>68</v>
      </c>
    </row>
    <row r="185" spans="2:11">
      <c r="B185" s="82">
        <v>45660</v>
      </c>
      <c r="C185" s="24" t="s">
        <v>87</v>
      </c>
      <c r="D185" s="72"/>
      <c r="E185" s="81">
        <v>636</v>
      </c>
      <c r="F185" s="81"/>
      <c r="G185" s="72"/>
      <c r="H185" s="72"/>
      <c r="I185" s="72" t="s">
        <v>69</v>
      </c>
      <c r="J185" s="74">
        <v>2026</v>
      </c>
      <c r="K185" s="74" t="s">
        <v>68</v>
      </c>
    </row>
    <row r="186" spans="2:11">
      <c r="B186" s="82">
        <v>45660</v>
      </c>
      <c r="C186" s="24" t="s">
        <v>87</v>
      </c>
      <c r="D186" s="72"/>
      <c r="E186" s="81">
        <v>2262.67</v>
      </c>
      <c r="F186" s="81"/>
      <c r="G186" s="72"/>
      <c r="H186" s="72"/>
      <c r="I186" s="72" t="s">
        <v>69</v>
      </c>
      <c r="J186" s="74">
        <v>2026</v>
      </c>
      <c r="K186" s="74" t="s">
        <v>68</v>
      </c>
    </row>
    <row r="187" spans="2:11">
      <c r="B187" s="82">
        <v>45660</v>
      </c>
      <c r="C187" s="24" t="s">
        <v>87</v>
      </c>
      <c r="D187" s="72"/>
      <c r="E187" s="81">
        <v>4256</v>
      </c>
      <c r="F187" s="81"/>
      <c r="G187" s="72"/>
      <c r="H187" s="72"/>
      <c r="I187" s="72" t="s">
        <v>69</v>
      </c>
      <c r="J187" s="74">
        <v>2026</v>
      </c>
      <c r="K187" s="74" t="s">
        <v>68</v>
      </c>
    </row>
    <row r="188" spans="2:11">
      <c r="B188" s="82">
        <v>45660</v>
      </c>
      <c r="C188" s="24" t="s">
        <v>87</v>
      </c>
      <c r="D188" s="72"/>
      <c r="E188" s="81">
        <v>3000</v>
      </c>
      <c r="F188" s="81"/>
      <c r="G188" s="72"/>
      <c r="H188" s="72"/>
      <c r="I188" s="72" t="s">
        <v>69</v>
      </c>
      <c r="J188" s="74">
        <v>2026</v>
      </c>
      <c r="K188" s="74" t="s">
        <v>68</v>
      </c>
    </row>
    <row r="189" spans="2:11">
      <c r="B189" s="82">
        <v>45660</v>
      </c>
      <c r="C189" s="24" t="s">
        <v>87</v>
      </c>
      <c r="D189" s="72"/>
      <c r="E189" s="81">
        <v>10000</v>
      </c>
      <c r="F189" s="81"/>
      <c r="G189" s="72"/>
      <c r="H189" s="72"/>
      <c r="I189" s="72" t="s">
        <v>69</v>
      </c>
      <c r="J189" s="74">
        <v>2026</v>
      </c>
      <c r="K189" s="74" t="s">
        <v>68</v>
      </c>
    </row>
    <row r="190" spans="2:11">
      <c r="B190" s="82">
        <v>45660</v>
      </c>
      <c r="C190" s="24" t="s">
        <v>87</v>
      </c>
      <c r="D190" s="72"/>
      <c r="E190" s="81">
        <v>250</v>
      </c>
      <c r="F190" s="81"/>
      <c r="G190" s="72"/>
      <c r="H190" s="72"/>
      <c r="I190" s="72" t="s">
        <v>69</v>
      </c>
      <c r="J190" s="74">
        <v>2026</v>
      </c>
      <c r="K190" s="74" t="s">
        <v>68</v>
      </c>
    </row>
    <row r="191" spans="2:11">
      <c r="B191" s="82">
        <v>46055</v>
      </c>
      <c r="C191" s="24" t="s">
        <v>87</v>
      </c>
      <c r="D191" s="72"/>
      <c r="E191" s="81">
        <v>14500</v>
      </c>
      <c r="F191" s="81"/>
      <c r="G191" s="72"/>
      <c r="H191" s="72"/>
      <c r="I191" s="72" t="s">
        <v>71</v>
      </c>
      <c r="J191" s="74">
        <v>2026</v>
      </c>
      <c r="K191" s="24" t="s">
        <v>68</v>
      </c>
    </row>
    <row r="192" spans="2:11">
      <c r="B192" s="82">
        <v>46055</v>
      </c>
      <c r="C192" s="24" t="s">
        <v>87</v>
      </c>
      <c r="D192" s="72"/>
      <c r="E192" s="79">
        <v>26200</v>
      </c>
      <c r="F192" s="79"/>
      <c r="G192" s="72"/>
      <c r="H192" s="72"/>
      <c r="I192" s="72" t="s">
        <v>71</v>
      </c>
      <c r="J192" s="74">
        <v>2026</v>
      </c>
      <c r="K192" s="24" t="s">
        <v>68</v>
      </c>
    </row>
    <row r="193" spans="2:11">
      <c r="B193" s="82">
        <v>46055</v>
      </c>
      <c r="C193" s="24" t="s">
        <v>87</v>
      </c>
      <c r="D193" s="72"/>
      <c r="E193" s="79">
        <v>91.1</v>
      </c>
      <c r="F193" s="79"/>
      <c r="G193" s="72"/>
      <c r="H193" s="72"/>
      <c r="I193" s="72" t="s">
        <v>71</v>
      </c>
      <c r="J193" s="74">
        <v>2026</v>
      </c>
      <c r="K193" s="24" t="s">
        <v>68</v>
      </c>
    </row>
    <row r="194" spans="2:11">
      <c r="B194" s="82">
        <v>46055</v>
      </c>
      <c r="C194" s="24" t="s">
        <v>87</v>
      </c>
      <c r="D194" s="72"/>
      <c r="E194" s="81">
        <v>80</v>
      </c>
      <c r="F194" s="81"/>
      <c r="G194" s="72"/>
      <c r="H194" s="72"/>
      <c r="I194" s="72" t="s">
        <v>71</v>
      </c>
      <c r="J194" s="74">
        <v>2026</v>
      </c>
      <c r="K194" s="24" t="s">
        <v>68</v>
      </c>
    </row>
    <row r="195" spans="2:11">
      <c r="B195" s="82">
        <v>46055</v>
      </c>
      <c r="C195" s="24" t="s">
        <v>87</v>
      </c>
      <c r="D195" s="72"/>
      <c r="E195" s="81">
        <v>15356</v>
      </c>
      <c r="F195" s="81"/>
      <c r="G195" s="72"/>
      <c r="H195" s="72"/>
      <c r="I195" s="72" t="s">
        <v>71</v>
      </c>
      <c r="J195" s="74">
        <v>2026</v>
      </c>
      <c r="K195" s="24" t="s">
        <v>68</v>
      </c>
    </row>
    <row r="196" spans="2:11">
      <c r="B196" s="82">
        <v>46055</v>
      </c>
      <c r="C196" s="24" t="s">
        <v>87</v>
      </c>
      <c r="D196" s="72"/>
      <c r="E196" s="81">
        <v>4000</v>
      </c>
      <c r="F196" s="81"/>
      <c r="G196" s="72"/>
      <c r="H196" s="72"/>
      <c r="I196" s="72" t="s">
        <v>71</v>
      </c>
      <c r="J196" s="74">
        <v>2026</v>
      </c>
      <c r="K196" s="24" t="s">
        <v>68</v>
      </c>
    </row>
    <row r="197" spans="2:11">
      <c r="B197" s="82">
        <v>46055</v>
      </c>
      <c r="C197" s="24" t="s">
        <v>87</v>
      </c>
      <c r="D197" s="72"/>
      <c r="E197" s="81">
        <v>1772.99</v>
      </c>
      <c r="F197" s="81"/>
      <c r="G197" s="72"/>
      <c r="H197" s="72"/>
      <c r="I197" s="72" t="s">
        <v>71</v>
      </c>
      <c r="J197" s="74">
        <v>2026</v>
      </c>
      <c r="K197" s="24" t="s">
        <v>68</v>
      </c>
    </row>
    <row r="198" spans="2:11">
      <c r="B198" s="82">
        <v>46055</v>
      </c>
      <c r="C198" s="24" t="s">
        <v>87</v>
      </c>
      <c r="D198" s="72"/>
      <c r="E198" s="81">
        <v>1056</v>
      </c>
      <c r="F198" s="81"/>
      <c r="G198" s="72"/>
      <c r="H198" s="72"/>
      <c r="I198" s="72" t="s">
        <v>71</v>
      </c>
      <c r="J198" s="74">
        <v>2026</v>
      </c>
      <c r="K198" s="24" t="s">
        <v>68</v>
      </c>
    </row>
    <row r="199" spans="2:11">
      <c r="B199" s="82">
        <v>46055</v>
      </c>
      <c r="C199" s="24" t="s">
        <v>87</v>
      </c>
      <c r="D199" s="72"/>
      <c r="E199" s="81">
        <v>1400</v>
      </c>
      <c r="F199" s="81"/>
      <c r="G199" s="72"/>
      <c r="H199" s="72"/>
      <c r="I199" s="72" t="s">
        <v>71</v>
      </c>
      <c r="J199" s="74">
        <v>2026</v>
      </c>
      <c r="K199" s="24" t="s">
        <v>68</v>
      </c>
    </row>
    <row r="200" spans="2:11">
      <c r="B200" s="82">
        <v>46055</v>
      </c>
      <c r="C200" s="24" t="s">
        <v>87</v>
      </c>
      <c r="D200" s="72"/>
      <c r="E200" s="81">
        <v>1330</v>
      </c>
      <c r="F200" s="81"/>
      <c r="G200" s="72"/>
      <c r="H200" s="72"/>
      <c r="I200" s="72" t="s">
        <v>71</v>
      </c>
      <c r="J200" s="74">
        <v>2026</v>
      </c>
      <c r="K200" s="24" t="s">
        <v>68</v>
      </c>
    </row>
    <row r="201" spans="2:11">
      <c r="B201" s="82">
        <v>46055</v>
      </c>
      <c r="C201" s="24" t="s">
        <v>87</v>
      </c>
      <c r="D201" s="72"/>
      <c r="E201" s="81">
        <v>3120</v>
      </c>
      <c r="F201" s="81"/>
      <c r="G201" s="72"/>
      <c r="H201" s="72"/>
      <c r="I201" s="72" t="s">
        <v>71</v>
      </c>
      <c r="J201" s="74">
        <v>2026</v>
      </c>
      <c r="K201" s="24" t="s">
        <v>68</v>
      </c>
    </row>
    <row r="202" spans="2:11">
      <c r="B202" s="82">
        <v>46055</v>
      </c>
      <c r="C202" s="24" t="s">
        <v>87</v>
      </c>
      <c r="D202" s="72"/>
      <c r="E202" s="81">
        <v>2262.67</v>
      </c>
      <c r="F202" s="81"/>
      <c r="G202" s="72"/>
      <c r="H202" s="72"/>
      <c r="I202" s="72" t="s">
        <v>71</v>
      </c>
      <c r="J202" s="74">
        <v>2026</v>
      </c>
      <c r="K202" s="24" t="s">
        <v>68</v>
      </c>
    </row>
    <row r="203" spans="2:11">
      <c r="B203" s="82">
        <v>46055</v>
      </c>
      <c r="C203" s="24" t="s">
        <v>87</v>
      </c>
      <c r="D203" s="72"/>
      <c r="E203" s="81">
        <v>2050</v>
      </c>
      <c r="F203" s="81"/>
      <c r="G203" s="72"/>
      <c r="H203" s="72"/>
      <c r="I203" s="72" t="s">
        <v>71</v>
      </c>
      <c r="J203" s="74">
        <v>2026</v>
      </c>
      <c r="K203" s="24" t="s">
        <v>68</v>
      </c>
    </row>
    <row r="204" spans="2:11">
      <c r="B204" s="82">
        <v>46055</v>
      </c>
      <c r="C204" s="24" t="s">
        <v>87</v>
      </c>
      <c r="D204" s="72"/>
      <c r="E204" s="81">
        <v>4000</v>
      </c>
      <c r="F204" s="81"/>
      <c r="G204" s="72"/>
      <c r="H204" s="72"/>
      <c r="I204" s="72" t="s">
        <v>71</v>
      </c>
      <c r="J204" s="74">
        <v>2026</v>
      </c>
      <c r="K204" s="24" t="s">
        <v>68</v>
      </c>
    </row>
    <row r="205" spans="2:11">
      <c r="B205" s="82">
        <v>46055</v>
      </c>
      <c r="C205" s="24" t="s">
        <v>87</v>
      </c>
      <c r="D205" s="72"/>
      <c r="E205" s="81">
        <v>1000</v>
      </c>
      <c r="F205" s="81"/>
      <c r="G205" s="72"/>
      <c r="H205" s="72"/>
      <c r="I205" s="72" t="s">
        <v>71</v>
      </c>
      <c r="J205" s="74">
        <v>2026</v>
      </c>
      <c r="K205" s="24" t="s">
        <v>68</v>
      </c>
    </row>
    <row r="206" spans="2:11">
      <c r="B206" s="82">
        <v>46055</v>
      </c>
      <c r="C206" s="24" t="s">
        <v>87</v>
      </c>
      <c r="D206" s="72"/>
      <c r="E206" s="81">
        <v>3000</v>
      </c>
      <c r="F206" s="81"/>
      <c r="G206" s="72"/>
      <c r="H206" s="72"/>
      <c r="I206" s="72" t="s">
        <v>71</v>
      </c>
      <c r="J206" s="74">
        <v>2026</v>
      </c>
      <c r="K206" s="24" t="s">
        <v>68</v>
      </c>
    </row>
    <row r="207" spans="2:11">
      <c r="B207" s="82">
        <v>46055</v>
      </c>
      <c r="C207" s="24" t="s">
        <v>87</v>
      </c>
      <c r="D207" s="72"/>
      <c r="E207" s="81">
        <v>2000</v>
      </c>
      <c r="F207" s="81"/>
      <c r="G207" s="72"/>
      <c r="H207" s="72"/>
      <c r="I207" s="72" t="s">
        <v>71</v>
      </c>
      <c r="J207" s="74">
        <v>2026</v>
      </c>
      <c r="K207" s="24" t="s">
        <v>68</v>
      </c>
    </row>
    <row r="208" spans="2:11">
      <c r="B208" s="82">
        <v>46055</v>
      </c>
      <c r="C208" s="24" t="s">
        <v>87</v>
      </c>
      <c r="D208" s="72"/>
      <c r="E208" s="81">
        <v>3714</v>
      </c>
      <c r="F208" s="81"/>
      <c r="G208" s="72"/>
      <c r="H208" s="72"/>
      <c r="I208" s="72" t="s">
        <v>71</v>
      </c>
      <c r="J208" s="74">
        <v>2026</v>
      </c>
      <c r="K208" s="24" t="s">
        <v>68</v>
      </c>
    </row>
    <row r="209" spans="2:11">
      <c r="B209" s="82">
        <v>46055</v>
      </c>
      <c r="C209" s="24" t="s">
        <v>87</v>
      </c>
      <c r="D209" s="72"/>
      <c r="E209" s="81">
        <v>10000</v>
      </c>
      <c r="F209" s="81"/>
      <c r="G209" s="72"/>
      <c r="H209" s="72"/>
      <c r="I209" s="72" t="s">
        <v>71</v>
      </c>
      <c r="J209" s="74">
        <v>2026</v>
      </c>
      <c r="K209" s="24" t="s">
        <v>68</v>
      </c>
    </row>
    <row r="210" spans="2:11">
      <c r="B210" s="82">
        <v>46055</v>
      </c>
      <c r="C210" s="24" t="s">
        <v>87</v>
      </c>
      <c r="D210" s="72"/>
      <c r="E210" s="81">
        <v>450</v>
      </c>
      <c r="F210" s="81"/>
      <c r="G210" s="72"/>
      <c r="H210" s="72"/>
      <c r="I210" s="72" t="s">
        <v>71</v>
      </c>
      <c r="J210" s="74">
        <v>2026</v>
      </c>
      <c r="K210" s="24" t="s">
        <v>68</v>
      </c>
    </row>
    <row r="211" spans="2:11">
      <c r="B211" s="82">
        <v>46083</v>
      </c>
      <c r="C211" s="24" t="s">
        <v>87</v>
      </c>
      <c r="D211" s="72"/>
      <c r="E211" s="81">
        <v>14600</v>
      </c>
      <c r="F211" s="81"/>
      <c r="G211" s="72"/>
      <c r="H211" s="72"/>
      <c r="I211" s="72" t="s">
        <v>72</v>
      </c>
      <c r="J211" s="74">
        <v>2026</v>
      </c>
      <c r="K211" s="24" t="s">
        <v>68</v>
      </c>
    </row>
    <row r="212" spans="2:11">
      <c r="B212" s="82">
        <v>46083</v>
      </c>
      <c r="C212" s="24" t="s">
        <v>87</v>
      </c>
      <c r="D212" s="72"/>
      <c r="E212" s="81">
        <v>700</v>
      </c>
      <c r="F212" s="81"/>
      <c r="G212" s="72"/>
      <c r="H212" s="72"/>
      <c r="I212" s="72" t="s">
        <v>72</v>
      </c>
      <c r="J212" s="74">
        <v>2026</v>
      </c>
      <c r="K212" s="24" t="s">
        <v>68</v>
      </c>
    </row>
    <row r="213" spans="2:11">
      <c r="B213" s="82">
        <v>46083</v>
      </c>
      <c r="C213" s="24" t="s">
        <v>87</v>
      </c>
      <c r="D213" s="72"/>
      <c r="E213" s="81">
        <v>1891.2</v>
      </c>
      <c r="F213" s="81"/>
      <c r="G213" s="72"/>
      <c r="H213" s="72"/>
      <c r="I213" s="72" t="s">
        <v>72</v>
      </c>
      <c r="J213" s="74">
        <v>2026</v>
      </c>
      <c r="K213" s="24" t="s">
        <v>68</v>
      </c>
    </row>
    <row r="214" spans="2:11">
      <c r="B214" s="82">
        <v>46083</v>
      </c>
      <c r="C214" s="24" t="s">
        <v>87</v>
      </c>
      <c r="D214" s="72"/>
      <c r="E214" s="81">
        <v>2500</v>
      </c>
      <c r="F214" s="81"/>
      <c r="G214" s="72"/>
      <c r="H214" s="72"/>
      <c r="I214" s="72" t="s">
        <v>72</v>
      </c>
      <c r="J214" s="74">
        <v>2026</v>
      </c>
      <c r="K214" s="24" t="s">
        <v>68</v>
      </c>
    </row>
    <row r="215" spans="2:11">
      <c r="B215" s="82">
        <v>46083</v>
      </c>
      <c r="C215" s="24" t="s">
        <v>87</v>
      </c>
      <c r="D215" s="72"/>
      <c r="E215" s="81">
        <v>1367.26</v>
      </c>
      <c r="F215" s="81"/>
      <c r="G215" s="72"/>
      <c r="H215" s="72"/>
      <c r="I215" s="72" t="s">
        <v>72</v>
      </c>
      <c r="J215" s="74">
        <v>2026</v>
      </c>
      <c r="K215" s="24" t="s">
        <v>68</v>
      </c>
    </row>
    <row r="216" spans="2:11">
      <c r="B216" s="82">
        <v>46083</v>
      </c>
      <c r="C216" s="24" t="s">
        <v>87</v>
      </c>
      <c r="D216" s="72"/>
      <c r="E216" s="81">
        <v>1380</v>
      </c>
      <c r="F216" s="81"/>
      <c r="G216" s="72"/>
      <c r="H216" s="72"/>
      <c r="I216" s="72" t="s">
        <v>72</v>
      </c>
      <c r="J216" s="74">
        <v>2026</v>
      </c>
      <c r="K216" s="24" t="s">
        <v>68</v>
      </c>
    </row>
    <row r="217" spans="2:11">
      <c r="B217" s="82">
        <v>46083</v>
      </c>
      <c r="C217" s="24" t="s">
        <v>87</v>
      </c>
      <c r="D217" s="72"/>
      <c r="E217" s="81">
        <v>600</v>
      </c>
      <c r="F217" s="81"/>
      <c r="G217" s="72"/>
      <c r="H217" s="72"/>
      <c r="I217" s="72" t="s">
        <v>72</v>
      </c>
      <c r="J217" s="74">
        <v>2026</v>
      </c>
      <c r="K217" s="24" t="s">
        <v>68</v>
      </c>
    </row>
    <row r="218" spans="2:11">
      <c r="B218" s="82">
        <v>46083</v>
      </c>
      <c r="C218" s="24" t="s">
        <v>87</v>
      </c>
      <c r="D218" s="72"/>
      <c r="E218" s="81">
        <v>1070.42</v>
      </c>
      <c r="F218" s="81"/>
      <c r="G218" s="72"/>
      <c r="H218" s="72"/>
      <c r="I218" s="72" t="s">
        <v>72</v>
      </c>
      <c r="J218" s="74">
        <v>2026</v>
      </c>
      <c r="K218" s="24" t="s">
        <v>68</v>
      </c>
    </row>
    <row r="219" spans="2:11">
      <c r="B219" s="82">
        <v>46083</v>
      </c>
      <c r="C219" s="24" t="s">
        <v>87</v>
      </c>
      <c r="D219" s="72"/>
      <c r="E219" s="81">
        <v>8250</v>
      </c>
      <c r="F219" s="81"/>
      <c r="G219" s="72"/>
      <c r="H219" s="72"/>
      <c r="I219" s="72" t="s">
        <v>72</v>
      </c>
      <c r="J219" s="74">
        <v>2026</v>
      </c>
      <c r="K219" s="24" t="s">
        <v>68</v>
      </c>
    </row>
    <row r="220" spans="2:11">
      <c r="B220" s="82">
        <v>46083</v>
      </c>
      <c r="C220" s="24" t="s">
        <v>87</v>
      </c>
      <c r="D220" s="72"/>
      <c r="E220" s="81">
        <v>14200</v>
      </c>
      <c r="F220" s="81"/>
      <c r="G220" s="72"/>
      <c r="H220" s="72"/>
      <c r="I220" s="72" t="s">
        <v>72</v>
      </c>
      <c r="J220" s="74">
        <v>2026</v>
      </c>
      <c r="K220" s="24" t="s">
        <v>68</v>
      </c>
    </row>
    <row r="221" spans="2:11">
      <c r="B221" s="82">
        <v>46083</v>
      </c>
      <c r="C221" s="24" t="s">
        <v>87</v>
      </c>
      <c r="D221" s="72"/>
      <c r="E221" s="81">
        <v>1340</v>
      </c>
      <c r="F221" s="81"/>
      <c r="G221" s="72"/>
      <c r="H221" s="72"/>
      <c r="I221" s="72" t="s">
        <v>72</v>
      </c>
      <c r="J221" s="74">
        <v>2026</v>
      </c>
      <c r="K221" s="24" t="s">
        <v>68</v>
      </c>
    </row>
    <row r="222" spans="2:11">
      <c r="B222" s="82">
        <v>46083</v>
      </c>
      <c r="C222" s="24" t="s">
        <v>87</v>
      </c>
      <c r="D222" s="72"/>
      <c r="E222" s="81">
        <v>4000</v>
      </c>
      <c r="F222" s="81"/>
      <c r="G222" s="72"/>
      <c r="H222" s="72"/>
      <c r="I222" s="72" t="s">
        <v>72</v>
      </c>
      <c r="J222" s="74">
        <v>2026</v>
      </c>
      <c r="K222" s="24" t="s">
        <v>68</v>
      </c>
    </row>
    <row r="223" spans="2:11">
      <c r="B223" s="82">
        <v>46083</v>
      </c>
      <c r="C223" s="24" t="s">
        <v>87</v>
      </c>
      <c r="D223" s="72"/>
      <c r="E223" s="81">
        <v>477.7</v>
      </c>
      <c r="F223" s="81"/>
      <c r="G223" s="72"/>
      <c r="H223" s="72"/>
      <c r="I223" s="72" t="s">
        <v>72</v>
      </c>
      <c r="J223" s="74">
        <v>2026</v>
      </c>
      <c r="K223" s="24" t="s">
        <v>68</v>
      </c>
    </row>
    <row r="224" spans="2:11">
      <c r="B224" s="82">
        <v>46083</v>
      </c>
      <c r="C224" s="24" t="s">
        <v>87</v>
      </c>
      <c r="D224" s="72"/>
      <c r="E224" s="81">
        <v>150</v>
      </c>
      <c r="F224" s="81"/>
      <c r="G224" s="72"/>
      <c r="H224" s="72"/>
      <c r="I224" s="72" t="s">
        <v>72</v>
      </c>
      <c r="J224" s="74">
        <v>2026</v>
      </c>
      <c r="K224" s="24" t="s">
        <v>68</v>
      </c>
    </row>
    <row r="225" spans="2:15">
      <c r="B225" s="82">
        <v>46083</v>
      </c>
      <c r="C225" s="24" t="s">
        <v>87</v>
      </c>
      <c r="D225" s="72"/>
      <c r="E225" s="81">
        <v>1400</v>
      </c>
      <c r="F225" s="81"/>
      <c r="G225" s="72"/>
      <c r="H225" s="72"/>
      <c r="I225" s="72" t="s">
        <v>72</v>
      </c>
      <c r="J225" s="74">
        <v>2026</v>
      </c>
      <c r="K225" s="24" t="s">
        <v>68</v>
      </c>
    </row>
    <row r="226" spans="2:15">
      <c r="B226" s="82">
        <v>46083</v>
      </c>
      <c r="C226" s="24" t="s">
        <v>87</v>
      </c>
      <c r="D226" s="72"/>
      <c r="E226" s="81">
        <v>1141.5999999999999</v>
      </c>
      <c r="F226" s="81"/>
      <c r="G226" s="72"/>
      <c r="H226" s="72"/>
      <c r="I226" s="72" t="s">
        <v>72</v>
      </c>
      <c r="J226" s="74">
        <v>2026</v>
      </c>
      <c r="K226" s="24" t="s">
        <v>68</v>
      </c>
    </row>
    <row r="227" spans="2:15">
      <c r="B227" s="82">
        <v>46083</v>
      </c>
      <c r="C227" s="24" t="s">
        <v>87</v>
      </c>
      <c r="D227" s="72"/>
      <c r="E227" s="81">
        <v>1296.03</v>
      </c>
      <c r="F227" s="81"/>
      <c r="G227" s="72"/>
      <c r="H227" s="72"/>
      <c r="I227" s="72" t="s">
        <v>72</v>
      </c>
      <c r="J227" s="74">
        <v>2026</v>
      </c>
      <c r="K227" s="24" t="s">
        <v>68</v>
      </c>
    </row>
    <row r="228" spans="2:15">
      <c r="B228" s="82">
        <v>46083</v>
      </c>
      <c r="C228" s="24" t="s">
        <v>87</v>
      </c>
      <c r="D228" s="72"/>
      <c r="E228" s="81">
        <v>856</v>
      </c>
      <c r="F228" s="81"/>
      <c r="G228" s="72"/>
      <c r="H228" s="72"/>
      <c r="I228" s="72" t="s">
        <v>72</v>
      </c>
      <c r="J228" s="74">
        <v>2026</v>
      </c>
      <c r="K228" s="24" t="s">
        <v>68</v>
      </c>
    </row>
    <row r="229" spans="2:15">
      <c r="B229" s="82">
        <v>46083</v>
      </c>
      <c r="C229" s="24" t="s">
        <v>87</v>
      </c>
      <c r="D229" s="72"/>
      <c r="E229" s="81">
        <v>380</v>
      </c>
      <c r="F229" s="81"/>
      <c r="G229" s="72"/>
      <c r="H229" s="72"/>
      <c r="I229" s="72" t="s">
        <v>72</v>
      </c>
      <c r="J229" s="74">
        <v>2026</v>
      </c>
      <c r="K229" s="24" t="s">
        <v>68</v>
      </c>
    </row>
    <row r="230" spans="2:15">
      <c r="B230" s="82">
        <v>46083</v>
      </c>
      <c r="C230" s="24" t="s">
        <v>87</v>
      </c>
      <c r="D230" s="72"/>
      <c r="E230" s="81">
        <v>344.8</v>
      </c>
      <c r="F230" s="81"/>
      <c r="G230" s="72"/>
      <c r="H230" s="72"/>
      <c r="I230" s="72" t="s">
        <v>72</v>
      </c>
      <c r="J230" s="74">
        <v>2026</v>
      </c>
      <c r="K230" s="24" t="s">
        <v>68</v>
      </c>
    </row>
    <row r="231" spans="2:15">
      <c r="B231" s="82">
        <v>46083</v>
      </c>
      <c r="C231" s="24" t="s">
        <v>87</v>
      </c>
      <c r="D231" s="72"/>
      <c r="E231" s="81">
        <v>350</v>
      </c>
      <c r="F231" s="81"/>
      <c r="G231" s="72"/>
      <c r="H231" s="72"/>
      <c r="I231" s="72" t="s">
        <v>72</v>
      </c>
      <c r="J231" s="74">
        <v>2026</v>
      </c>
      <c r="K231" s="24" t="s">
        <v>68</v>
      </c>
    </row>
    <row r="232" spans="2:15">
      <c r="B232" s="82">
        <v>46083</v>
      </c>
      <c r="C232" s="24" t="s">
        <v>87</v>
      </c>
      <c r="D232" s="72"/>
      <c r="E232" s="81">
        <v>2262.67</v>
      </c>
      <c r="F232" s="81"/>
      <c r="G232" s="72"/>
      <c r="H232" s="72"/>
      <c r="I232" s="72" t="s">
        <v>72</v>
      </c>
      <c r="J232" s="74">
        <v>2026</v>
      </c>
      <c r="K232" s="24" t="s">
        <v>68</v>
      </c>
      <c r="L232" s="2"/>
      <c r="M232" s="2"/>
      <c r="N232" s="2"/>
      <c r="O232" s="2"/>
    </row>
    <row r="233" spans="2:15">
      <c r="B233" s="82">
        <v>46083</v>
      </c>
      <c r="C233" s="24" t="s">
        <v>87</v>
      </c>
      <c r="D233" s="72"/>
      <c r="E233" s="81">
        <v>1000</v>
      </c>
      <c r="F233" s="81"/>
      <c r="G233" s="72"/>
      <c r="H233" s="72"/>
      <c r="I233" s="72" t="s">
        <v>72</v>
      </c>
      <c r="J233" s="74">
        <v>2026</v>
      </c>
      <c r="K233" s="24" t="s">
        <v>68</v>
      </c>
      <c r="L233" s="2"/>
      <c r="M233" s="2"/>
      <c r="N233" s="2"/>
      <c r="O233" s="2"/>
    </row>
    <row r="234" spans="2:15">
      <c r="B234" s="82">
        <v>46083</v>
      </c>
      <c r="C234" s="24" t="s">
        <v>87</v>
      </c>
      <c r="D234" s="72"/>
      <c r="E234" s="81">
        <v>9250</v>
      </c>
      <c r="F234" s="81"/>
      <c r="G234" s="72"/>
      <c r="H234" s="72"/>
      <c r="I234" s="72" t="s">
        <v>72</v>
      </c>
      <c r="J234" s="74">
        <v>2026</v>
      </c>
      <c r="K234" s="24" t="s">
        <v>68</v>
      </c>
      <c r="L234" s="2"/>
      <c r="M234" s="2"/>
      <c r="N234" s="2"/>
      <c r="O234" s="2"/>
    </row>
    <row r="235" spans="2:15">
      <c r="B235" s="82">
        <v>46083</v>
      </c>
      <c r="C235" s="24" t="s">
        <v>87</v>
      </c>
      <c r="D235" s="72"/>
      <c r="E235" s="81">
        <v>10000</v>
      </c>
      <c r="F235" s="81"/>
      <c r="G235" s="72"/>
      <c r="H235" s="72"/>
      <c r="I235" s="72" t="s">
        <v>72</v>
      </c>
      <c r="J235" s="74">
        <v>2026</v>
      </c>
      <c r="K235" s="24" t="s">
        <v>68</v>
      </c>
      <c r="L235" s="2"/>
      <c r="M235" s="2"/>
      <c r="N235" s="2"/>
      <c r="O235" s="2"/>
    </row>
    <row r="236" spans="2:15">
      <c r="B236" s="82">
        <v>46083</v>
      </c>
      <c r="C236" s="24" t="s">
        <v>87</v>
      </c>
      <c r="D236" s="72"/>
      <c r="E236" s="81">
        <v>948.45</v>
      </c>
      <c r="F236" s="81"/>
      <c r="G236" s="72"/>
      <c r="H236" s="72"/>
      <c r="I236" s="72" t="s">
        <v>72</v>
      </c>
      <c r="J236" s="74">
        <v>2026</v>
      </c>
      <c r="K236" s="24" t="s">
        <v>68</v>
      </c>
      <c r="L236" s="2"/>
      <c r="M236" s="2"/>
      <c r="N236" s="2"/>
      <c r="O236" s="2"/>
    </row>
    <row r="237" spans="2:15">
      <c r="B237" s="82">
        <v>46083</v>
      </c>
      <c r="C237" s="24" t="s">
        <v>87</v>
      </c>
      <c r="D237" s="72"/>
      <c r="E237" s="81">
        <v>258</v>
      </c>
      <c r="F237" s="81"/>
      <c r="G237" s="72"/>
      <c r="H237" s="72"/>
      <c r="I237" s="72" t="s">
        <v>72</v>
      </c>
      <c r="J237" s="74">
        <v>2026</v>
      </c>
      <c r="K237" s="24" t="s">
        <v>68</v>
      </c>
      <c r="L237" s="2"/>
      <c r="M237" s="2"/>
      <c r="N237" s="2"/>
      <c r="O237" s="2"/>
    </row>
    <row r="238" spans="2:15">
      <c r="B238" s="82"/>
      <c r="C238" s="24" t="s">
        <v>87</v>
      </c>
      <c r="D238" s="72"/>
      <c r="E238" s="81"/>
      <c r="F238" s="81"/>
      <c r="G238" s="72"/>
      <c r="H238" s="72"/>
      <c r="I238" s="72"/>
      <c r="J238" s="74"/>
      <c r="K238" s="24"/>
      <c r="L238" s="2"/>
      <c r="M238" s="2"/>
      <c r="N238" s="2"/>
      <c r="O238" s="2"/>
    </row>
    <row r="239" spans="2:15">
      <c r="B239" s="82"/>
      <c r="C239" s="24" t="s">
        <v>87</v>
      </c>
      <c r="D239" s="72"/>
      <c r="E239" s="81"/>
      <c r="F239" s="81"/>
      <c r="G239" s="72"/>
      <c r="H239" s="72"/>
      <c r="I239" s="72"/>
      <c r="J239" s="74"/>
      <c r="K239" s="24"/>
      <c r="L239" s="2"/>
      <c r="M239" s="2"/>
      <c r="N239" s="2"/>
      <c r="O239" s="2"/>
    </row>
    <row r="240" spans="2:15">
      <c r="B240" s="82"/>
      <c r="C240" s="24" t="s">
        <v>87</v>
      </c>
      <c r="D240" s="72"/>
      <c r="E240" s="81"/>
      <c r="F240" s="81"/>
      <c r="G240" s="72"/>
      <c r="H240" s="72"/>
      <c r="I240" s="72"/>
      <c r="J240" s="74"/>
      <c r="K240" s="24"/>
      <c r="L240" s="2"/>
      <c r="M240" s="2"/>
      <c r="N240" s="2"/>
      <c r="O240" s="2"/>
    </row>
    <row r="241" spans="2:15">
      <c r="B241" s="82"/>
      <c r="C241" s="24" t="s">
        <v>87</v>
      </c>
      <c r="D241" s="72"/>
      <c r="E241" s="81"/>
      <c r="F241" s="81"/>
      <c r="G241" s="72"/>
      <c r="H241" s="72"/>
      <c r="I241" s="72"/>
      <c r="J241" s="74"/>
      <c r="K241" s="24"/>
      <c r="L241" s="2"/>
      <c r="M241" s="2"/>
      <c r="N241" s="2"/>
      <c r="O241" s="2"/>
    </row>
    <row r="242" spans="2:15">
      <c r="B242" s="82"/>
      <c r="C242" s="24" t="s">
        <v>87</v>
      </c>
      <c r="D242" s="72"/>
      <c r="E242" s="81"/>
      <c r="F242" s="81"/>
      <c r="G242" s="72"/>
      <c r="H242" s="72"/>
      <c r="I242" s="72"/>
      <c r="J242" s="74"/>
      <c r="K242" s="24"/>
      <c r="L242" s="2"/>
      <c r="M242" s="2"/>
      <c r="N242" s="2"/>
      <c r="O242" s="2"/>
    </row>
    <row r="243" spans="2:15">
      <c r="B243" s="82"/>
      <c r="C243" s="24" t="s">
        <v>87</v>
      </c>
      <c r="D243" s="72"/>
      <c r="E243" s="81"/>
      <c r="F243" s="81"/>
      <c r="G243" s="72"/>
      <c r="H243" s="72"/>
      <c r="I243" s="72"/>
      <c r="J243" s="74"/>
      <c r="K243" s="24"/>
      <c r="L243" s="2"/>
      <c r="M243" s="2"/>
      <c r="N243" s="2"/>
      <c r="O243" s="2"/>
    </row>
    <row r="244" spans="2:15">
      <c r="B244" s="82"/>
      <c r="C244" s="24" t="s">
        <v>87</v>
      </c>
      <c r="D244" s="72"/>
      <c r="E244" s="81"/>
      <c r="F244" s="81"/>
      <c r="G244" s="72"/>
      <c r="H244" s="72"/>
      <c r="I244" s="72"/>
      <c r="J244" s="74"/>
      <c r="K244" s="24"/>
      <c r="L244" s="2"/>
      <c r="M244" s="2"/>
      <c r="N244" s="2"/>
      <c r="O244" s="2"/>
    </row>
    <row r="245" spans="2:15">
      <c r="B245" s="82"/>
      <c r="C245" s="24" t="s">
        <v>87</v>
      </c>
      <c r="D245" s="72"/>
      <c r="E245" s="81"/>
      <c r="F245" s="81"/>
      <c r="G245" s="72"/>
      <c r="H245" s="72"/>
      <c r="I245" s="72"/>
      <c r="J245" s="74"/>
      <c r="K245" s="24"/>
      <c r="L245" s="2"/>
      <c r="M245" s="2"/>
      <c r="N245" s="2"/>
      <c r="O245" s="2"/>
    </row>
    <row r="246" spans="2:15">
      <c r="B246" s="82"/>
      <c r="C246" s="24" t="s">
        <v>87</v>
      </c>
      <c r="D246" s="72"/>
      <c r="E246" s="81"/>
      <c r="F246" s="81"/>
      <c r="G246" s="72"/>
      <c r="H246" s="72"/>
      <c r="I246" s="72"/>
      <c r="J246" s="74"/>
      <c r="K246" s="24"/>
      <c r="L246" s="2"/>
      <c r="M246" s="2"/>
      <c r="N246" s="2"/>
      <c r="O246" s="2"/>
    </row>
    <row r="247" spans="2:15">
      <c r="B247" s="82"/>
      <c r="C247" s="24" t="s">
        <v>87</v>
      </c>
      <c r="D247" s="72"/>
      <c r="E247" s="81"/>
      <c r="F247" s="81"/>
      <c r="G247" s="72"/>
      <c r="H247" s="72"/>
      <c r="I247" s="72"/>
      <c r="J247" s="74"/>
      <c r="K247" s="24"/>
      <c r="L247" s="2"/>
      <c r="M247" s="2"/>
      <c r="N247" s="2"/>
      <c r="O247" s="2"/>
    </row>
    <row r="248" spans="2:15">
      <c r="B248" s="82"/>
      <c r="C248" s="24" t="s">
        <v>87</v>
      </c>
      <c r="D248" s="72"/>
      <c r="E248" s="81"/>
      <c r="F248" s="81"/>
      <c r="G248" s="72"/>
      <c r="H248" s="72"/>
      <c r="I248" s="72"/>
      <c r="J248" s="74"/>
      <c r="K248" s="24"/>
      <c r="L248" s="2"/>
      <c r="M248" s="2"/>
      <c r="N248" s="2"/>
      <c r="O248" s="2"/>
    </row>
    <row r="249" spans="2:15">
      <c r="B249" s="82"/>
      <c r="C249" s="24" t="s">
        <v>87</v>
      </c>
      <c r="D249" s="72"/>
      <c r="E249" s="81"/>
      <c r="F249" s="81"/>
      <c r="G249" s="72"/>
      <c r="H249" s="72"/>
      <c r="I249" s="72"/>
      <c r="J249" s="74"/>
      <c r="K249" s="24"/>
      <c r="L249" s="2"/>
      <c r="M249" s="2"/>
      <c r="N249" s="2"/>
      <c r="O249" s="2"/>
    </row>
    <row r="250" spans="2:15">
      <c r="B250" s="82"/>
      <c r="C250" s="24" t="s">
        <v>87</v>
      </c>
      <c r="D250" s="72"/>
      <c r="E250" s="81"/>
      <c r="F250" s="81"/>
      <c r="G250" s="72"/>
      <c r="H250" s="72"/>
      <c r="I250" s="72"/>
      <c r="J250" s="74"/>
      <c r="K250" s="74"/>
      <c r="L250" s="2"/>
      <c r="M250" s="2"/>
      <c r="N250" s="2"/>
      <c r="O250" s="2"/>
    </row>
    <row r="251" spans="2:15">
      <c r="B251" s="82"/>
      <c r="C251" s="24" t="s">
        <v>87</v>
      </c>
      <c r="D251" s="72"/>
      <c r="E251" s="81"/>
      <c r="F251" s="81"/>
      <c r="G251" s="72"/>
      <c r="H251" s="72"/>
      <c r="I251" s="72"/>
      <c r="J251" s="74"/>
      <c r="K251" s="74"/>
    </row>
    <row r="252" spans="2:15">
      <c r="B252" s="82"/>
      <c r="C252" s="24" t="s">
        <v>87</v>
      </c>
      <c r="D252" s="72"/>
      <c r="E252" s="81"/>
      <c r="F252" s="81"/>
      <c r="G252" s="72"/>
      <c r="H252" s="72"/>
      <c r="I252" s="72"/>
      <c r="J252" s="74"/>
      <c r="K252" s="74"/>
    </row>
    <row r="253" spans="2:15">
      <c r="B253" s="82"/>
      <c r="C253" s="24" t="s">
        <v>87</v>
      </c>
      <c r="D253" s="72"/>
      <c r="E253" s="81"/>
      <c r="F253" s="81"/>
      <c r="G253" s="72"/>
      <c r="H253" s="72"/>
      <c r="I253" s="72"/>
      <c r="J253" s="74"/>
      <c r="K253" s="74"/>
    </row>
    <row r="254" spans="2:15">
      <c r="B254" s="82"/>
      <c r="C254" s="24" t="s">
        <v>87</v>
      </c>
      <c r="D254" s="72"/>
      <c r="E254" s="81"/>
      <c r="F254" s="81"/>
      <c r="G254" s="72"/>
      <c r="H254" s="72"/>
      <c r="I254" s="72"/>
      <c r="J254" s="74"/>
      <c r="K254" s="74"/>
    </row>
    <row r="255" spans="2:15">
      <c r="B255" s="82"/>
      <c r="C255" s="24" t="s">
        <v>87</v>
      </c>
      <c r="D255" s="72"/>
      <c r="E255" s="81"/>
      <c r="F255" s="81"/>
      <c r="G255" s="72"/>
      <c r="H255" s="72"/>
      <c r="I255" s="72"/>
      <c r="J255" s="74"/>
      <c r="K255" s="74"/>
    </row>
    <row r="256" spans="2:15">
      <c r="B256" s="82"/>
      <c r="C256" s="24" t="s">
        <v>87</v>
      </c>
      <c r="D256" s="72"/>
      <c r="E256" s="81"/>
      <c r="F256" s="81"/>
      <c r="G256" s="72"/>
      <c r="H256" s="72"/>
      <c r="I256" s="72"/>
      <c r="J256" s="74"/>
      <c r="K256" s="24"/>
    </row>
    <row r="257" spans="2:11">
      <c r="B257" s="82"/>
      <c r="C257" s="24" t="s">
        <v>87</v>
      </c>
      <c r="D257" s="72"/>
      <c r="E257" s="81"/>
      <c r="F257" s="81"/>
      <c r="G257" s="72"/>
      <c r="H257" s="72"/>
      <c r="I257" s="72"/>
      <c r="J257" s="74"/>
      <c r="K257" s="24"/>
    </row>
    <row r="258" spans="2:11">
      <c r="B258" s="82"/>
      <c r="C258" s="24" t="s">
        <v>87</v>
      </c>
      <c r="D258" s="72"/>
      <c r="E258" s="81"/>
      <c r="F258" s="81"/>
      <c r="G258" s="72"/>
      <c r="H258" s="72"/>
      <c r="I258" s="72"/>
      <c r="J258" s="74"/>
      <c r="K258" s="74"/>
    </row>
    <row r="259" spans="2:11">
      <c r="B259" s="82"/>
      <c r="C259" s="24" t="s">
        <v>87</v>
      </c>
      <c r="D259" s="72"/>
      <c r="E259" s="81"/>
      <c r="F259" s="81"/>
      <c r="G259" s="72"/>
      <c r="H259" s="72"/>
      <c r="I259" s="72"/>
      <c r="J259" s="74"/>
      <c r="K259" s="74"/>
    </row>
    <row r="260" spans="2:11">
      <c r="B260" s="82"/>
      <c r="C260" s="24" t="s">
        <v>87</v>
      </c>
      <c r="D260" s="72"/>
      <c r="E260" s="81"/>
      <c r="F260" s="81"/>
      <c r="G260" s="72"/>
      <c r="H260" s="72"/>
      <c r="I260" s="72"/>
      <c r="J260" s="74"/>
      <c r="K260" s="74"/>
    </row>
    <row r="261" spans="2:11">
      <c r="B261" s="82"/>
      <c r="C261" s="24" t="s">
        <v>87</v>
      </c>
      <c r="D261" s="72"/>
      <c r="E261" s="81"/>
      <c r="F261" s="81"/>
      <c r="G261" s="72"/>
      <c r="H261" s="72"/>
      <c r="I261" s="72"/>
      <c r="J261" s="74"/>
      <c r="K261" s="74"/>
    </row>
    <row r="262" spans="2:11">
      <c r="B262" s="82"/>
      <c r="C262" s="24" t="s">
        <v>87</v>
      </c>
      <c r="D262" s="72"/>
      <c r="E262" s="81"/>
      <c r="F262" s="81"/>
      <c r="G262" s="72"/>
      <c r="H262" s="72"/>
      <c r="I262" s="72"/>
      <c r="J262" s="74"/>
      <c r="K262" s="24"/>
    </row>
    <row r="263" spans="2:11">
      <c r="B263" s="82"/>
      <c r="C263" s="24" t="s">
        <v>87</v>
      </c>
      <c r="D263" s="72"/>
      <c r="E263" s="81"/>
      <c r="F263" s="81"/>
      <c r="G263" s="72"/>
      <c r="H263" s="72"/>
      <c r="I263" s="72"/>
      <c r="J263" s="74"/>
      <c r="K263" s="24"/>
    </row>
    <row r="264" spans="2:11">
      <c r="B264" s="82"/>
      <c r="C264" s="24" t="s">
        <v>87</v>
      </c>
      <c r="D264" s="72"/>
      <c r="E264" s="81"/>
      <c r="F264" s="81"/>
      <c r="G264" s="72"/>
      <c r="H264" s="72"/>
      <c r="I264" s="72"/>
      <c r="J264" s="74"/>
      <c r="K264" s="74"/>
    </row>
    <row r="265" spans="2:11">
      <c r="B265" s="82"/>
      <c r="C265" s="24" t="s">
        <v>87</v>
      </c>
      <c r="D265" s="72"/>
      <c r="E265" s="81"/>
      <c r="F265" s="81"/>
      <c r="G265" s="72"/>
      <c r="H265" s="72"/>
      <c r="I265" s="72"/>
      <c r="J265" s="74"/>
      <c r="K265" s="74"/>
    </row>
    <row r="266" spans="2:11">
      <c r="B266" s="82"/>
      <c r="C266" s="24" t="s">
        <v>87</v>
      </c>
      <c r="D266" s="72"/>
      <c r="E266" s="81"/>
      <c r="F266" s="81"/>
      <c r="G266" s="72"/>
      <c r="H266" s="72"/>
      <c r="I266" s="72"/>
      <c r="J266" s="74"/>
      <c r="K266" s="74"/>
    </row>
    <row r="267" spans="2:11">
      <c r="B267" s="82"/>
      <c r="C267" s="24" t="s">
        <v>87</v>
      </c>
      <c r="D267" s="72"/>
      <c r="E267" s="81"/>
      <c r="F267" s="81"/>
      <c r="G267" s="72"/>
      <c r="H267" s="72"/>
      <c r="I267" s="72"/>
      <c r="J267" s="74"/>
      <c r="K267" s="74"/>
    </row>
    <row r="268" spans="2:11">
      <c r="B268" s="82"/>
      <c r="C268" s="24" t="s">
        <v>87</v>
      </c>
      <c r="D268" s="72"/>
      <c r="E268" s="81"/>
      <c r="F268" s="81"/>
      <c r="G268" s="72"/>
      <c r="H268" s="72"/>
      <c r="I268" s="72"/>
      <c r="J268" s="74"/>
      <c r="K268" s="74"/>
    </row>
    <row r="269" spans="2:11">
      <c r="B269" s="82"/>
      <c r="C269" s="24" t="s">
        <v>87</v>
      </c>
      <c r="D269" s="72"/>
      <c r="E269" s="81"/>
      <c r="F269" s="81"/>
      <c r="G269" s="72"/>
      <c r="H269" s="72"/>
      <c r="I269" s="72"/>
      <c r="J269" s="74"/>
      <c r="K269" s="74"/>
    </row>
    <row r="270" spans="2:11">
      <c r="B270" s="82"/>
      <c r="C270" s="24" t="s">
        <v>87</v>
      </c>
      <c r="D270" s="72"/>
      <c r="E270" s="81"/>
      <c r="F270" s="81"/>
      <c r="G270" s="72"/>
      <c r="H270" s="72"/>
      <c r="I270" s="72"/>
      <c r="J270" s="74"/>
      <c r="K270" s="74"/>
    </row>
    <row r="271" spans="2:11">
      <c r="B271" s="82"/>
      <c r="C271" s="24" t="s">
        <v>87</v>
      </c>
      <c r="D271" s="72"/>
      <c r="E271" s="81"/>
      <c r="F271" s="81"/>
      <c r="G271" s="72"/>
      <c r="H271" s="72"/>
      <c r="I271" s="72"/>
      <c r="J271" s="74"/>
      <c r="K271" s="74"/>
    </row>
    <row r="272" spans="2:11">
      <c r="B272" s="82"/>
      <c r="C272" s="24" t="s">
        <v>87</v>
      </c>
      <c r="D272" s="72"/>
      <c r="E272" s="81"/>
      <c r="F272" s="81"/>
      <c r="G272" s="72"/>
      <c r="H272" s="72"/>
      <c r="I272" s="72"/>
      <c r="J272" s="74"/>
      <c r="K272" s="74"/>
    </row>
    <row r="273" spans="2:12">
      <c r="B273" s="82"/>
      <c r="C273" s="24" t="s">
        <v>87</v>
      </c>
      <c r="D273" s="84"/>
      <c r="E273" s="81"/>
      <c r="F273" s="81"/>
      <c r="G273" s="72"/>
      <c r="H273" s="72"/>
      <c r="I273" s="72"/>
      <c r="J273" s="74"/>
      <c r="K273" s="74"/>
    </row>
    <row r="274" spans="2:12">
      <c r="B274" s="82"/>
      <c r="C274" s="24" t="s">
        <v>87</v>
      </c>
      <c r="D274" s="72"/>
      <c r="E274" s="81"/>
      <c r="F274" s="81"/>
      <c r="G274" s="72"/>
      <c r="H274" s="72"/>
      <c r="I274" s="72"/>
      <c r="J274" s="74"/>
      <c r="K274" s="74"/>
    </row>
    <row r="275" spans="2:12">
      <c r="B275" s="82"/>
      <c r="C275" s="24" t="s">
        <v>87</v>
      </c>
      <c r="D275" s="84"/>
      <c r="E275" s="81"/>
      <c r="F275" s="81"/>
      <c r="G275" s="72"/>
      <c r="H275" s="72"/>
      <c r="I275" s="72"/>
      <c r="J275" s="74"/>
      <c r="K275" s="74"/>
    </row>
    <row r="276" spans="2:12">
      <c r="B276" s="82"/>
      <c r="C276" s="24" t="s">
        <v>87</v>
      </c>
      <c r="D276" s="72"/>
      <c r="E276" s="81"/>
      <c r="F276" s="81"/>
      <c r="G276" s="72"/>
      <c r="H276" s="72"/>
      <c r="I276" s="72"/>
      <c r="J276" s="74"/>
      <c r="K276" s="74"/>
    </row>
    <row r="277" spans="2:12">
      <c r="B277" s="82"/>
      <c r="C277" s="24" t="s">
        <v>87</v>
      </c>
      <c r="D277" s="72"/>
      <c r="E277" s="81"/>
      <c r="F277" s="81"/>
      <c r="G277" s="72"/>
      <c r="H277" s="72"/>
      <c r="I277" s="72"/>
      <c r="J277" s="74"/>
      <c r="K277" s="74"/>
    </row>
    <row r="278" spans="2:12">
      <c r="B278" s="82"/>
      <c r="C278" s="24" t="s">
        <v>87</v>
      </c>
      <c r="D278" s="72"/>
      <c r="E278" s="81"/>
      <c r="F278" s="81"/>
      <c r="G278" s="72"/>
      <c r="H278" s="72"/>
      <c r="I278" s="72"/>
      <c r="J278" s="74"/>
      <c r="K278" s="74"/>
      <c r="L278" s="2"/>
    </row>
    <row r="279" spans="2:12">
      <c r="B279" s="82"/>
      <c r="C279" s="24" t="s">
        <v>87</v>
      </c>
      <c r="D279" s="72"/>
      <c r="E279" s="81"/>
      <c r="F279" s="81"/>
      <c r="G279" s="72"/>
      <c r="H279" s="72"/>
      <c r="I279" s="72"/>
      <c r="J279" s="74"/>
      <c r="K279" s="74"/>
      <c r="L279" s="2"/>
    </row>
    <row r="280" spans="2:12">
      <c r="B280" s="82"/>
      <c r="C280" s="24" t="s">
        <v>87</v>
      </c>
      <c r="D280" s="72"/>
      <c r="E280" s="81"/>
      <c r="F280" s="81"/>
      <c r="G280" s="72"/>
      <c r="H280" s="72"/>
      <c r="I280" s="72"/>
      <c r="J280" s="74"/>
      <c r="K280" s="74"/>
      <c r="L280" s="2"/>
    </row>
    <row r="281" spans="2:12">
      <c r="B281" s="82"/>
      <c r="C281" s="24" t="s">
        <v>87</v>
      </c>
      <c r="D281" s="72"/>
      <c r="E281" s="81"/>
      <c r="F281" s="81"/>
      <c r="G281" s="72"/>
      <c r="H281" s="72"/>
      <c r="I281" s="72"/>
      <c r="J281" s="74"/>
      <c r="K281" s="74"/>
      <c r="L281" s="2"/>
    </row>
    <row r="282" spans="2:12">
      <c r="B282" s="82"/>
      <c r="C282" s="24" t="s">
        <v>87</v>
      </c>
      <c r="D282" s="72"/>
      <c r="E282" s="81"/>
      <c r="F282" s="81"/>
      <c r="G282" s="72"/>
      <c r="H282" s="72"/>
      <c r="I282" s="72"/>
      <c r="J282" s="74"/>
      <c r="K282" s="74"/>
      <c r="L282" s="2"/>
    </row>
    <row r="283" spans="2:12">
      <c r="B283" s="82"/>
      <c r="C283" s="24" t="s">
        <v>87</v>
      </c>
      <c r="D283" s="72"/>
      <c r="E283" s="81"/>
      <c r="F283" s="81"/>
      <c r="G283" s="72"/>
      <c r="H283" s="72"/>
      <c r="I283" s="72"/>
      <c r="J283" s="74"/>
      <c r="K283" s="74"/>
      <c r="L283" s="2"/>
    </row>
    <row r="284" spans="2:12">
      <c r="B284" s="82"/>
      <c r="C284" s="24" t="s">
        <v>87</v>
      </c>
      <c r="D284" s="72"/>
      <c r="E284" s="81"/>
      <c r="F284" s="81"/>
      <c r="G284" s="72"/>
      <c r="H284" s="72"/>
      <c r="I284" s="72"/>
      <c r="J284" s="74"/>
      <c r="K284" s="74"/>
      <c r="L284" s="2"/>
    </row>
    <row r="285" spans="2:12">
      <c r="B285" s="82"/>
      <c r="C285" s="24" t="s">
        <v>87</v>
      </c>
      <c r="D285" s="72"/>
      <c r="E285" s="81"/>
      <c r="F285" s="81"/>
      <c r="G285" s="72"/>
      <c r="H285" s="72"/>
      <c r="I285" s="72"/>
      <c r="J285" s="74"/>
      <c r="K285" s="74"/>
      <c r="L285" s="2"/>
    </row>
    <row r="286" spans="2:12">
      <c r="B286" s="82"/>
      <c r="C286" s="24" t="s">
        <v>87</v>
      </c>
      <c r="D286" s="72"/>
      <c r="E286" s="81"/>
      <c r="F286" s="81"/>
      <c r="G286" s="72"/>
      <c r="H286" s="72"/>
      <c r="I286" s="72"/>
      <c r="J286" s="74"/>
      <c r="K286" s="74"/>
    </row>
    <row r="287" spans="2:12">
      <c r="B287" s="82"/>
      <c r="C287" s="24" t="s">
        <v>87</v>
      </c>
      <c r="D287" s="72"/>
      <c r="E287" s="81"/>
      <c r="F287" s="81"/>
      <c r="G287" s="72"/>
      <c r="H287" s="72"/>
      <c r="I287" s="72"/>
      <c r="J287" s="74"/>
      <c r="K287" s="74"/>
    </row>
    <row r="288" spans="2:12">
      <c r="B288" s="82"/>
      <c r="C288" s="24" t="s">
        <v>87</v>
      </c>
      <c r="D288" s="72"/>
      <c r="E288" s="81"/>
      <c r="F288" s="81"/>
      <c r="G288" s="72"/>
      <c r="H288" s="72"/>
      <c r="I288" s="72"/>
      <c r="J288" s="74"/>
      <c r="K288" s="74"/>
    </row>
    <row r="289" spans="2:11">
      <c r="B289" s="82"/>
      <c r="C289" s="24" t="s">
        <v>87</v>
      </c>
      <c r="D289" s="72"/>
      <c r="E289" s="81"/>
      <c r="F289" s="81"/>
      <c r="G289" s="72"/>
      <c r="H289" s="72"/>
      <c r="I289" s="72"/>
      <c r="J289" s="74"/>
      <c r="K289" s="74"/>
    </row>
    <row r="290" spans="2:11">
      <c r="B290" s="82"/>
      <c r="C290" s="24" t="s">
        <v>87</v>
      </c>
      <c r="D290" s="72"/>
      <c r="E290" s="81"/>
      <c r="F290" s="81"/>
      <c r="G290" s="72"/>
      <c r="H290" s="72"/>
      <c r="I290" s="72"/>
      <c r="J290" s="74"/>
      <c r="K290" s="74"/>
    </row>
    <row r="291" spans="2:11">
      <c r="B291" s="82"/>
      <c r="C291" s="24" t="s">
        <v>87</v>
      </c>
      <c r="D291" s="72"/>
      <c r="E291" s="81"/>
      <c r="F291" s="81"/>
      <c r="G291" s="72"/>
      <c r="H291" s="72"/>
      <c r="I291" s="72"/>
      <c r="J291" s="74"/>
      <c r="K291" s="74"/>
    </row>
    <row r="292" spans="2:11">
      <c r="B292" s="82"/>
      <c r="C292" s="24" t="s">
        <v>87</v>
      </c>
      <c r="D292" s="72"/>
      <c r="E292" s="81"/>
      <c r="F292" s="81"/>
      <c r="G292" s="72"/>
      <c r="H292" s="72"/>
      <c r="I292" s="72"/>
      <c r="J292" s="74"/>
      <c r="K292" s="74"/>
    </row>
    <row r="293" spans="2:11">
      <c r="B293" s="82"/>
      <c r="C293" s="24" t="s">
        <v>87</v>
      </c>
      <c r="D293" s="72"/>
      <c r="E293" s="81"/>
      <c r="F293" s="81"/>
      <c r="G293" s="72"/>
      <c r="H293" s="72"/>
      <c r="I293" s="72"/>
      <c r="J293" s="74"/>
      <c r="K293" s="74"/>
    </row>
    <row r="294" spans="2:11">
      <c r="B294" s="82"/>
      <c r="C294" s="24" t="s">
        <v>87</v>
      </c>
      <c r="D294" s="72"/>
      <c r="E294" s="81"/>
      <c r="F294" s="81"/>
      <c r="G294" s="72"/>
      <c r="H294" s="72"/>
      <c r="I294" s="72"/>
      <c r="J294" s="74"/>
      <c r="K294" s="74"/>
    </row>
    <row r="295" spans="2:11">
      <c r="B295" s="82"/>
      <c r="C295" s="24" t="s">
        <v>87</v>
      </c>
      <c r="D295" s="84"/>
      <c r="E295" s="81"/>
      <c r="F295" s="81"/>
      <c r="G295" s="72"/>
      <c r="H295" s="72"/>
      <c r="I295" s="72"/>
      <c r="J295" s="74"/>
      <c r="K295" s="74"/>
    </row>
    <row r="296" spans="2:11">
      <c r="B296" s="82"/>
      <c r="C296" s="24" t="s">
        <v>87</v>
      </c>
      <c r="D296" s="72"/>
      <c r="E296" s="81"/>
      <c r="F296" s="81"/>
      <c r="G296" s="72"/>
      <c r="H296" s="72"/>
      <c r="I296" s="72"/>
      <c r="J296" s="74"/>
      <c r="K296" s="74"/>
    </row>
    <row r="297" spans="2:11">
      <c r="B297" s="82"/>
      <c r="C297" s="24" t="s">
        <v>87</v>
      </c>
      <c r="D297" s="72"/>
      <c r="E297" s="79"/>
      <c r="F297" s="79"/>
      <c r="G297" s="72"/>
      <c r="H297" s="72"/>
      <c r="I297" s="72"/>
      <c r="J297" s="74"/>
      <c r="K297" s="74"/>
    </row>
    <row r="298" spans="2:11">
      <c r="B298" s="82"/>
      <c r="C298" s="24" t="s">
        <v>87</v>
      </c>
      <c r="D298" s="72"/>
      <c r="E298" s="79"/>
      <c r="F298" s="79"/>
      <c r="G298" s="72"/>
      <c r="H298" s="72"/>
      <c r="I298" s="72"/>
      <c r="J298" s="74"/>
      <c r="K298" s="74"/>
    </row>
    <row r="299" spans="2:11">
      <c r="B299" s="82"/>
      <c r="C299" s="24" t="s">
        <v>87</v>
      </c>
      <c r="D299" s="72"/>
      <c r="E299" s="79"/>
      <c r="F299" s="79"/>
      <c r="G299" s="72"/>
      <c r="H299" s="72"/>
      <c r="I299" s="72"/>
      <c r="J299" s="74"/>
      <c r="K299" s="74"/>
    </row>
    <row r="300" spans="2:11">
      <c r="B300" s="82"/>
      <c r="C300" s="24" t="s">
        <v>87</v>
      </c>
      <c r="D300" s="72"/>
      <c r="E300" s="81"/>
      <c r="F300" s="81"/>
      <c r="G300" s="72"/>
      <c r="H300" s="72"/>
      <c r="I300" s="72"/>
      <c r="J300" s="74"/>
      <c r="K300" s="74"/>
    </row>
    <row r="301" spans="2:11">
      <c r="B301" s="82"/>
      <c r="C301" s="24" t="s">
        <v>87</v>
      </c>
      <c r="D301" s="72"/>
      <c r="E301" s="81"/>
      <c r="F301" s="81"/>
      <c r="G301" s="72"/>
      <c r="H301" s="72"/>
      <c r="I301" s="72"/>
      <c r="J301" s="74"/>
      <c r="K301" s="74"/>
    </row>
    <row r="302" spans="2:11">
      <c r="B302" s="82"/>
      <c r="C302" s="24" t="s">
        <v>87</v>
      </c>
      <c r="D302" s="72"/>
      <c r="E302" s="81"/>
      <c r="F302" s="81"/>
      <c r="G302" s="72"/>
      <c r="H302" s="72"/>
      <c r="I302" s="72"/>
      <c r="J302" s="74"/>
      <c r="K302" s="74"/>
    </row>
    <row r="303" spans="2:11">
      <c r="B303" s="82"/>
      <c r="C303" s="24" t="s">
        <v>87</v>
      </c>
      <c r="D303" s="72"/>
      <c r="E303" s="81"/>
      <c r="F303" s="81"/>
      <c r="G303" s="72"/>
      <c r="H303" s="72"/>
      <c r="I303" s="72"/>
      <c r="J303" s="74"/>
      <c r="K303" s="74"/>
    </row>
    <row r="304" spans="2:11">
      <c r="B304" s="82"/>
      <c r="C304" s="24" t="s">
        <v>87</v>
      </c>
      <c r="D304" s="72"/>
      <c r="E304" s="81"/>
      <c r="F304" s="81"/>
      <c r="G304" s="72"/>
      <c r="H304" s="72"/>
      <c r="I304" s="72"/>
      <c r="J304" s="74"/>
      <c r="K304" s="74"/>
    </row>
    <row r="305" spans="2:11">
      <c r="B305" s="82"/>
      <c r="C305" s="24" t="s">
        <v>87</v>
      </c>
      <c r="D305" s="72"/>
      <c r="E305" s="81"/>
      <c r="F305" s="81"/>
      <c r="G305" s="72"/>
      <c r="H305" s="72"/>
      <c r="I305" s="72"/>
      <c r="J305" s="74"/>
      <c r="K305" s="24"/>
    </row>
    <row r="306" spans="2:11">
      <c r="B306" s="82"/>
      <c r="C306" s="24" t="s">
        <v>87</v>
      </c>
      <c r="D306" s="72"/>
      <c r="E306" s="81"/>
      <c r="F306" s="81"/>
      <c r="G306" s="72"/>
      <c r="H306" s="72"/>
      <c r="I306" s="72"/>
      <c r="J306" s="74"/>
      <c r="K306" s="24"/>
    </row>
    <row r="307" spans="2:11">
      <c r="B307" s="82"/>
      <c r="C307" s="24" t="s">
        <v>87</v>
      </c>
      <c r="D307" s="72"/>
      <c r="E307" s="81"/>
      <c r="F307" s="81"/>
      <c r="G307" s="72"/>
      <c r="H307" s="72"/>
      <c r="I307" s="72"/>
      <c r="J307" s="74"/>
      <c r="K307" s="24"/>
    </row>
    <row r="308" spans="2:11">
      <c r="B308" s="82"/>
      <c r="C308" s="24" t="s">
        <v>87</v>
      </c>
      <c r="D308" s="72"/>
      <c r="E308" s="81"/>
      <c r="F308" s="81"/>
      <c r="G308" s="72"/>
      <c r="H308" s="72"/>
      <c r="I308" s="72"/>
      <c r="J308" s="74"/>
      <c r="K308" s="24"/>
    </row>
    <row r="309" spans="2:11">
      <c r="B309" s="82"/>
      <c r="C309" s="24" t="s">
        <v>87</v>
      </c>
      <c r="D309" s="72"/>
      <c r="E309" s="81"/>
      <c r="F309" s="81"/>
      <c r="G309" s="72"/>
      <c r="H309" s="72"/>
      <c r="I309" s="72"/>
      <c r="J309" s="74"/>
      <c r="K309" s="24"/>
    </row>
    <row r="310" spans="2:11">
      <c r="B310" s="85"/>
      <c r="C310" s="24" t="s">
        <v>87</v>
      </c>
      <c r="D310" s="86"/>
      <c r="E310" s="87"/>
      <c r="F310" s="87"/>
      <c r="G310" s="86"/>
      <c r="H310" s="86"/>
      <c r="I310" s="86"/>
      <c r="J310" s="74"/>
      <c r="K310" s="24"/>
    </row>
    <row r="311" spans="2:11">
      <c r="B311" s="82"/>
      <c r="C311" s="24" t="s">
        <v>87</v>
      </c>
      <c r="D311" s="72"/>
      <c r="E311" s="79"/>
      <c r="F311" s="79"/>
      <c r="G311" s="72"/>
      <c r="H311" s="72"/>
      <c r="I311" s="72"/>
      <c r="J311" s="74"/>
      <c r="K311" s="24"/>
    </row>
    <row r="312" spans="2:11">
      <c r="B312" s="85"/>
      <c r="C312" s="24" t="s">
        <v>87</v>
      </c>
      <c r="D312" s="86"/>
      <c r="E312" s="87"/>
      <c r="F312" s="87"/>
      <c r="G312" s="86"/>
      <c r="H312" s="86"/>
      <c r="I312" s="86"/>
      <c r="J312" s="74"/>
      <c r="K312" s="24"/>
    </row>
    <row r="313" spans="2:11">
      <c r="B313" s="88"/>
      <c r="C313" s="24" t="s">
        <v>87</v>
      </c>
      <c r="D313" s="84"/>
      <c r="E313" s="89"/>
      <c r="F313" s="89"/>
      <c r="G313" s="84"/>
      <c r="H313" s="84"/>
      <c r="I313" s="84"/>
      <c r="J313" s="74"/>
      <c r="K313" s="24"/>
    </row>
    <row r="314" spans="2:11">
      <c r="B314" s="85"/>
      <c r="C314" s="24" t="s">
        <v>87</v>
      </c>
      <c r="D314" s="86"/>
      <c r="E314" s="87"/>
      <c r="F314" s="87"/>
      <c r="G314" s="86"/>
      <c r="H314" s="86"/>
      <c r="I314" s="86"/>
      <c r="J314" s="74"/>
      <c r="K314" s="24"/>
    </row>
    <row r="315" spans="2:11">
      <c r="B315" s="82"/>
      <c r="C315" s="24" t="s">
        <v>87</v>
      </c>
      <c r="D315" s="72"/>
      <c r="E315" s="81"/>
      <c r="F315" s="81"/>
      <c r="G315" s="72"/>
      <c r="H315" s="72"/>
      <c r="I315" s="72"/>
      <c r="J315" s="74"/>
      <c r="K315" s="74"/>
    </row>
    <row r="316" spans="2:11">
      <c r="B316" s="82"/>
      <c r="C316" s="24" t="s">
        <v>87</v>
      </c>
      <c r="D316" s="72"/>
      <c r="E316" s="81"/>
      <c r="F316" s="81"/>
      <c r="G316" s="72"/>
      <c r="H316" s="72"/>
      <c r="I316" s="86"/>
      <c r="J316" s="74"/>
      <c r="K316" s="24"/>
    </row>
    <row r="317" spans="2:11">
      <c r="B317" s="82"/>
      <c r="C317" s="24" t="s">
        <v>87</v>
      </c>
      <c r="D317" s="72"/>
      <c r="E317" s="81"/>
      <c r="F317" s="81"/>
      <c r="G317" s="72"/>
      <c r="H317" s="72"/>
      <c r="I317" s="84"/>
      <c r="J317" s="74"/>
      <c r="K317" s="24"/>
    </row>
    <row r="318" spans="2:11">
      <c r="B318" s="82"/>
      <c r="C318" s="24" t="s">
        <v>87</v>
      </c>
      <c r="D318" s="72"/>
      <c r="E318" s="81"/>
      <c r="F318" s="81"/>
      <c r="G318" s="72"/>
      <c r="H318" s="72"/>
      <c r="I318" s="86"/>
      <c r="J318" s="74"/>
      <c r="K318" s="24"/>
    </row>
    <row r="319" spans="2:11">
      <c r="B319" s="82"/>
      <c r="C319" s="24" t="s">
        <v>87</v>
      </c>
      <c r="D319" s="72"/>
      <c r="E319" s="81"/>
      <c r="F319" s="81"/>
      <c r="G319" s="72"/>
      <c r="H319" s="72"/>
      <c r="I319" s="72"/>
      <c r="J319" s="74"/>
      <c r="K319" s="74"/>
    </row>
    <row r="320" spans="2:11">
      <c r="B320" s="82"/>
      <c r="C320" s="24" t="s">
        <v>87</v>
      </c>
      <c r="D320" s="72"/>
      <c r="E320" s="81"/>
      <c r="F320" s="81"/>
      <c r="G320" s="72"/>
      <c r="H320" s="72"/>
      <c r="I320" s="86"/>
      <c r="J320" s="74"/>
      <c r="K320" s="24"/>
    </row>
    <row r="321" spans="2:11">
      <c r="B321" s="82"/>
      <c r="C321" s="24" t="s">
        <v>87</v>
      </c>
      <c r="D321" s="72"/>
      <c r="E321" s="81"/>
      <c r="F321" s="81"/>
      <c r="G321" s="72"/>
      <c r="H321" s="72"/>
      <c r="I321" s="72"/>
      <c r="J321" s="74"/>
      <c r="K321" s="24"/>
    </row>
    <row r="322" spans="2:11">
      <c r="B322" s="82"/>
      <c r="C322" s="24" t="s">
        <v>87</v>
      </c>
      <c r="D322" s="72"/>
      <c r="E322" s="81"/>
      <c r="F322" s="81"/>
      <c r="G322" s="72"/>
      <c r="H322" s="72"/>
      <c r="I322" s="72"/>
      <c r="J322" s="74"/>
      <c r="K322" s="24"/>
    </row>
    <row r="323" spans="2:11">
      <c r="B323" s="82"/>
      <c r="C323" s="24" t="s">
        <v>87</v>
      </c>
      <c r="D323" s="72"/>
      <c r="E323" s="81"/>
      <c r="F323" s="81"/>
      <c r="G323" s="72"/>
      <c r="H323" s="72"/>
      <c r="I323" s="72"/>
      <c r="J323" s="74"/>
      <c r="K323" s="24"/>
    </row>
    <row r="324" spans="2:11">
      <c r="B324" s="82"/>
      <c r="C324" s="24" t="s">
        <v>87</v>
      </c>
      <c r="D324" s="72"/>
      <c r="E324" s="81"/>
      <c r="F324" s="81"/>
      <c r="G324" s="72"/>
      <c r="H324" s="72"/>
      <c r="I324" s="72"/>
      <c r="J324" s="74"/>
      <c r="K324" s="24"/>
    </row>
    <row r="325" spans="2:11">
      <c r="B325" s="82"/>
      <c r="C325" s="24" t="s">
        <v>87</v>
      </c>
      <c r="D325" s="72"/>
      <c r="E325" s="81"/>
      <c r="F325" s="81"/>
      <c r="G325" s="72"/>
      <c r="H325" s="72"/>
      <c r="I325" s="72"/>
      <c r="J325" s="74"/>
      <c r="K325" s="24"/>
    </row>
    <row r="326" spans="2:11">
      <c r="B326" s="82"/>
      <c r="C326" s="24" t="s">
        <v>87</v>
      </c>
      <c r="D326" s="72"/>
      <c r="E326" s="81"/>
      <c r="F326" s="81"/>
      <c r="G326" s="72"/>
      <c r="H326" s="72"/>
      <c r="I326" s="72"/>
      <c r="J326" s="74"/>
      <c r="K326" s="24"/>
    </row>
    <row r="327" spans="2:11">
      <c r="B327" s="82"/>
      <c r="C327" s="24" t="s">
        <v>87</v>
      </c>
      <c r="D327" s="72"/>
      <c r="E327" s="81"/>
      <c r="F327" s="81"/>
      <c r="G327" s="72"/>
      <c r="H327" s="72"/>
      <c r="I327" s="72"/>
      <c r="J327" s="74"/>
      <c r="K327" s="24"/>
    </row>
    <row r="328" spans="2:11">
      <c r="B328" s="82"/>
      <c r="C328" s="24" t="s">
        <v>87</v>
      </c>
      <c r="D328" s="72"/>
      <c r="E328" s="81"/>
      <c r="F328" s="81"/>
      <c r="G328" s="72"/>
      <c r="H328" s="72"/>
      <c r="I328" s="72"/>
      <c r="J328" s="74"/>
      <c r="K328" s="24"/>
    </row>
    <row r="329" spans="2:11">
      <c r="B329" s="82"/>
      <c r="C329" s="24" t="s">
        <v>87</v>
      </c>
      <c r="D329" s="72"/>
      <c r="E329" s="79"/>
      <c r="F329" s="79"/>
      <c r="G329" s="72"/>
      <c r="H329" s="72"/>
      <c r="I329" s="72"/>
      <c r="J329" s="74"/>
      <c r="K329" s="24"/>
    </row>
    <row r="330" spans="2:11">
      <c r="B330" s="82"/>
      <c r="C330" s="24" t="s">
        <v>87</v>
      </c>
      <c r="D330" s="72"/>
      <c r="E330" s="81"/>
      <c r="F330" s="81"/>
      <c r="G330" s="72"/>
      <c r="H330" s="72"/>
      <c r="I330" s="72"/>
      <c r="J330" s="74"/>
      <c r="K330" s="24"/>
    </row>
    <row r="331" spans="2:11">
      <c r="B331" s="82"/>
      <c r="C331" s="24" t="s">
        <v>87</v>
      </c>
      <c r="D331" s="72"/>
      <c r="E331" s="81"/>
      <c r="F331" s="81"/>
      <c r="G331" s="72"/>
      <c r="H331" s="72"/>
      <c r="I331" s="72"/>
      <c r="J331" s="74"/>
      <c r="K331" s="24"/>
    </row>
    <row r="332" spans="2:11">
      <c r="B332" s="82"/>
      <c r="C332" s="24" t="s">
        <v>87</v>
      </c>
      <c r="D332" s="72"/>
      <c r="E332" s="81"/>
      <c r="F332" s="81"/>
      <c r="G332" s="72"/>
      <c r="H332" s="72"/>
      <c r="I332" s="72"/>
      <c r="J332" s="74"/>
      <c r="K332" s="24"/>
    </row>
    <row r="333" spans="2:11">
      <c r="B333" s="82"/>
      <c r="C333" s="24" t="s">
        <v>87</v>
      </c>
      <c r="D333" s="72"/>
      <c r="E333" s="81"/>
      <c r="F333" s="81"/>
      <c r="G333" s="72"/>
      <c r="H333" s="72"/>
      <c r="I333" s="72"/>
      <c r="J333" s="74"/>
      <c r="K333" s="24"/>
    </row>
    <row r="334" spans="2:11">
      <c r="B334" s="82"/>
      <c r="C334" s="24" t="s">
        <v>87</v>
      </c>
      <c r="D334" s="72"/>
      <c r="E334" s="81"/>
      <c r="F334" s="81"/>
      <c r="G334" s="72"/>
      <c r="H334" s="72"/>
      <c r="I334" s="72"/>
      <c r="J334" s="74"/>
      <c r="K334" s="24"/>
    </row>
    <row r="335" spans="2:11">
      <c r="B335" s="82"/>
      <c r="C335" s="24" t="s">
        <v>87</v>
      </c>
      <c r="D335" s="72"/>
      <c r="E335" s="81"/>
      <c r="F335" s="81"/>
      <c r="G335" s="72"/>
      <c r="H335" s="72"/>
      <c r="I335" s="72"/>
      <c r="J335" s="74"/>
      <c r="K335" s="24"/>
    </row>
    <row r="336" spans="2:11">
      <c r="B336" s="82"/>
      <c r="C336" s="24" t="s">
        <v>87</v>
      </c>
      <c r="D336" s="72"/>
      <c r="E336" s="81"/>
      <c r="F336" s="81"/>
      <c r="G336" s="72"/>
      <c r="H336" s="72"/>
      <c r="I336" s="72"/>
      <c r="J336" s="74"/>
      <c r="K336" s="24"/>
    </row>
    <row r="337" spans="2:11">
      <c r="B337" s="82"/>
      <c r="C337" s="24" t="s">
        <v>87</v>
      </c>
      <c r="D337" s="72"/>
      <c r="E337" s="81"/>
      <c r="F337" s="81"/>
      <c r="G337" s="72"/>
      <c r="H337" s="72"/>
      <c r="I337" s="72"/>
      <c r="J337" s="74"/>
      <c r="K337" s="24"/>
    </row>
    <row r="338" spans="2:11">
      <c r="B338" s="82"/>
      <c r="C338" s="24" t="s">
        <v>87</v>
      </c>
      <c r="D338" s="72"/>
      <c r="E338" s="81"/>
      <c r="F338" s="81"/>
      <c r="G338" s="72"/>
      <c r="H338" s="72"/>
      <c r="I338" s="72"/>
      <c r="J338" s="74"/>
      <c r="K338" s="24"/>
    </row>
    <row r="339" spans="2:11">
      <c r="B339" s="82"/>
      <c r="C339" s="24" t="s">
        <v>87</v>
      </c>
      <c r="D339" s="72"/>
      <c r="E339" s="81"/>
      <c r="F339" s="81"/>
      <c r="G339" s="72"/>
      <c r="H339" s="72"/>
      <c r="I339" s="72"/>
      <c r="J339" s="74"/>
      <c r="K339" s="24"/>
    </row>
    <row r="340" spans="2:11">
      <c r="B340" s="82"/>
      <c r="C340" s="24" t="s">
        <v>87</v>
      </c>
      <c r="D340" s="72"/>
      <c r="E340" s="81"/>
      <c r="F340" s="81"/>
      <c r="G340" s="72"/>
      <c r="H340" s="72"/>
      <c r="I340" s="72"/>
      <c r="J340" s="74"/>
      <c r="K340" s="24"/>
    </row>
    <row r="341" spans="2:11">
      <c r="B341" s="82"/>
      <c r="C341" s="24" t="s">
        <v>87</v>
      </c>
      <c r="D341" s="72"/>
      <c r="E341" s="81"/>
      <c r="F341" s="81"/>
      <c r="G341" s="72"/>
      <c r="H341" s="72"/>
      <c r="I341" s="72"/>
      <c r="J341" s="74"/>
      <c r="K341" s="24"/>
    </row>
    <row r="342" spans="2:11">
      <c r="B342" s="82"/>
      <c r="C342" s="24" t="s">
        <v>87</v>
      </c>
      <c r="D342" s="72"/>
      <c r="E342" s="81"/>
      <c r="F342" s="81"/>
      <c r="G342" s="72"/>
      <c r="H342" s="72"/>
      <c r="I342" s="72"/>
      <c r="J342" s="74"/>
      <c r="K342" s="24"/>
    </row>
    <row r="343" spans="2:11">
      <c r="B343" s="82"/>
      <c r="C343" s="24" t="s">
        <v>87</v>
      </c>
      <c r="D343" s="72"/>
      <c r="E343" s="81"/>
      <c r="F343" s="81"/>
      <c r="G343" s="72"/>
      <c r="H343" s="72"/>
      <c r="I343" s="72"/>
      <c r="J343" s="74"/>
      <c r="K343" s="24"/>
    </row>
    <row r="344" spans="2:11">
      <c r="B344" s="23"/>
      <c r="C344" s="24" t="s">
        <v>87</v>
      </c>
      <c r="D344" s="24"/>
      <c r="E344" s="80"/>
      <c r="F344" s="80"/>
      <c r="G344" s="24"/>
      <c r="H344" s="24"/>
      <c r="I344" s="24"/>
      <c r="J344" s="74"/>
      <c r="K344" s="24"/>
    </row>
    <row r="345" spans="2:11">
      <c r="B345" s="23"/>
      <c r="C345" s="24" t="s">
        <v>87</v>
      </c>
      <c r="D345" s="24"/>
      <c r="E345" s="80"/>
      <c r="F345" s="80"/>
      <c r="G345" s="24"/>
      <c r="H345" s="24"/>
      <c r="I345" s="24"/>
      <c r="J345" s="74"/>
      <c r="K345" s="24"/>
    </row>
    <row r="346" spans="2:11">
      <c r="B346" s="82"/>
      <c r="C346" s="24" t="s">
        <v>87</v>
      </c>
      <c r="D346" s="72"/>
      <c r="E346" s="81"/>
      <c r="F346" s="81"/>
      <c r="G346" s="72"/>
      <c r="H346" s="72"/>
      <c r="I346" s="72"/>
      <c r="J346" s="74"/>
      <c r="K346" s="24"/>
    </row>
    <row r="347" spans="2:11">
      <c r="B347" s="82"/>
      <c r="C347" s="24" t="s">
        <v>87</v>
      </c>
      <c r="D347" s="72"/>
      <c r="E347" s="81"/>
      <c r="F347" s="81"/>
      <c r="G347" s="72"/>
      <c r="H347" s="72"/>
      <c r="I347" s="72"/>
      <c r="J347" s="74"/>
      <c r="K347" s="24"/>
    </row>
    <row r="348" spans="2:11">
      <c r="B348" s="82"/>
      <c r="C348" s="24" t="s">
        <v>87</v>
      </c>
      <c r="D348" s="72"/>
      <c r="E348" s="81"/>
      <c r="F348" s="81"/>
      <c r="G348" s="72"/>
      <c r="H348" s="72"/>
      <c r="I348" s="72"/>
      <c r="J348" s="74"/>
      <c r="K348" s="24"/>
    </row>
    <row r="349" spans="2:11">
      <c r="B349" s="82"/>
      <c r="C349" s="24" t="s">
        <v>87</v>
      </c>
      <c r="D349" s="72"/>
      <c r="E349" s="81"/>
      <c r="F349" s="81"/>
      <c r="G349" s="72"/>
      <c r="H349" s="72"/>
      <c r="I349" s="72"/>
      <c r="J349" s="74"/>
      <c r="K349" s="24"/>
    </row>
    <row r="350" spans="2:11">
      <c r="B350" s="82"/>
      <c r="C350" s="24" t="s">
        <v>87</v>
      </c>
      <c r="D350" s="72"/>
      <c r="E350" s="81"/>
      <c r="F350" s="81"/>
      <c r="G350" s="72"/>
      <c r="H350" s="72"/>
      <c r="I350" s="72"/>
      <c r="J350" s="74"/>
      <c r="K350" s="24"/>
    </row>
    <row r="351" spans="2:11">
      <c r="B351" s="82"/>
      <c r="C351" s="24" t="s">
        <v>87</v>
      </c>
      <c r="D351" s="72"/>
      <c r="E351" s="81"/>
      <c r="F351" s="81"/>
      <c r="G351" s="72"/>
      <c r="H351" s="72"/>
      <c r="I351" s="72"/>
      <c r="J351" s="74"/>
      <c r="K351" s="24"/>
    </row>
    <row r="352" spans="2:11">
      <c r="B352" s="82"/>
      <c r="C352" s="24" t="s">
        <v>87</v>
      </c>
      <c r="D352" s="72"/>
      <c r="E352" s="81"/>
      <c r="F352" s="81"/>
      <c r="G352" s="72"/>
      <c r="H352" s="72"/>
      <c r="I352" s="72"/>
      <c r="J352" s="74"/>
      <c r="K352" s="24"/>
    </row>
    <row r="353" spans="2:11">
      <c r="B353" s="82"/>
      <c r="C353" s="24" t="s">
        <v>87</v>
      </c>
      <c r="D353" s="72"/>
      <c r="E353" s="81"/>
      <c r="F353" s="81"/>
      <c r="G353" s="72"/>
      <c r="H353" s="72"/>
      <c r="I353" s="72"/>
      <c r="J353" s="74"/>
      <c r="K353" s="24"/>
    </row>
    <row r="354" spans="2:11">
      <c r="B354" s="82"/>
      <c r="C354" s="24" t="s">
        <v>87</v>
      </c>
      <c r="D354" s="72"/>
      <c r="E354" s="81"/>
      <c r="F354" s="81"/>
      <c r="G354" s="72"/>
      <c r="H354" s="72"/>
      <c r="I354" s="72"/>
      <c r="J354" s="74"/>
      <c r="K354" s="24"/>
    </row>
    <row r="355" spans="2:11">
      <c r="B355" s="82"/>
      <c r="C355" s="24" t="s">
        <v>87</v>
      </c>
      <c r="D355" s="72"/>
      <c r="E355" s="81"/>
      <c r="F355" s="81"/>
      <c r="G355" s="72"/>
      <c r="H355" s="72"/>
      <c r="I355" s="72"/>
      <c r="J355" s="74"/>
      <c r="K355" s="24"/>
    </row>
    <row r="356" spans="2:11">
      <c r="B356" s="82"/>
      <c r="C356" s="24" t="s">
        <v>87</v>
      </c>
      <c r="D356" s="72"/>
      <c r="E356" s="81"/>
      <c r="F356" s="81"/>
      <c r="G356" s="72"/>
      <c r="H356" s="72"/>
      <c r="I356" s="72"/>
      <c r="J356" s="74"/>
      <c r="K356" s="24"/>
    </row>
    <row r="357" spans="2:11">
      <c r="B357" s="82"/>
      <c r="C357" s="24" t="s">
        <v>87</v>
      </c>
      <c r="D357" s="72"/>
      <c r="E357" s="81"/>
      <c r="F357" s="81"/>
      <c r="G357" s="72"/>
      <c r="H357" s="72"/>
      <c r="I357" s="72"/>
      <c r="J357" s="74"/>
      <c r="K357" s="24"/>
    </row>
    <row r="358" spans="2:11">
      <c r="B358" s="82"/>
      <c r="C358" s="24" t="s">
        <v>87</v>
      </c>
      <c r="D358" s="72"/>
      <c r="E358" s="81"/>
      <c r="F358" s="81"/>
      <c r="G358" s="72"/>
      <c r="H358" s="72"/>
      <c r="I358" s="72"/>
      <c r="J358" s="74"/>
      <c r="K358" s="24"/>
    </row>
    <row r="359" spans="2:11">
      <c r="B359" s="82"/>
      <c r="C359" s="24" t="s">
        <v>87</v>
      </c>
      <c r="D359" s="72"/>
      <c r="E359" s="81"/>
      <c r="F359" s="81"/>
      <c r="G359" s="72"/>
      <c r="H359" s="72"/>
      <c r="I359" s="72"/>
      <c r="J359" s="74"/>
      <c r="K359" s="24"/>
    </row>
    <row r="360" spans="2:11">
      <c r="B360" s="82"/>
      <c r="C360" s="24" t="s">
        <v>87</v>
      </c>
      <c r="D360" s="72"/>
      <c r="E360" s="81"/>
      <c r="F360" s="81"/>
      <c r="G360" s="72"/>
      <c r="H360" s="72"/>
      <c r="I360" s="72"/>
      <c r="J360" s="74"/>
      <c r="K360" s="24"/>
    </row>
    <row r="361" spans="2:11">
      <c r="B361" s="82"/>
      <c r="C361" s="24" t="s">
        <v>87</v>
      </c>
      <c r="D361" s="72"/>
      <c r="E361" s="81"/>
      <c r="F361" s="81"/>
      <c r="G361" s="72"/>
      <c r="H361" s="72"/>
      <c r="I361" s="72"/>
      <c r="J361" s="24"/>
      <c r="K361" s="24"/>
    </row>
    <row r="362" spans="2:11">
      <c r="B362" s="82"/>
      <c r="C362" s="24" t="s">
        <v>87</v>
      </c>
      <c r="D362" s="72"/>
      <c r="E362" s="81"/>
      <c r="F362" s="81"/>
      <c r="G362" s="72"/>
      <c r="H362" s="72"/>
      <c r="I362" s="72"/>
      <c r="J362" s="74"/>
      <c r="K362" s="24"/>
    </row>
    <row r="363" spans="2:11">
      <c r="B363" s="82"/>
      <c r="C363" s="24" t="s">
        <v>87</v>
      </c>
      <c r="D363" s="72"/>
      <c r="E363" s="81"/>
      <c r="F363" s="81"/>
      <c r="G363" s="72"/>
      <c r="H363" s="72"/>
      <c r="I363" s="72"/>
      <c r="J363" s="74"/>
      <c r="K363" s="24"/>
    </row>
    <row r="364" spans="2:11">
      <c r="B364" s="82"/>
      <c r="C364" s="24" t="s">
        <v>87</v>
      </c>
      <c r="D364" s="72"/>
      <c r="E364" s="81"/>
      <c r="F364" s="81"/>
      <c r="G364" s="72"/>
      <c r="H364" s="72"/>
      <c r="I364" s="72"/>
      <c r="J364" s="74"/>
      <c r="K364" s="24"/>
    </row>
    <row r="365" spans="2:11">
      <c r="B365" s="82"/>
      <c r="C365" s="24" t="s">
        <v>87</v>
      </c>
      <c r="D365" s="72"/>
      <c r="E365" s="81"/>
      <c r="F365" s="81"/>
      <c r="G365" s="72"/>
      <c r="H365" s="72"/>
      <c r="I365" s="72"/>
      <c r="J365" s="74"/>
      <c r="K365" s="24"/>
    </row>
    <row r="366" spans="2:11">
      <c r="B366" s="82"/>
      <c r="C366" s="24" t="s">
        <v>87</v>
      </c>
      <c r="D366" s="72"/>
      <c r="E366" s="81"/>
      <c r="F366" s="81"/>
      <c r="G366" s="72"/>
      <c r="H366" s="72"/>
      <c r="I366" s="72"/>
      <c r="J366" s="74"/>
      <c r="K366" s="24"/>
    </row>
    <row r="367" spans="2:11">
      <c r="B367" s="82"/>
      <c r="C367" s="24" t="s">
        <v>87</v>
      </c>
      <c r="D367" s="72"/>
      <c r="E367" s="81"/>
      <c r="F367" s="81"/>
      <c r="G367" s="72"/>
      <c r="H367" s="72"/>
      <c r="I367" s="72"/>
      <c r="J367" s="74"/>
      <c r="K367" s="24"/>
    </row>
    <row r="368" spans="2:11">
      <c r="B368" s="82"/>
      <c r="C368" s="24" t="s">
        <v>87</v>
      </c>
      <c r="D368" s="72"/>
      <c r="E368" s="81"/>
      <c r="F368" s="81"/>
      <c r="G368" s="72"/>
      <c r="H368" s="72"/>
      <c r="I368" s="72"/>
      <c r="J368" s="74"/>
      <c r="K368" s="24"/>
    </row>
    <row r="369" spans="2:11">
      <c r="B369" s="82"/>
      <c r="C369" s="24" t="s">
        <v>87</v>
      </c>
      <c r="D369" s="72"/>
      <c r="E369" s="81"/>
      <c r="F369" s="81"/>
      <c r="G369" s="72"/>
      <c r="H369" s="72"/>
      <c r="I369" s="72"/>
      <c r="J369" s="74"/>
      <c r="K369" s="24"/>
    </row>
    <row r="370" spans="2:11">
      <c r="B370" s="23"/>
      <c r="C370" s="24" t="s">
        <v>87</v>
      </c>
      <c r="D370" s="24"/>
      <c r="E370" s="80"/>
      <c r="F370" s="80"/>
      <c r="G370" s="24"/>
      <c r="H370" s="24"/>
      <c r="I370" s="24"/>
      <c r="J370" s="74"/>
      <c r="K370" s="24"/>
    </row>
    <row r="371" spans="2:11">
      <c r="B371" s="82"/>
      <c r="C371" s="24" t="s">
        <v>87</v>
      </c>
      <c r="D371" s="72"/>
      <c r="E371" s="81"/>
      <c r="F371" s="81"/>
      <c r="G371" s="72"/>
      <c r="H371" s="72"/>
      <c r="I371" s="72"/>
      <c r="J371" s="74"/>
      <c r="K371" s="24"/>
    </row>
    <row r="372" spans="2:11">
      <c r="B372" s="82"/>
      <c r="C372" s="24" t="s">
        <v>87</v>
      </c>
      <c r="D372" s="72"/>
      <c r="E372" s="81"/>
      <c r="F372" s="81"/>
      <c r="G372" s="72"/>
      <c r="H372" s="72"/>
      <c r="I372" s="72"/>
      <c r="J372" s="74"/>
      <c r="K372" s="24"/>
    </row>
    <row r="373" spans="2:11">
      <c r="B373" s="82"/>
      <c r="C373" s="24" t="s">
        <v>87</v>
      </c>
      <c r="D373" s="72"/>
      <c r="E373" s="81"/>
      <c r="F373" s="81"/>
      <c r="G373" s="72"/>
      <c r="H373" s="72"/>
      <c r="I373" s="72"/>
      <c r="J373" s="74"/>
      <c r="K373" s="24"/>
    </row>
    <row r="374" spans="2:11">
      <c r="B374" s="82"/>
      <c r="C374" s="24" t="s">
        <v>87</v>
      </c>
      <c r="D374" s="72"/>
      <c r="E374" s="81"/>
      <c r="F374" s="81"/>
      <c r="G374" s="72"/>
      <c r="H374" s="72"/>
      <c r="I374" s="72"/>
      <c r="J374" s="74"/>
      <c r="K374" s="24"/>
    </row>
    <row r="375" spans="2:11">
      <c r="B375" s="3"/>
      <c r="C375" s="24" t="s">
        <v>87</v>
      </c>
      <c r="D375" s="2"/>
      <c r="E375" s="90"/>
      <c r="F375" s="2"/>
      <c r="G375" s="2"/>
      <c r="H375" s="2"/>
      <c r="I375" s="2"/>
      <c r="J375" s="72"/>
      <c r="K375" s="72"/>
    </row>
    <row r="376" spans="2:11">
      <c r="B376" s="82"/>
      <c r="C376" s="24" t="s">
        <v>87</v>
      </c>
      <c r="D376" s="72"/>
      <c r="E376" s="81"/>
      <c r="F376" s="81"/>
      <c r="G376" s="72"/>
      <c r="H376" s="72"/>
      <c r="I376" s="72"/>
      <c r="J376" s="72"/>
      <c r="K376" s="72"/>
    </row>
    <row r="377" spans="2:11">
      <c r="B377" s="82"/>
      <c r="C377" s="24" t="s">
        <v>87</v>
      </c>
      <c r="D377" s="72"/>
      <c r="E377" s="81"/>
      <c r="F377" s="81"/>
      <c r="G377" s="72"/>
      <c r="H377" s="72"/>
      <c r="I377" s="72"/>
      <c r="J377" s="72"/>
      <c r="K377" s="72"/>
    </row>
    <row r="378" spans="2:11">
      <c r="B378" s="82"/>
      <c r="C378" s="24" t="s">
        <v>87</v>
      </c>
      <c r="D378" s="72"/>
      <c r="E378" s="81"/>
      <c r="F378" s="81"/>
      <c r="G378" s="72"/>
      <c r="H378" s="72"/>
      <c r="I378" s="72"/>
      <c r="J378" s="72"/>
      <c r="K378" s="72"/>
    </row>
    <row r="379" spans="2:11">
      <c r="B379" s="82"/>
      <c r="C379" s="24" t="s">
        <v>87</v>
      </c>
      <c r="D379" s="72"/>
      <c r="E379" s="81"/>
      <c r="F379" s="81"/>
      <c r="G379" s="72"/>
      <c r="H379" s="72"/>
      <c r="I379" s="72"/>
      <c r="J379" s="72"/>
      <c r="K379" s="72"/>
    </row>
    <row r="380" spans="2:11">
      <c r="B380" s="82"/>
      <c r="C380" s="24" t="s">
        <v>87</v>
      </c>
      <c r="D380" s="72"/>
      <c r="E380" s="81"/>
      <c r="F380" s="81"/>
      <c r="G380" s="72"/>
      <c r="H380" s="72"/>
      <c r="I380" s="72"/>
      <c r="J380" s="72"/>
      <c r="K380" s="72"/>
    </row>
    <row r="381" spans="2:11">
      <c r="B381" s="82"/>
      <c r="C381" s="24" t="s">
        <v>87</v>
      </c>
      <c r="D381" s="72"/>
      <c r="E381" s="81"/>
      <c r="F381" s="81"/>
      <c r="G381" s="72"/>
      <c r="H381" s="72"/>
      <c r="I381" s="72"/>
      <c r="J381" s="72"/>
      <c r="K381" s="72"/>
    </row>
    <row r="382" spans="2:11">
      <c r="B382" s="82"/>
      <c r="C382" s="24" t="s">
        <v>87</v>
      </c>
      <c r="D382" s="72"/>
      <c r="E382" s="81"/>
      <c r="F382" s="81"/>
      <c r="G382" s="72"/>
      <c r="H382" s="72"/>
      <c r="I382" s="72"/>
      <c r="J382" s="72"/>
      <c r="K382" s="72"/>
    </row>
    <row r="383" spans="2:11">
      <c r="B383" s="82"/>
      <c r="C383" s="24" t="s">
        <v>87</v>
      </c>
      <c r="D383" s="72"/>
      <c r="E383" s="81"/>
      <c r="F383" s="81"/>
      <c r="G383" s="72"/>
      <c r="H383" s="72"/>
      <c r="I383" s="72"/>
      <c r="J383" s="72"/>
      <c r="K383" s="72"/>
    </row>
    <row r="384" spans="2:11">
      <c r="B384" s="82"/>
      <c r="C384" s="24" t="s">
        <v>87</v>
      </c>
      <c r="D384" s="72"/>
      <c r="E384" s="81"/>
      <c r="F384" s="81"/>
      <c r="G384" s="72"/>
      <c r="H384" s="72"/>
      <c r="I384" s="72"/>
      <c r="J384" s="72"/>
      <c r="K384" s="72"/>
    </row>
    <row r="385" spans="2:11">
      <c r="B385" s="82"/>
      <c r="C385" s="24" t="s">
        <v>87</v>
      </c>
      <c r="D385" s="72"/>
      <c r="E385" s="81"/>
      <c r="F385" s="81"/>
      <c r="G385" s="72"/>
      <c r="H385" s="72"/>
      <c r="I385" s="72"/>
      <c r="J385" s="74"/>
      <c r="K385" s="72"/>
    </row>
    <row r="386" spans="2:11">
      <c r="B386" s="23"/>
      <c r="C386" s="24" t="s">
        <v>87</v>
      </c>
      <c r="D386" s="24"/>
      <c r="E386" s="80"/>
      <c r="F386" s="81"/>
      <c r="G386" s="24"/>
      <c r="H386" s="24"/>
      <c r="I386" s="24"/>
      <c r="J386" s="74"/>
      <c r="K386" s="72"/>
    </row>
    <row r="387" spans="2:11">
      <c r="B387" s="82"/>
      <c r="C387" s="24" t="s">
        <v>87</v>
      </c>
      <c r="D387" s="72"/>
      <c r="E387" s="81"/>
      <c r="F387" s="91"/>
      <c r="G387" s="72"/>
      <c r="H387" s="72"/>
      <c r="I387" s="72"/>
      <c r="J387" s="74"/>
      <c r="K387" s="72"/>
    </row>
    <row r="388" spans="2:11">
      <c r="B388" s="82"/>
      <c r="C388" s="24" t="s">
        <v>87</v>
      </c>
      <c r="D388" s="72"/>
      <c r="E388" s="81"/>
      <c r="F388" s="81"/>
      <c r="G388" s="72"/>
      <c r="H388" s="72"/>
      <c r="I388" s="72"/>
      <c r="J388" s="74"/>
      <c r="K388" s="72"/>
    </row>
    <row r="389" spans="2:11">
      <c r="B389" s="82"/>
      <c r="C389" s="24" t="s">
        <v>87</v>
      </c>
      <c r="D389" s="72"/>
      <c r="E389" s="81"/>
      <c r="F389" s="81"/>
      <c r="G389" s="72"/>
      <c r="H389" s="72"/>
      <c r="I389" s="72"/>
      <c r="J389" s="72"/>
      <c r="K389" s="72"/>
    </row>
    <row r="390" spans="2:11">
      <c r="B390" s="82"/>
      <c r="C390" s="24" t="s">
        <v>87</v>
      </c>
      <c r="D390" s="72"/>
      <c r="E390" s="81"/>
      <c r="F390" s="81"/>
      <c r="G390" s="72"/>
      <c r="H390" s="72"/>
      <c r="I390" s="72"/>
      <c r="J390" s="72"/>
      <c r="K390" s="72"/>
    </row>
    <row r="391" spans="2:11">
      <c r="B391" s="23"/>
      <c r="C391" s="24" t="s">
        <v>87</v>
      </c>
      <c r="D391" s="24"/>
      <c r="E391" s="80"/>
      <c r="F391" s="81"/>
      <c r="G391" s="24"/>
      <c r="H391" s="24"/>
      <c r="I391" s="24"/>
      <c r="J391" s="24"/>
      <c r="K391" s="24"/>
    </row>
    <row r="392" spans="2:11">
      <c r="B392" s="23"/>
      <c r="C392" s="24" t="s">
        <v>87</v>
      </c>
      <c r="D392" s="24"/>
      <c r="E392" s="80"/>
      <c r="F392" s="91"/>
      <c r="G392" s="24"/>
      <c r="H392" s="24"/>
      <c r="I392" s="24"/>
      <c r="J392" s="24"/>
      <c r="K392" s="24"/>
    </row>
    <row r="393" spans="2:11">
      <c r="B393" s="82"/>
      <c r="C393" s="24" t="s">
        <v>87</v>
      </c>
      <c r="D393" s="72"/>
      <c r="E393" s="81"/>
      <c r="F393" s="91"/>
      <c r="G393" s="72"/>
      <c r="H393" s="72"/>
      <c r="I393" s="72"/>
      <c r="J393" s="72"/>
      <c r="K393" s="72"/>
    </row>
    <row r="394" spans="2:11">
      <c r="B394" s="82"/>
      <c r="C394" s="24" t="s">
        <v>87</v>
      </c>
      <c r="D394" s="72"/>
      <c r="E394" s="81"/>
      <c r="F394" s="81"/>
      <c r="G394" s="72"/>
      <c r="H394" s="72"/>
      <c r="I394" s="72"/>
      <c r="J394" s="72"/>
      <c r="K394" s="72"/>
    </row>
    <row r="395" spans="2:11">
      <c r="B395" s="82"/>
      <c r="C395" s="24" t="s">
        <v>87</v>
      </c>
      <c r="D395" s="72"/>
      <c r="E395" s="81"/>
      <c r="F395" s="81"/>
      <c r="G395" s="72"/>
      <c r="H395" s="72"/>
      <c r="I395" s="72"/>
      <c r="J395" s="72"/>
      <c r="K395" s="72"/>
    </row>
    <row r="396" spans="2:11">
      <c r="B396" s="82"/>
      <c r="C396" s="24" t="s">
        <v>87</v>
      </c>
      <c r="D396" s="72"/>
      <c r="E396" s="81"/>
      <c r="F396" s="81"/>
      <c r="G396" s="72"/>
      <c r="H396" s="72"/>
      <c r="I396" s="72"/>
      <c r="J396" s="72"/>
      <c r="K396" s="72"/>
    </row>
    <row r="397" spans="2:11">
      <c r="B397" s="82"/>
      <c r="C397" s="24" t="s">
        <v>87</v>
      </c>
      <c r="D397" s="72"/>
      <c r="E397" s="81"/>
      <c r="F397" s="81"/>
      <c r="G397" s="72"/>
      <c r="H397" s="72"/>
      <c r="I397" s="72"/>
      <c r="J397" s="72"/>
      <c r="K397" s="72"/>
    </row>
    <row r="398" spans="2:11">
      <c r="B398" s="82"/>
      <c r="C398" s="24" t="s">
        <v>87</v>
      </c>
      <c r="D398" s="72"/>
      <c r="E398" s="81"/>
      <c r="F398" s="81"/>
      <c r="G398" s="72"/>
      <c r="H398" s="72"/>
      <c r="I398" s="72"/>
      <c r="J398" s="72"/>
      <c r="K398" s="72"/>
    </row>
    <row r="399" spans="2:11">
      <c r="B399" s="82"/>
      <c r="C399" s="24" t="s">
        <v>87</v>
      </c>
      <c r="D399" s="72"/>
      <c r="E399" s="81"/>
      <c r="F399" s="81"/>
      <c r="G399" s="72"/>
      <c r="H399" s="72"/>
      <c r="I399" s="72"/>
      <c r="J399" s="72"/>
      <c r="K399" s="72"/>
    </row>
    <row r="400" spans="2:11">
      <c r="B400" s="82"/>
      <c r="C400" s="24" t="s">
        <v>87</v>
      </c>
      <c r="D400" s="72"/>
      <c r="E400" s="81"/>
      <c r="F400" s="81"/>
      <c r="G400" s="72"/>
      <c r="H400" s="72"/>
      <c r="I400" s="72"/>
      <c r="J400" s="72"/>
      <c r="K400" s="72"/>
    </row>
    <row r="401" spans="2:11">
      <c r="B401" s="82"/>
      <c r="C401" s="24" t="s">
        <v>87</v>
      </c>
      <c r="D401" s="72"/>
      <c r="E401" s="81"/>
      <c r="F401" s="81"/>
      <c r="G401" s="72"/>
      <c r="H401" s="72"/>
      <c r="I401" s="72"/>
      <c r="J401" s="72"/>
      <c r="K401" s="72"/>
    </row>
    <row r="402" spans="2:11">
      <c r="B402" s="82"/>
      <c r="C402" s="24" t="s">
        <v>87</v>
      </c>
      <c r="D402" s="72"/>
      <c r="E402" s="81"/>
      <c r="F402" s="81"/>
      <c r="G402" s="72"/>
      <c r="H402" s="72"/>
      <c r="I402" s="72"/>
      <c r="J402" s="72"/>
      <c r="K402" s="72"/>
    </row>
    <row r="403" spans="2:11">
      <c r="B403" s="82"/>
      <c r="C403" s="24" t="s">
        <v>87</v>
      </c>
      <c r="D403" s="72"/>
      <c r="E403" s="81"/>
      <c r="F403" s="81"/>
      <c r="G403" s="72"/>
      <c r="H403" s="72"/>
      <c r="I403" s="72"/>
      <c r="J403" s="72"/>
      <c r="K403" s="72"/>
    </row>
    <row r="404" spans="2:11">
      <c r="B404" s="82"/>
      <c r="C404" s="24" t="s">
        <v>87</v>
      </c>
      <c r="D404" s="72"/>
      <c r="E404" s="81"/>
      <c r="F404" s="81"/>
      <c r="G404" s="72"/>
      <c r="H404" s="72"/>
      <c r="I404" s="72"/>
      <c r="J404" s="72"/>
      <c r="K404" s="72"/>
    </row>
    <row r="405" spans="2:11">
      <c r="B405" s="23"/>
      <c r="C405" s="24" t="s">
        <v>87</v>
      </c>
      <c r="D405" s="72"/>
      <c r="E405" s="80"/>
      <c r="F405" s="81"/>
      <c r="G405" s="24"/>
      <c r="H405" s="24"/>
      <c r="I405" s="24"/>
      <c r="J405" s="72"/>
      <c r="K405" s="72"/>
    </row>
    <row r="406" spans="2:11">
      <c r="B406" s="23"/>
      <c r="C406" s="24" t="s">
        <v>87</v>
      </c>
      <c r="D406" s="72"/>
      <c r="E406" s="80"/>
      <c r="F406" s="91"/>
      <c r="G406" s="24"/>
      <c r="H406" s="24"/>
      <c r="I406" s="24"/>
      <c r="J406" s="72"/>
      <c r="K406" s="72"/>
    </row>
    <row r="407" spans="2:11">
      <c r="B407" s="23"/>
      <c r="C407" s="24" t="s">
        <v>87</v>
      </c>
      <c r="D407" s="72"/>
      <c r="E407" s="80"/>
      <c r="F407" s="91"/>
      <c r="G407" s="24"/>
      <c r="H407" s="24"/>
      <c r="I407" s="24"/>
      <c r="J407" s="72"/>
      <c r="K407" s="72"/>
    </row>
    <row r="408" spans="2:11">
      <c r="B408" s="23"/>
      <c r="C408" s="24" t="s">
        <v>87</v>
      </c>
      <c r="D408" s="24"/>
      <c r="E408" s="80"/>
      <c r="F408" s="91"/>
      <c r="G408" s="24"/>
      <c r="H408" s="24"/>
      <c r="I408" s="24"/>
      <c r="J408" s="72"/>
      <c r="K408" s="72"/>
    </row>
    <row r="409" spans="2:11">
      <c r="B409" s="23"/>
      <c r="C409" s="24" t="s">
        <v>87</v>
      </c>
      <c r="D409" s="72"/>
      <c r="E409" s="80"/>
      <c r="F409" s="91"/>
      <c r="G409" s="24"/>
      <c r="H409" s="24"/>
      <c r="I409" s="24"/>
      <c r="J409" s="72"/>
      <c r="K409" s="72"/>
    </row>
    <row r="410" spans="2:11">
      <c r="B410" s="23"/>
      <c r="C410" s="24" t="s">
        <v>87</v>
      </c>
      <c r="D410" s="72"/>
      <c r="E410" s="80"/>
      <c r="F410" s="91"/>
      <c r="G410" s="24"/>
      <c r="H410" s="24"/>
      <c r="I410" s="24"/>
      <c r="J410" s="72"/>
      <c r="K410" s="72"/>
    </row>
    <row r="411" spans="2:11">
      <c r="B411" s="82"/>
      <c r="C411" s="24" t="s">
        <v>87</v>
      </c>
      <c r="D411" s="72"/>
      <c r="E411" s="81"/>
      <c r="F411" s="91"/>
      <c r="G411" s="72"/>
      <c r="H411" s="72"/>
      <c r="I411" s="24"/>
      <c r="J411" s="72"/>
      <c r="K411" s="72"/>
    </row>
    <row r="412" spans="2:11">
      <c r="B412" s="82"/>
      <c r="C412" s="24" t="s">
        <v>87</v>
      </c>
      <c r="D412" s="72"/>
      <c r="E412" s="81"/>
      <c r="F412" s="81"/>
      <c r="G412" s="72"/>
      <c r="H412" s="72"/>
      <c r="I412" s="72"/>
      <c r="J412" s="72"/>
      <c r="K412" s="72"/>
    </row>
    <row r="413" spans="2:11">
      <c r="B413" s="82"/>
      <c r="C413" s="24" t="s">
        <v>87</v>
      </c>
      <c r="D413" s="72"/>
      <c r="E413" s="81"/>
      <c r="F413" s="81"/>
      <c r="G413" s="72"/>
      <c r="H413" s="72"/>
      <c r="I413" s="72"/>
      <c r="J413" s="72"/>
      <c r="K413" s="72"/>
    </row>
    <row r="414" spans="2:11">
      <c r="B414" s="82"/>
      <c r="C414" s="24" t="s">
        <v>87</v>
      </c>
      <c r="D414" s="72"/>
      <c r="E414" s="81"/>
      <c r="F414" s="81"/>
      <c r="G414" s="72"/>
      <c r="H414" s="72"/>
      <c r="I414" s="72"/>
      <c r="J414" s="72"/>
      <c r="K414" s="72"/>
    </row>
    <row r="415" spans="2:11">
      <c r="B415" s="82"/>
      <c r="C415" s="24" t="s">
        <v>87</v>
      </c>
      <c r="D415" s="72"/>
      <c r="E415" s="81"/>
      <c r="F415" s="81"/>
      <c r="G415" s="72"/>
      <c r="H415" s="72"/>
      <c r="I415" s="72"/>
      <c r="J415" s="72"/>
      <c r="K415" s="72"/>
    </row>
    <row r="416" spans="2:11">
      <c r="B416" s="82"/>
      <c r="C416" s="24" t="s">
        <v>87</v>
      </c>
      <c r="D416" s="72"/>
      <c r="E416" s="81"/>
      <c r="F416" s="81"/>
      <c r="G416" s="72"/>
      <c r="H416" s="72"/>
      <c r="I416" s="72"/>
      <c r="J416" s="72"/>
      <c r="K416" s="72"/>
    </row>
    <row r="417" spans="2:11">
      <c r="B417" s="82"/>
      <c r="C417" s="24" t="s">
        <v>87</v>
      </c>
      <c r="D417" s="72"/>
      <c r="E417" s="81"/>
      <c r="F417" s="81"/>
      <c r="G417" s="72"/>
      <c r="H417" s="72"/>
      <c r="I417" s="72"/>
      <c r="J417" s="72"/>
      <c r="K417" s="72"/>
    </row>
    <row r="418" spans="2:11">
      <c r="B418" s="82"/>
      <c r="C418" s="24" t="s">
        <v>87</v>
      </c>
      <c r="D418" s="72"/>
      <c r="E418" s="92"/>
      <c r="F418" s="72"/>
      <c r="G418" s="72"/>
      <c r="H418" s="72"/>
      <c r="I418" s="72"/>
      <c r="J418" s="72"/>
      <c r="K418" s="72"/>
    </row>
    <row r="419" spans="2:11">
      <c r="B419" s="82"/>
      <c r="C419" s="24" t="s">
        <v>87</v>
      </c>
      <c r="D419" s="72"/>
      <c r="E419" s="92"/>
      <c r="F419" s="72"/>
      <c r="G419" s="72"/>
      <c r="H419" s="72"/>
      <c r="I419" s="72"/>
      <c r="J419" s="72"/>
      <c r="K419" s="72"/>
    </row>
  </sheetData>
  <phoneticPr fontId="40" type="noConversion"/>
  <pageMargins left="0.511811024" right="0.511811024" top="0.78740157499999996" bottom="0.78740157499999996" header="0.31496062000000002" footer="0.31496062000000002"/>
  <pageSetup paperSize="9" orientation="portrait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B4:AC68"/>
  <sheetViews>
    <sheetView zoomScale="70" zoomScaleNormal="70" workbookViewId="0">
      <selection activeCell="H14" sqref="H14"/>
    </sheetView>
  </sheetViews>
  <sheetFormatPr defaultColWidth="9" defaultRowHeight="14.4"/>
  <cols>
    <col min="1" max="1" width="11.109375" customWidth="1"/>
    <col min="2" max="2" width="14.109375" style="57" customWidth="1"/>
    <col min="3" max="3" width="13.88671875" style="57" customWidth="1"/>
    <col min="4" max="4" width="24.44140625" style="57" customWidth="1"/>
    <col min="5" max="5" width="8.5546875" style="57" customWidth="1"/>
    <col min="6" max="6" width="13.33203125" style="57" customWidth="1"/>
    <col min="7" max="7" width="13.6640625" style="57" customWidth="1"/>
    <col min="8" max="8" width="14.33203125" style="57" customWidth="1"/>
    <col min="9" max="10" width="13.88671875" style="57" customWidth="1"/>
    <col min="11" max="11" width="18.33203125" style="57" customWidth="1"/>
    <col min="12" max="12" width="16.88671875" style="57" customWidth="1"/>
    <col min="13" max="13" width="18.6640625" style="57" customWidth="1"/>
    <col min="14" max="14" width="25.33203125" customWidth="1"/>
    <col min="15" max="15" width="7.88671875" style="2" customWidth="1"/>
    <col min="16" max="16" width="9.109375" style="2"/>
    <col min="17" max="17" width="13.109375" style="2" customWidth="1"/>
    <col min="18" max="18" width="9.6640625" hidden="1" customWidth="1"/>
    <col min="19" max="19" width="20.6640625" customWidth="1"/>
    <col min="20" max="20" width="17.33203125" customWidth="1"/>
    <col min="22" max="22" width="14.5546875" customWidth="1"/>
    <col min="24" max="24" width="11.88671875" customWidth="1"/>
  </cols>
  <sheetData>
    <row r="4" spans="2:29" ht="28.8">
      <c r="B4" s="57" t="s">
        <v>31</v>
      </c>
      <c r="C4" s="57" t="s">
        <v>187</v>
      </c>
      <c r="D4" s="57" t="s">
        <v>33</v>
      </c>
      <c r="E4" s="57" t="s">
        <v>188</v>
      </c>
      <c r="F4" s="57" t="s">
        <v>38</v>
      </c>
      <c r="G4" s="57" t="s">
        <v>39</v>
      </c>
      <c r="H4" s="57" t="s">
        <v>189</v>
      </c>
      <c r="I4" s="57" t="s">
        <v>190</v>
      </c>
      <c r="J4" s="57" t="s">
        <v>191</v>
      </c>
      <c r="K4" s="57" t="s">
        <v>83</v>
      </c>
      <c r="L4" s="57" t="s">
        <v>192</v>
      </c>
      <c r="M4" s="57" t="s">
        <v>193</v>
      </c>
      <c r="N4" t="s">
        <v>194</v>
      </c>
      <c r="O4" s="57" t="s">
        <v>32</v>
      </c>
      <c r="P4" s="57" t="s">
        <v>59</v>
      </c>
      <c r="Q4" s="57" t="s">
        <v>195</v>
      </c>
      <c r="R4" s="7" t="s">
        <v>196</v>
      </c>
      <c r="S4" s="57" t="s">
        <v>57</v>
      </c>
      <c r="T4" s="57" t="s">
        <v>197</v>
      </c>
      <c r="U4" s="57" t="s">
        <v>58</v>
      </c>
      <c r="V4" s="57" t="s">
        <v>60</v>
      </c>
    </row>
    <row r="5" spans="2:29">
      <c r="B5" s="58">
        <v>45872</v>
      </c>
      <c r="C5" s="59" t="s">
        <v>11</v>
      </c>
      <c r="D5" s="59" t="s">
        <v>198</v>
      </c>
      <c r="E5" s="59">
        <v>84</v>
      </c>
      <c r="F5" s="59">
        <v>43540</v>
      </c>
      <c r="G5" s="60">
        <f>Tabela3[[#This Row],[PESO TOTAL]]/Tabela3[[#This Row],[ANIMAIS]]</f>
        <v>518.33333333333337</v>
      </c>
      <c r="H5" s="59">
        <v>22350.400000000001</v>
      </c>
      <c r="I5" s="60">
        <f>Tabela3[[#This Row],[CARCAÇA TOTAL]]/Tabela3[[#This Row],[ANIMAIS]]</f>
        <v>266.0761904761905</v>
      </c>
      <c r="J5" s="67">
        <f>Tabela3[[#This Row],[CARCAÇA MÉDIA]]/Tabela3[[#This Row],[PESO MÉDIO]]</f>
        <v>0.51333027101515849</v>
      </c>
      <c r="K5" s="68">
        <v>401502.68</v>
      </c>
      <c r="L5" s="69">
        <f t="shared" ref="L5:L68" si="0">K5/E5</f>
        <v>4779.7938095238096</v>
      </c>
      <c r="M5" s="69">
        <f>Tabela3[[#This Row],[VALOR CABEÇA]]/(Tabela3[[#This Row],[CARCAÇA MÉDIA]]/15)</f>
        <v>269.46006335457082</v>
      </c>
      <c r="N5" s="24" t="s">
        <v>40</v>
      </c>
      <c r="O5" s="24" t="s">
        <v>70</v>
      </c>
      <c r="P5" s="24">
        <v>2025</v>
      </c>
      <c r="Q5" s="24" t="s">
        <v>262</v>
      </c>
      <c r="R5" s="73">
        <f>Tabela3[[#This Row],[RENDIMENTO %]]*Tabela3[[#This Row],[ANIMAIS]]</f>
        <v>43.119742765273315</v>
      </c>
      <c r="S5" s="24" t="s">
        <v>199</v>
      </c>
      <c r="T5" s="24" t="s">
        <v>45</v>
      </c>
      <c r="U5" s="24" t="s">
        <v>45</v>
      </c>
      <c r="V5" s="74" t="s">
        <v>68</v>
      </c>
    </row>
    <row r="6" spans="2:29">
      <c r="B6" s="58">
        <v>46108</v>
      </c>
      <c r="C6" s="59" t="s">
        <v>11</v>
      </c>
      <c r="D6" s="59" t="s">
        <v>198</v>
      </c>
      <c r="E6" s="59">
        <v>189</v>
      </c>
      <c r="F6" s="59">
        <v>106680</v>
      </c>
      <c r="G6" s="60">
        <f>Tabela3[[#This Row],[PESO TOTAL]]/Tabela3[[#This Row],[ANIMAIS]]</f>
        <v>564.44444444444446</v>
      </c>
      <c r="H6" s="59">
        <v>60225</v>
      </c>
      <c r="I6" s="60">
        <f>Tabela3[[#This Row],[CARCAÇA TOTAL]]/Tabela3[[#This Row],[ANIMAIS]]</f>
        <v>318.65079365079367</v>
      </c>
      <c r="J6" s="67">
        <f>Tabela3[[#This Row],[CARCAÇA MÉDIA]]/Tabela3[[#This Row],[PESO MÉDIO]]</f>
        <v>0.56453880764904385</v>
      </c>
      <c r="K6" s="68">
        <v>1302000</v>
      </c>
      <c r="L6" s="69">
        <f t="shared" si="0"/>
        <v>6888.8888888888887</v>
      </c>
      <c r="M6" s="69">
        <f>Tabela3[[#This Row],[VALOR CABEÇA]]/(Tabela3[[#This Row],[CARCAÇA MÉDIA]]/15)</f>
        <v>324.28393524283933</v>
      </c>
      <c r="N6" s="24" t="s">
        <v>40</v>
      </c>
      <c r="O6" s="24" t="s">
        <v>72</v>
      </c>
      <c r="P6" s="24">
        <v>2026</v>
      </c>
      <c r="Q6" s="24" t="s">
        <v>262</v>
      </c>
      <c r="R6" s="73"/>
      <c r="S6" s="24" t="s">
        <v>199</v>
      </c>
      <c r="T6" s="24" t="s">
        <v>45</v>
      </c>
      <c r="U6" s="24" t="s">
        <v>45</v>
      </c>
      <c r="V6" s="74" t="s">
        <v>68</v>
      </c>
      <c r="AC6" s="2"/>
    </row>
    <row r="7" spans="2:29">
      <c r="B7" s="58">
        <v>46136</v>
      </c>
      <c r="C7" s="59" t="s">
        <v>11</v>
      </c>
      <c r="D7" s="59" t="s">
        <v>198</v>
      </c>
      <c r="E7" s="59">
        <v>81</v>
      </c>
      <c r="F7" s="59">
        <v>45000</v>
      </c>
      <c r="G7" s="60">
        <f>Tabela3[[#This Row],[PESO TOTAL]]/Tabela3[[#This Row],[ANIMAIS]]</f>
        <v>555.55555555555554</v>
      </c>
      <c r="H7" s="59">
        <v>25555</v>
      </c>
      <c r="I7" s="60">
        <f>Tabela3[[#This Row],[CARCAÇA TOTAL]]/Tabela3[[#This Row],[ANIMAIS]]</f>
        <v>315.49382716049382</v>
      </c>
      <c r="J7" s="67">
        <f>Tabela3[[#This Row],[CARCAÇA MÉDIA]]/Tabela3[[#This Row],[PESO MÉDIO]]</f>
        <v>0.56788888888888889</v>
      </c>
      <c r="K7" s="68">
        <v>595083.55000000005</v>
      </c>
      <c r="L7" s="69">
        <f t="shared" si="0"/>
        <v>7346.7104938271614</v>
      </c>
      <c r="M7" s="69">
        <f>Tabela3[[#This Row],[VALOR CABEÇA]]/(Tabela3[[#This Row],[CARCAÇA MÉDIA]]/15)</f>
        <v>349.29576403834869</v>
      </c>
      <c r="N7" s="24" t="s">
        <v>40</v>
      </c>
      <c r="O7" s="24" t="s">
        <v>73</v>
      </c>
      <c r="P7" s="24">
        <v>2026</v>
      </c>
      <c r="Q7" s="24" t="s">
        <v>262</v>
      </c>
      <c r="R7" s="73"/>
      <c r="S7" s="24" t="s">
        <v>199</v>
      </c>
      <c r="T7" s="24" t="s">
        <v>45</v>
      </c>
      <c r="U7" s="24" t="s">
        <v>45</v>
      </c>
      <c r="V7" s="74" t="s">
        <v>68</v>
      </c>
      <c r="AC7" s="2"/>
    </row>
    <row r="8" spans="2:29">
      <c r="B8" s="58"/>
      <c r="C8" s="59"/>
      <c r="D8" s="59"/>
      <c r="E8" s="59"/>
      <c r="F8" s="59"/>
      <c r="G8" s="60" t="e">
        <f>Tabela3[[#This Row],[PESO TOTAL]]/Tabela3[[#This Row],[ANIMAIS]]</f>
        <v>#DIV/0!</v>
      </c>
      <c r="H8" s="59"/>
      <c r="I8" s="60" t="e">
        <f>Tabela3[[#This Row],[CARCAÇA TOTAL]]/Tabela3[[#This Row],[ANIMAIS]]</f>
        <v>#DIV/0!</v>
      </c>
      <c r="J8" s="67" t="e">
        <f>Tabela3[[#This Row],[CARCAÇA MÉDIA]]/Tabela3[[#This Row],[PESO MÉDIO]]</f>
        <v>#DIV/0!</v>
      </c>
      <c r="K8" s="68"/>
      <c r="L8" s="69" t="e">
        <f t="shared" si="0"/>
        <v>#DIV/0!</v>
      </c>
      <c r="M8" s="69" t="e">
        <f>Tabela3[[#This Row],[VALOR CABEÇA]]/(Tabela3[[#This Row],[CARCAÇA MÉDIA]]/15)</f>
        <v>#DIV/0!</v>
      </c>
      <c r="N8" s="24"/>
      <c r="O8" s="24"/>
      <c r="P8" s="24"/>
      <c r="Q8" s="24"/>
      <c r="R8" s="73"/>
      <c r="S8" s="24"/>
      <c r="T8" s="24"/>
      <c r="U8" s="24"/>
      <c r="V8" s="74"/>
      <c r="AC8" s="2"/>
    </row>
    <row r="9" spans="2:29">
      <c r="B9" s="58"/>
      <c r="C9" s="59"/>
      <c r="D9" s="59"/>
      <c r="E9" s="59"/>
      <c r="F9" s="59"/>
      <c r="G9" s="60" t="e">
        <f>Tabela3[[#This Row],[PESO TOTAL]]/Tabela3[[#This Row],[ANIMAIS]]</f>
        <v>#DIV/0!</v>
      </c>
      <c r="H9" s="59"/>
      <c r="I9" s="60" t="e">
        <f>Tabela3[[#This Row],[CARCAÇA TOTAL]]/Tabela3[[#This Row],[ANIMAIS]]</f>
        <v>#DIV/0!</v>
      </c>
      <c r="J9" s="67" t="e">
        <f>Tabela3[[#This Row],[CARCAÇA MÉDIA]]/Tabela3[[#This Row],[PESO MÉDIO]]</f>
        <v>#DIV/0!</v>
      </c>
      <c r="K9" s="68"/>
      <c r="L9" s="69" t="e">
        <f t="shared" si="0"/>
        <v>#DIV/0!</v>
      </c>
      <c r="M9" s="69" t="e">
        <f>Tabela3[[#This Row],[VALOR CABEÇA]]/(Tabela3[[#This Row],[CARCAÇA MÉDIA]]/15)</f>
        <v>#DIV/0!</v>
      </c>
      <c r="N9" s="24"/>
      <c r="O9" s="24"/>
      <c r="P9" s="24"/>
      <c r="Q9" s="24"/>
      <c r="R9" s="73"/>
      <c r="S9" s="24"/>
      <c r="T9" s="24"/>
      <c r="U9" s="24"/>
      <c r="V9" s="74"/>
    </row>
    <row r="10" spans="2:29">
      <c r="B10" s="58"/>
      <c r="C10" s="59"/>
      <c r="D10" s="59"/>
      <c r="E10" s="59"/>
      <c r="F10" s="59"/>
      <c r="G10" s="60" t="e">
        <f>Tabela3[[#This Row],[PESO TOTAL]]/Tabela3[[#This Row],[ANIMAIS]]</f>
        <v>#DIV/0!</v>
      </c>
      <c r="H10" s="59"/>
      <c r="I10" s="60" t="e">
        <f>Tabela3[[#This Row],[CARCAÇA TOTAL]]/Tabela3[[#This Row],[ANIMAIS]]</f>
        <v>#DIV/0!</v>
      </c>
      <c r="J10" s="67" t="e">
        <f>Tabela3[[#This Row],[CARCAÇA MÉDIA]]/Tabela3[[#This Row],[PESO MÉDIO]]</f>
        <v>#DIV/0!</v>
      </c>
      <c r="K10" s="68"/>
      <c r="L10" s="69" t="e">
        <f t="shared" si="0"/>
        <v>#DIV/0!</v>
      </c>
      <c r="M10" s="68" t="e">
        <f>Tabela3[[#This Row],[VALOR CABEÇA]]/(Tabela3[[#This Row],[CARCAÇA MÉDIA]]/15)</f>
        <v>#DIV/0!</v>
      </c>
      <c r="N10" s="24"/>
      <c r="O10" s="24"/>
      <c r="P10" s="24"/>
      <c r="Q10" s="24"/>
      <c r="R10" s="73"/>
      <c r="S10" s="24"/>
      <c r="T10" s="24"/>
      <c r="U10" s="24"/>
      <c r="V10" s="74"/>
    </row>
    <row r="11" spans="2:29">
      <c r="B11" s="58"/>
      <c r="C11" s="59"/>
      <c r="D11" s="59"/>
      <c r="E11" s="59"/>
      <c r="F11" s="59"/>
      <c r="G11" s="60" t="e">
        <f>Tabela3[[#This Row],[PESO TOTAL]]/Tabela3[[#This Row],[ANIMAIS]]</f>
        <v>#DIV/0!</v>
      </c>
      <c r="H11" s="59"/>
      <c r="I11" s="60" t="e">
        <f>Tabela3[[#This Row],[CARCAÇA TOTAL]]/Tabela3[[#This Row],[ANIMAIS]]</f>
        <v>#DIV/0!</v>
      </c>
      <c r="J11" s="67" t="e">
        <f>Tabela3[[#This Row],[CARCAÇA MÉDIA]]/Tabela3[[#This Row],[PESO MÉDIO]]</f>
        <v>#DIV/0!</v>
      </c>
      <c r="K11" s="68"/>
      <c r="L11" s="69" t="e">
        <f t="shared" si="0"/>
        <v>#DIV/0!</v>
      </c>
      <c r="M11" s="69" t="e">
        <f>Tabela3[[#This Row],[VALOR CABEÇA]]/(Tabela3[[#This Row],[CARCAÇA MÉDIA]]/15)</f>
        <v>#DIV/0!</v>
      </c>
      <c r="N11" s="24"/>
      <c r="O11" s="24"/>
      <c r="P11" s="24"/>
      <c r="Q11" s="24"/>
      <c r="R11" s="73"/>
      <c r="S11" s="24"/>
      <c r="T11" s="24"/>
      <c r="U11" s="24"/>
      <c r="V11" s="74"/>
    </row>
    <row r="12" spans="2:29">
      <c r="B12" s="58"/>
      <c r="C12" s="59"/>
      <c r="D12" s="59"/>
      <c r="E12" s="59"/>
      <c r="F12" s="59"/>
      <c r="G12" s="60" t="e">
        <f>Tabela3[[#This Row],[PESO TOTAL]]/Tabela3[[#This Row],[ANIMAIS]]</f>
        <v>#DIV/0!</v>
      </c>
      <c r="H12" s="59"/>
      <c r="I12" s="60" t="e">
        <f>Tabela3[[#This Row],[CARCAÇA TOTAL]]/Tabela3[[#This Row],[ANIMAIS]]</f>
        <v>#DIV/0!</v>
      </c>
      <c r="J12" s="67" t="e">
        <f>Tabela3[[#This Row],[CARCAÇA MÉDIA]]/Tabela3[[#This Row],[PESO MÉDIO]]</f>
        <v>#DIV/0!</v>
      </c>
      <c r="K12" s="68"/>
      <c r="L12" s="69" t="e">
        <f t="shared" si="0"/>
        <v>#DIV/0!</v>
      </c>
      <c r="M12" s="69" t="e">
        <f>Tabela3[[#This Row],[VALOR CABEÇA]]/(Tabela3[[#This Row],[CARCAÇA MÉDIA]]/15)</f>
        <v>#DIV/0!</v>
      </c>
      <c r="N12" s="24"/>
      <c r="O12" s="24"/>
      <c r="P12" s="24"/>
      <c r="Q12" s="24"/>
      <c r="R12" s="73"/>
      <c r="S12" s="24"/>
      <c r="T12" s="24"/>
      <c r="U12" s="24"/>
      <c r="V12" s="74"/>
    </row>
    <row r="13" spans="2:29">
      <c r="B13" s="58"/>
      <c r="C13" s="59"/>
      <c r="D13" s="59"/>
      <c r="E13" s="59"/>
      <c r="F13" s="59"/>
      <c r="G13" s="60" t="e">
        <f>Tabela3[[#This Row],[PESO TOTAL]]/Tabela3[[#This Row],[ANIMAIS]]</f>
        <v>#DIV/0!</v>
      </c>
      <c r="H13" s="59"/>
      <c r="I13" s="60" t="e">
        <f>Tabela3[[#This Row],[CARCAÇA TOTAL]]/Tabela3[[#This Row],[ANIMAIS]]</f>
        <v>#DIV/0!</v>
      </c>
      <c r="J13" s="67" t="e">
        <f>Tabela3[[#This Row],[CARCAÇA MÉDIA]]/Tabela3[[#This Row],[PESO MÉDIO]]</f>
        <v>#DIV/0!</v>
      </c>
      <c r="K13" s="68"/>
      <c r="L13" s="69" t="e">
        <f t="shared" si="0"/>
        <v>#DIV/0!</v>
      </c>
      <c r="M13" s="69" t="e">
        <f>Tabela3[[#This Row],[VALOR CABEÇA]]/(Tabela3[[#This Row],[CARCAÇA MÉDIA]]/15)</f>
        <v>#DIV/0!</v>
      </c>
      <c r="N13" s="24"/>
      <c r="O13" s="24"/>
      <c r="P13" s="24"/>
      <c r="Q13" s="24"/>
      <c r="R13" s="73"/>
      <c r="S13" s="24"/>
      <c r="T13" s="24"/>
      <c r="U13" s="24"/>
      <c r="V13" s="74"/>
    </row>
    <row r="14" spans="2:29">
      <c r="B14" s="58"/>
      <c r="C14" s="59"/>
      <c r="D14" s="59"/>
      <c r="E14" s="59"/>
      <c r="F14" s="59"/>
      <c r="G14" s="60" t="e">
        <f>Tabela3[[#This Row],[PESO TOTAL]]/Tabela3[[#This Row],[ANIMAIS]]</f>
        <v>#DIV/0!</v>
      </c>
      <c r="H14" s="59"/>
      <c r="I14" s="60" t="e">
        <f>Tabela3[[#This Row],[CARCAÇA TOTAL]]/Tabela3[[#This Row],[ANIMAIS]]</f>
        <v>#DIV/0!</v>
      </c>
      <c r="J14" s="67" t="e">
        <f>Tabela3[[#This Row],[CARCAÇA MÉDIA]]/Tabela3[[#This Row],[PESO MÉDIO]]</f>
        <v>#DIV/0!</v>
      </c>
      <c r="K14" s="68"/>
      <c r="L14" s="69" t="e">
        <f t="shared" si="0"/>
        <v>#DIV/0!</v>
      </c>
      <c r="M14" s="69" t="e">
        <f>Tabela3[[#This Row],[VALOR CABEÇA]]/(Tabela3[[#This Row],[CARCAÇA MÉDIA]]/15)</f>
        <v>#DIV/0!</v>
      </c>
      <c r="N14" s="24"/>
      <c r="O14" s="24"/>
      <c r="P14" s="24"/>
      <c r="Q14" s="24"/>
      <c r="R14" s="73"/>
      <c r="S14" s="24"/>
      <c r="T14" s="24"/>
      <c r="U14" s="24"/>
      <c r="V14" s="74"/>
    </row>
    <row r="15" spans="2:29">
      <c r="B15" s="58"/>
      <c r="C15" s="59"/>
      <c r="D15" s="59"/>
      <c r="E15" s="59"/>
      <c r="F15" s="59"/>
      <c r="G15" s="60" t="e">
        <f>Tabela3[[#This Row],[PESO TOTAL]]/Tabela3[[#This Row],[ANIMAIS]]</f>
        <v>#DIV/0!</v>
      </c>
      <c r="H15" s="59"/>
      <c r="I15" s="60" t="e">
        <f>Tabela3[[#This Row],[CARCAÇA TOTAL]]/Tabela3[[#This Row],[ANIMAIS]]</f>
        <v>#DIV/0!</v>
      </c>
      <c r="J15" s="67" t="e">
        <f>Tabela3[[#This Row],[CARCAÇA MÉDIA]]/Tabela3[[#This Row],[PESO MÉDIO]]</f>
        <v>#DIV/0!</v>
      </c>
      <c r="K15" s="68"/>
      <c r="L15" s="69" t="e">
        <f t="shared" si="0"/>
        <v>#DIV/0!</v>
      </c>
      <c r="M15" s="69" t="e">
        <f>Tabela3[[#This Row],[VALOR CABEÇA]]/(Tabela3[[#This Row],[CARCAÇA MÉDIA]]/15)</f>
        <v>#DIV/0!</v>
      </c>
      <c r="N15" s="24"/>
      <c r="O15" s="24"/>
      <c r="P15" s="24"/>
      <c r="Q15" s="24"/>
      <c r="R15" s="73"/>
      <c r="S15" s="24"/>
      <c r="T15" s="24"/>
      <c r="U15" s="24"/>
      <c r="V15" s="74"/>
    </row>
    <row r="16" spans="2:29">
      <c r="B16" s="58"/>
      <c r="C16" s="59"/>
      <c r="D16" s="59"/>
      <c r="E16" s="59"/>
      <c r="F16" s="59"/>
      <c r="G16" s="60" t="e">
        <f>Tabela3[[#This Row],[PESO TOTAL]]/Tabela3[[#This Row],[ANIMAIS]]</f>
        <v>#DIV/0!</v>
      </c>
      <c r="H16" s="59"/>
      <c r="I16" s="60" t="e">
        <f>Tabela3[[#This Row],[CARCAÇA TOTAL]]/Tabela3[[#This Row],[ANIMAIS]]</f>
        <v>#DIV/0!</v>
      </c>
      <c r="J16" s="67" t="e">
        <f>Tabela3[[#This Row],[CARCAÇA MÉDIA]]/Tabela3[[#This Row],[PESO MÉDIO]]</f>
        <v>#DIV/0!</v>
      </c>
      <c r="K16" s="68"/>
      <c r="L16" s="69" t="e">
        <f t="shared" si="0"/>
        <v>#DIV/0!</v>
      </c>
      <c r="M16" s="69" t="e">
        <f>Tabela3[[#This Row],[VALOR CABEÇA]]/(Tabela3[[#This Row],[CARCAÇA MÉDIA]]/15)</f>
        <v>#DIV/0!</v>
      </c>
      <c r="N16" s="24"/>
      <c r="O16" s="24"/>
      <c r="P16" s="24"/>
      <c r="Q16" s="24"/>
      <c r="R16" s="73"/>
      <c r="S16" s="24"/>
      <c r="T16" s="24"/>
      <c r="U16" s="24"/>
      <c r="V16" s="74"/>
    </row>
    <row r="17" spans="2:22">
      <c r="B17" s="58"/>
      <c r="C17" s="59"/>
      <c r="D17" s="59"/>
      <c r="E17" s="59"/>
      <c r="F17" s="59"/>
      <c r="G17" s="60" t="e">
        <f>Tabela3[[#This Row],[PESO TOTAL]]/Tabela3[[#This Row],[ANIMAIS]]</f>
        <v>#DIV/0!</v>
      </c>
      <c r="H17" s="59"/>
      <c r="I17" s="60" t="e">
        <f>Tabela3[[#This Row],[CARCAÇA TOTAL]]/Tabela3[[#This Row],[ANIMAIS]]</f>
        <v>#DIV/0!</v>
      </c>
      <c r="J17" s="67" t="e">
        <f>Tabela3[[#This Row],[CARCAÇA MÉDIA]]/Tabela3[[#This Row],[PESO MÉDIO]]</f>
        <v>#DIV/0!</v>
      </c>
      <c r="K17" s="68"/>
      <c r="L17" s="69" t="e">
        <f t="shared" si="0"/>
        <v>#DIV/0!</v>
      </c>
      <c r="M17" s="69" t="e">
        <f>Tabela3[[#This Row],[VALOR CABEÇA]]/(Tabela3[[#This Row],[CARCAÇA MÉDIA]]/15)</f>
        <v>#DIV/0!</v>
      </c>
      <c r="N17" s="24"/>
      <c r="O17" s="24"/>
      <c r="P17" s="24"/>
      <c r="Q17" s="24"/>
      <c r="R17" s="73"/>
      <c r="S17" s="24"/>
      <c r="T17" s="24"/>
      <c r="U17" s="24"/>
      <c r="V17" s="74"/>
    </row>
    <row r="18" spans="2:22">
      <c r="B18" s="58"/>
      <c r="C18" s="59"/>
      <c r="D18" s="59"/>
      <c r="E18" s="59"/>
      <c r="F18" s="59"/>
      <c r="G18" s="60" t="e">
        <f>Tabela3[[#This Row],[PESO TOTAL]]/Tabela3[[#This Row],[ANIMAIS]]</f>
        <v>#DIV/0!</v>
      </c>
      <c r="H18" s="59"/>
      <c r="I18" s="60" t="e">
        <f>Tabela3[[#This Row],[CARCAÇA TOTAL]]/Tabela3[[#This Row],[ANIMAIS]]</f>
        <v>#DIV/0!</v>
      </c>
      <c r="J18" s="67" t="e">
        <f>Tabela3[[#This Row],[CARCAÇA MÉDIA]]/Tabela3[[#This Row],[PESO MÉDIO]]</f>
        <v>#DIV/0!</v>
      </c>
      <c r="K18" s="68"/>
      <c r="L18" s="69" t="e">
        <f t="shared" si="0"/>
        <v>#DIV/0!</v>
      </c>
      <c r="M18" s="69" t="e">
        <f>Tabela3[[#This Row],[VALOR CABEÇA]]/(Tabela3[[#This Row],[CARCAÇA MÉDIA]]/15)</f>
        <v>#DIV/0!</v>
      </c>
      <c r="N18" s="24"/>
      <c r="O18" s="24"/>
      <c r="P18" s="24"/>
      <c r="Q18" s="24"/>
      <c r="R18" s="73"/>
      <c r="S18" s="24"/>
      <c r="T18" s="24"/>
      <c r="U18" s="24"/>
      <c r="V18" s="74"/>
    </row>
    <row r="19" spans="2:22">
      <c r="B19" s="58"/>
      <c r="C19" s="59"/>
      <c r="D19" s="59"/>
      <c r="E19" s="59"/>
      <c r="F19" s="59"/>
      <c r="G19" s="60" t="e">
        <f>Tabela3[[#This Row],[PESO TOTAL]]/Tabela3[[#This Row],[ANIMAIS]]</f>
        <v>#DIV/0!</v>
      </c>
      <c r="H19" s="59"/>
      <c r="I19" s="60" t="e">
        <f>Tabela3[[#This Row],[CARCAÇA TOTAL]]/Tabela3[[#This Row],[ANIMAIS]]</f>
        <v>#DIV/0!</v>
      </c>
      <c r="J19" s="67" t="e">
        <f>Tabela3[[#This Row],[CARCAÇA MÉDIA]]/Tabela3[[#This Row],[PESO MÉDIO]]</f>
        <v>#DIV/0!</v>
      </c>
      <c r="K19" s="68"/>
      <c r="L19" s="69" t="e">
        <f t="shared" si="0"/>
        <v>#DIV/0!</v>
      </c>
      <c r="M19" s="69" t="e">
        <f>Tabela3[[#This Row],[VALOR CABEÇA]]/(Tabela3[[#This Row],[CARCAÇA MÉDIA]]/15)</f>
        <v>#DIV/0!</v>
      </c>
      <c r="N19" s="24"/>
      <c r="O19" s="24"/>
      <c r="P19" s="24"/>
      <c r="Q19" s="24"/>
      <c r="R19" s="73"/>
      <c r="S19" s="24"/>
      <c r="T19" s="24"/>
      <c r="U19" s="24"/>
      <c r="V19" s="74"/>
    </row>
    <row r="20" spans="2:22">
      <c r="B20" s="58"/>
      <c r="C20" s="59"/>
      <c r="D20" s="59"/>
      <c r="E20" s="59"/>
      <c r="F20" s="59"/>
      <c r="G20" s="60" t="e">
        <f>Tabela3[[#This Row],[PESO TOTAL]]/Tabela3[[#This Row],[ANIMAIS]]</f>
        <v>#DIV/0!</v>
      </c>
      <c r="H20" s="59"/>
      <c r="I20" s="60" t="e">
        <f>Tabela3[[#This Row],[CARCAÇA TOTAL]]/Tabela3[[#This Row],[ANIMAIS]]</f>
        <v>#DIV/0!</v>
      </c>
      <c r="J20" s="67" t="e">
        <f>Tabela3[[#This Row],[CARCAÇA MÉDIA]]/Tabela3[[#This Row],[PESO MÉDIO]]</f>
        <v>#DIV/0!</v>
      </c>
      <c r="K20" s="68"/>
      <c r="L20" s="69" t="e">
        <f t="shared" si="0"/>
        <v>#DIV/0!</v>
      </c>
      <c r="M20" s="69" t="e">
        <f>Tabela3[[#This Row],[VALOR CABEÇA]]/(Tabela3[[#This Row],[CARCAÇA MÉDIA]]/15)</f>
        <v>#DIV/0!</v>
      </c>
      <c r="N20" s="24"/>
      <c r="O20" s="24"/>
      <c r="P20" s="24"/>
      <c r="Q20" s="24"/>
      <c r="R20" s="73"/>
      <c r="S20" s="24"/>
      <c r="T20" s="24"/>
      <c r="U20" s="24"/>
      <c r="V20" s="74"/>
    </row>
    <row r="21" spans="2:22">
      <c r="B21" s="58"/>
      <c r="C21" s="59"/>
      <c r="D21" s="59"/>
      <c r="E21" s="59"/>
      <c r="F21" s="59"/>
      <c r="G21" s="60" t="e">
        <f>Tabela3[[#This Row],[PESO TOTAL]]/Tabela3[[#This Row],[ANIMAIS]]</f>
        <v>#DIV/0!</v>
      </c>
      <c r="H21" s="59"/>
      <c r="I21" s="60" t="e">
        <f>Tabela3[[#This Row],[CARCAÇA TOTAL]]/Tabela3[[#This Row],[ANIMAIS]]</f>
        <v>#DIV/0!</v>
      </c>
      <c r="J21" s="67" t="e">
        <f>Tabela3[[#This Row],[CARCAÇA MÉDIA]]/Tabela3[[#This Row],[PESO MÉDIO]]</f>
        <v>#DIV/0!</v>
      </c>
      <c r="K21" s="68"/>
      <c r="L21" s="69" t="e">
        <f t="shared" si="0"/>
        <v>#DIV/0!</v>
      </c>
      <c r="M21" s="69" t="e">
        <f>Tabela3[[#This Row],[VALOR CABEÇA]]/(Tabela3[[#This Row],[CARCAÇA MÉDIA]]/15)</f>
        <v>#DIV/0!</v>
      </c>
      <c r="N21" s="24"/>
      <c r="O21" s="24"/>
      <c r="P21" s="24"/>
      <c r="Q21" s="24"/>
      <c r="R21" s="73"/>
      <c r="S21" s="24"/>
      <c r="T21" s="24"/>
      <c r="U21" s="24"/>
      <c r="V21" s="74"/>
    </row>
    <row r="22" spans="2:22">
      <c r="B22" s="58"/>
      <c r="C22" s="59"/>
      <c r="D22" s="59"/>
      <c r="E22" s="59"/>
      <c r="F22" s="59"/>
      <c r="G22" s="60" t="e">
        <f>Tabela3[[#This Row],[PESO TOTAL]]/Tabela3[[#This Row],[ANIMAIS]]</f>
        <v>#DIV/0!</v>
      </c>
      <c r="H22" s="59"/>
      <c r="I22" s="60" t="e">
        <f>Tabela3[[#This Row],[CARCAÇA TOTAL]]/Tabela3[[#This Row],[ANIMAIS]]</f>
        <v>#DIV/0!</v>
      </c>
      <c r="J22" s="67" t="e">
        <f>Tabela3[[#This Row],[CARCAÇA MÉDIA]]/Tabela3[[#This Row],[PESO MÉDIO]]</f>
        <v>#DIV/0!</v>
      </c>
      <c r="K22" s="68"/>
      <c r="L22" s="69" t="e">
        <f t="shared" si="0"/>
        <v>#DIV/0!</v>
      </c>
      <c r="M22" s="69" t="e">
        <f>Tabela3[[#This Row],[VALOR CABEÇA]]/(Tabela3[[#This Row],[CARCAÇA MÉDIA]]/15)</f>
        <v>#DIV/0!</v>
      </c>
      <c r="N22" s="24"/>
      <c r="O22" s="24"/>
      <c r="P22" s="24"/>
      <c r="Q22" s="24"/>
      <c r="R22" s="73"/>
      <c r="S22" s="24"/>
      <c r="T22" s="24"/>
      <c r="U22" s="24"/>
      <c r="V22" s="74"/>
    </row>
    <row r="23" spans="2:22">
      <c r="B23" s="58"/>
      <c r="C23" s="59"/>
      <c r="D23" s="59"/>
      <c r="E23" s="59"/>
      <c r="F23" s="59"/>
      <c r="G23" s="60" t="e">
        <f>Tabela3[[#This Row],[PESO TOTAL]]/Tabela3[[#This Row],[ANIMAIS]]</f>
        <v>#DIV/0!</v>
      </c>
      <c r="H23" s="59"/>
      <c r="I23" s="60" t="e">
        <f>Tabela3[[#This Row],[CARCAÇA TOTAL]]/Tabela3[[#This Row],[ANIMAIS]]</f>
        <v>#DIV/0!</v>
      </c>
      <c r="J23" s="67" t="e">
        <f>Tabela3[[#This Row],[CARCAÇA MÉDIA]]/Tabela3[[#This Row],[PESO MÉDIO]]</f>
        <v>#DIV/0!</v>
      </c>
      <c r="K23" s="68"/>
      <c r="L23" s="69" t="e">
        <f t="shared" si="0"/>
        <v>#DIV/0!</v>
      </c>
      <c r="M23" s="69" t="e">
        <f>Tabela3[[#This Row],[VALOR CABEÇA]]/(Tabela3[[#This Row],[CARCAÇA MÉDIA]]/15)</f>
        <v>#DIV/0!</v>
      </c>
      <c r="N23" s="24"/>
      <c r="O23" s="24"/>
      <c r="P23" s="24"/>
      <c r="Q23" s="24"/>
      <c r="R23" s="73"/>
      <c r="S23" s="24"/>
      <c r="T23" s="24"/>
      <c r="U23" s="24"/>
      <c r="V23" s="74"/>
    </row>
    <row r="24" spans="2:22">
      <c r="B24" s="58"/>
      <c r="C24" s="59"/>
      <c r="D24" s="59"/>
      <c r="E24" s="59"/>
      <c r="F24" s="59"/>
      <c r="G24" s="60" t="e">
        <f>Tabela3[[#This Row],[PESO TOTAL]]/Tabela3[[#This Row],[ANIMAIS]]</f>
        <v>#DIV/0!</v>
      </c>
      <c r="H24" s="59"/>
      <c r="I24" s="60" t="e">
        <f>Tabela3[[#This Row],[CARCAÇA TOTAL]]/Tabela3[[#This Row],[ANIMAIS]]</f>
        <v>#DIV/0!</v>
      </c>
      <c r="J24" s="67" t="e">
        <f>Tabela3[[#This Row],[CARCAÇA MÉDIA]]/Tabela3[[#This Row],[PESO MÉDIO]]</f>
        <v>#DIV/0!</v>
      </c>
      <c r="K24" s="68"/>
      <c r="L24" s="69" t="e">
        <f t="shared" si="0"/>
        <v>#DIV/0!</v>
      </c>
      <c r="M24" s="69" t="e">
        <f>Tabela3[[#This Row],[VALOR CABEÇA]]/(Tabela3[[#This Row],[CARCAÇA MÉDIA]]/15)</f>
        <v>#DIV/0!</v>
      </c>
      <c r="N24" s="24"/>
      <c r="O24" s="24"/>
      <c r="P24" s="24"/>
      <c r="Q24" s="24"/>
      <c r="R24" s="73"/>
      <c r="S24" s="24"/>
      <c r="T24" s="24"/>
      <c r="U24" s="24"/>
      <c r="V24" s="74"/>
    </row>
    <row r="25" spans="2:22">
      <c r="B25" s="58"/>
      <c r="C25" s="59"/>
      <c r="D25" s="59"/>
      <c r="E25" s="59"/>
      <c r="F25" s="59"/>
      <c r="G25" s="60" t="e">
        <f>Tabela3[[#This Row],[PESO TOTAL]]/Tabela3[[#This Row],[ANIMAIS]]</f>
        <v>#DIV/0!</v>
      </c>
      <c r="H25" s="59"/>
      <c r="I25" s="60" t="e">
        <f>Tabela3[[#This Row],[CARCAÇA TOTAL]]/Tabela3[[#This Row],[ANIMAIS]]</f>
        <v>#DIV/0!</v>
      </c>
      <c r="J25" s="67" t="e">
        <f>Tabela3[[#This Row],[CARCAÇA MÉDIA]]/Tabela3[[#This Row],[PESO MÉDIO]]</f>
        <v>#DIV/0!</v>
      </c>
      <c r="K25" s="68"/>
      <c r="L25" s="69" t="e">
        <f t="shared" si="0"/>
        <v>#DIV/0!</v>
      </c>
      <c r="M25" s="69" t="e">
        <f>Tabela3[[#This Row],[VALOR CABEÇA]]/(Tabela3[[#This Row],[CARCAÇA MÉDIA]]/15)</f>
        <v>#DIV/0!</v>
      </c>
      <c r="N25" s="24"/>
      <c r="O25" s="24"/>
      <c r="P25" s="24"/>
      <c r="Q25" s="24"/>
      <c r="R25" s="73"/>
      <c r="S25" s="24"/>
      <c r="T25" s="24"/>
      <c r="U25" s="24"/>
      <c r="V25" s="74"/>
    </row>
    <row r="26" spans="2:22" ht="15" customHeight="1">
      <c r="B26" s="58"/>
      <c r="C26" s="59"/>
      <c r="D26" s="59"/>
      <c r="E26" s="59"/>
      <c r="F26" s="59"/>
      <c r="G26" s="60" t="e">
        <f>Tabela3[[#This Row],[PESO TOTAL]]/Tabela3[[#This Row],[ANIMAIS]]</f>
        <v>#DIV/0!</v>
      </c>
      <c r="H26" s="59"/>
      <c r="I26" s="60" t="e">
        <f>Tabela3[[#This Row],[CARCAÇA TOTAL]]/Tabela3[[#This Row],[ANIMAIS]]</f>
        <v>#DIV/0!</v>
      </c>
      <c r="J26" s="67" t="e">
        <f>Tabela3[[#This Row],[CARCAÇA MÉDIA]]/Tabela3[[#This Row],[PESO MÉDIO]]</f>
        <v>#DIV/0!</v>
      </c>
      <c r="K26" s="68"/>
      <c r="L26" s="69" t="e">
        <f t="shared" si="0"/>
        <v>#DIV/0!</v>
      </c>
      <c r="M26" s="69" t="e">
        <f>Tabela3[[#This Row],[VALOR CABEÇA]]/(Tabela3[[#This Row],[CARCAÇA MÉDIA]]/15)</f>
        <v>#DIV/0!</v>
      </c>
      <c r="N26" s="24"/>
      <c r="O26" s="24"/>
      <c r="P26" s="24"/>
      <c r="Q26" s="24"/>
      <c r="R26" s="73"/>
      <c r="S26" s="24"/>
      <c r="T26" s="24"/>
      <c r="U26" s="24"/>
      <c r="V26" s="74"/>
    </row>
    <row r="27" spans="2:22" ht="13.5" customHeight="1">
      <c r="B27" s="58"/>
      <c r="C27" s="59"/>
      <c r="D27" s="59"/>
      <c r="E27" s="59"/>
      <c r="F27" s="59"/>
      <c r="G27" s="60" t="e">
        <f>Tabela3[[#This Row],[PESO TOTAL]]/Tabela3[[#This Row],[ANIMAIS]]</f>
        <v>#DIV/0!</v>
      </c>
      <c r="H27" s="59"/>
      <c r="I27" s="60" t="e">
        <f>Tabela3[[#This Row],[CARCAÇA TOTAL]]/Tabela3[[#This Row],[ANIMAIS]]</f>
        <v>#DIV/0!</v>
      </c>
      <c r="J27" s="67" t="e">
        <f>Tabela3[[#This Row],[CARCAÇA MÉDIA]]/Tabela3[[#This Row],[PESO MÉDIO]]</f>
        <v>#DIV/0!</v>
      </c>
      <c r="K27" s="68"/>
      <c r="L27" s="69" t="e">
        <f t="shared" si="0"/>
        <v>#DIV/0!</v>
      </c>
      <c r="M27" s="69" t="e">
        <f>Tabela3[[#This Row],[VALOR CABEÇA]]/(Tabela3[[#This Row],[CARCAÇA MÉDIA]]/15)</f>
        <v>#DIV/0!</v>
      </c>
      <c r="N27" s="24"/>
      <c r="O27" s="24"/>
      <c r="P27" s="24"/>
      <c r="Q27" s="24"/>
      <c r="R27" s="73"/>
      <c r="S27" s="24"/>
      <c r="T27" s="24"/>
      <c r="U27" s="24"/>
      <c r="V27" s="74"/>
    </row>
    <row r="28" spans="2:22" ht="15" customHeight="1">
      <c r="B28" s="58"/>
      <c r="C28" s="59"/>
      <c r="D28" s="59"/>
      <c r="E28" s="59"/>
      <c r="F28" s="59"/>
      <c r="G28" s="60" t="e">
        <f>Tabela3[[#This Row],[PESO TOTAL]]/Tabela3[[#This Row],[ANIMAIS]]</f>
        <v>#DIV/0!</v>
      </c>
      <c r="H28" s="59"/>
      <c r="I28" s="60" t="e">
        <f>Tabela3[[#This Row],[CARCAÇA TOTAL]]/Tabela3[[#This Row],[ANIMAIS]]</f>
        <v>#DIV/0!</v>
      </c>
      <c r="J28" s="67" t="e">
        <f>Tabela3[[#This Row],[CARCAÇA MÉDIA]]/Tabela3[[#This Row],[PESO MÉDIO]]</f>
        <v>#DIV/0!</v>
      </c>
      <c r="K28" s="68"/>
      <c r="L28" s="69" t="e">
        <f t="shared" si="0"/>
        <v>#DIV/0!</v>
      </c>
      <c r="M28" s="69" t="e">
        <f>Tabela3[[#This Row],[VALOR CABEÇA]]/(Tabela3[[#This Row],[CARCAÇA MÉDIA]]/15)</f>
        <v>#DIV/0!</v>
      </c>
      <c r="N28" s="24"/>
      <c r="O28" s="24"/>
      <c r="P28" s="24"/>
      <c r="Q28" s="24"/>
      <c r="R28" s="73"/>
      <c r="S28" s="24"/>
      <c r="T28" s="24"/>
      <c r="U28" s="24"/>
      <c r="V28" s="74"/>
    </row>
    <row r="29" spans="2:22" ht="15" customHeight="1">
      <c r="B29" s="58"/>
      <c r="C29" s="59"/>
      <c r="D29" s="59"/>
      <c r="E29" s="59"/>
      <c r="F29" s="59"/>
      <c r="G29" s="60" t="e">
        <f>Tabela3[[#This Row],[PESO TOTAL]]/Tabela3[[#This Row],[ANIMAIS]]</f>
        <v>#DIV/0!</v>
      </c>
      <c r="H29" s="59"/>
      <c r="I29" s="60" t="e">
        <f>Tabela3[[#This Row],[CARCAÇA TOTAL]]/Tabela3[[#This Row],[ANIMAIS]]</f>
        <v>#DIV/0!</v>
      </c>
      <c r="J29" s="67" t="e">
        <f>Tabela3[[#This Row],[CARCAÇA MÉDIA]]/Tabela3[[#This Row],[PESO MÉDIO]]</f>
        <v>#DIV/0!</v>
      </c>
      <c r="K29" s="68"/>
      <c r="L29" s="69" t="e">
        <f t="shared" si="0"/>
        <v>#DIV/0!</v>
      </c>
      <c r="M29" s="69" t="e">
        <f>Tabela3[[#This Row],[VALOR CABEÇA]]/(Tabela3[[#This Row],[CARCAÇA MÉDIA]]/15)</f>
        <v>#DIV/0!</v>
      </c>
      <c r="N29" s="24"/>
      <c r="O29" s="24"/>
      <c r="P29" s="24"/>
      <c r="Q29" s="24"/>
      <c r="R29" s="73"/>
      <c r="S29" s="24"/>
      <c r="T29" s="24"/>
      <c r="U29" s="24"/>
      <c r="V29" s="74"/>
    </row>
    <row r="30" spans="2:22" ht="15" customHeight="1">
      <c r="B30" s="58"/>
      <c r="C30" s="59"/>
      <c r="D30" s="59"/>
      <c r="E30" s="59"/>
      <c r="F30" s="59"/>
      <c r="G30" s="60" t="e">
        <f>Tabela3[[#This Row],[PESO TOTAL]]/Tabela3[[#This Row],[ANIMAIS]]</f>
        <v>#DIV/0!</v>
      </c>
      <c r="H30" s="59"/>
      <c r="I30" s="60" t="e">
        <f>Tabela3[[#This Row],[CARCAÇA TOTAL]]/Tabela3[[#This Row],[ANIMAIS]]</f>
        <v>#DIV/0!</v>
      </c>
      <c r="J30" s="67" t="e">
        <f>Tabela3[[#This Row],[CARCAÇA MÉDIA]]/Tabela3[[#This Row],[PESO MÉDIO]]</f>
        <v>#DIV/0!</v>
      </c>
      <c r="K30" s="68"/>
      <c r="L30" s="69" t="e">
        <f t="shared" si="0"/>
        <v>#DIV/0!</v>
      </c>
      <c r="M30" s="69" t="e">
        <f>Tabela3[[#This Row],[VALOR CABEÇA]]/(Tabela3[[#This Row],[CARCAÇA MÉDIA]]/15)</f>
        <v>#DIV/0!</v>
      </c>
      <c r="N30" s="24"/>
      <c r="O30" s="24"/>
      <c r="P30" s="24"/>
      <c r="Q30" s="24"/>
      <c r="R30" s="73"/>
      <c r="S30" s="24"/>
      <c r="T30" s="24"/>
      <c r="U30" s="24"/>
      <c r="V30" s="74"/>
    </row>
    <row r="31" spans="2:22" ht="15" customHeight="1">
      <c r="B31" s="58"/>
      <c r="C31" s="59"/>
      <c r="D31" s="59"/>
      <c r="E31" s="59"/>
      <c r="F31" s="59"/>
      <c r="G31" s="60" t="e">
        <f>Tabela3[[#This Row],[PESO TOTAL]]/Tabela3[[#This Row],[ANIMAIS]]</f>
        <v>#DIV/0!</v>
      </c>
      <c r="H31" s="59"/>
      <c r="I31" s="60" t="e">
        <f>Tabela3[[#This Row],[CARCAÇA TOTAL]]/Tabela3[[#This Row],[ANIMAIS]]</f>
        <v>#DIV/0!</v>
      </c>
      <c r="J31" s="67" t="e">
        <f>Tabela3[[#This Row],[CARCAÇA MÉDIA]]/Tabela3[[#This Row],[PESO MÉDIO]]</f>
        <v>#DIV/0!</v>
      </c>
      <c r="K31" s="68"/>
      <c r="L31" s="69" t="e">
        <f t="shared" si="0"/>
        <v>#DIV/0!</v>
      </c>
      <c r="M31" s="69" t="e">
        <f>Tabela3[[#This Row],[VALOR CABEÇA]]/(Tabela3[[#This Row],[CARCAÇA MÉDIA]]/15)</f>
        <v>#DIV/0!</v>
      </c>
      <c r="N31" s="24"/>
      <c r="O31" s="24"/>
      <c r="P31" s="24"/>
      <c r="Q31" s="24"/>
      <c r="R31" s="73"/>
      <c r="S31" s="24"/>
      <c r="T31" s="24"/>
      <c r="U31" s="24"/>
      <c r="V31" s="74"/>
    </row>
    <row r="32" spans="2:22" ht="15" customHeight="1">
      <c r="B32" s="58"/>
      <c r="C32" s="59"/>
      <c r="D32" s="59"/>
      <c r="E32" s="59"/>
      <c r="F32" s="59"/>
      <c r="G32" s="60" t="e">
        <f>Tabela3[[#This Row],[PESO TOTAL]]/Tabela3[[#This Row],[ANIMAIS]]</f>
        <v>#DIV/0!</v>
      </c>
      <c r="H32" s="59"/>
      <c r="I32" s="60" t="e">
        <f>Tabela3[[#This Row],[CARCAÇA TOTAL]]/Tabela3[[#This Row],[ANIMAIS]]</f>
        <v>#DIV/0!</v>
      </c>
      <c r="J32" s="67" t="e">
        <f>Tabela3[[#This Row],[CARCAÇA MÉDIA]]/Tabela3[[#This Row],[PESO MÉDIO]]</f>
        <v>#DIV/0!</v>
      </c>
      <c r="K32" s="68"/>
      <c r="L32" s="69" t="e">
        <f t="shared" si="0"/>
        <v>#DIV/0!</v>
      </c>
      <c r="M32" s="69" t="e">
        <f>Tabela3[[#This Row],[VALOR CABEÇA]]/(Tabela3[[#This Row],[CARCAÇA MÉDIA]]/15)</f>
        <v>#DIV/0!</v>
      </c>
      <c r="N32" s="24"/>
      <c r="O32" s="24"/>
      <c r="P32" s="24"/>
      <c r="Q32" s="24"/>
      <c r="R32" s="73"/>
      <c r="S32" s="24"/>
      <c r="T32" s="24"/>
      <c r="U32" s="24"/>
      <c r="V32" s="74"/>
    </row>
    <row r="33" spans="2:22" ht="15" customHeight="1">
      <c r="B33" s="58"/>
      <c r="C33" s="59"/>
      <c r="D33" s="59"/>
      <c r="E33" s="59"/>
      <c r="F33" s="59"/>
      <c r="G33" s="60" t="e">
        <f>Tabela3[[#This Row],[PESO TOTAL]]/Tabela3[[#This Row],[ANIMAIS]]</f>
        <v>#DIV/0!</v>
      </c>
      <c r="H33" s="59"/>
      <c r="I33" s="60" t="e">
        <f>Tabela3[[#This Row],[CARCAÇA TOTAL]]/Tabela3[[#This Row],[ANIMAIS]]</f>
        <v>#DIV/0!</v>
      </c>
      <c r="J33" s="67" t="e">
        <f>Tabela3[[#This Row],[CARCAÇA MÉDIA]]/Tabela3[[#This Row],[PESO MÉDIO]]</f>
        <v>#DIV/0!</v>
      </c>
      <c r="K33" s="68"/>
      <c r="L33" s="69" t="e">
        <f t="shared" si="0"/>
        <v>#DIV/0!</v>
      </c>
      <c r="M33" s="69" t="e">
        <f>Tabela3[[#This Row],[VALOR CABEÇA]]/(Tabela3[[#This Row],[CARCAÇA MÉDIA]]/15)</f>
        <v>#DIV/0!</v>
      </c>
      <c r="N33" s="24"/>
      <c r="O33" s="24"/>
      <c r="P33" s="24"/>
      <c r="Q33" s="24"/>
      <c r="R33" s="73"/>
      <c r="S33" s="24"/>
      <c r="T33" s="24"/>
      <c r="U33" s="24"/>
      <c r="V33" s="74"/>
    </row>
    <row r="34" spans="2:22" ht="15" customHeight="1">
      <c r="B34" s="58"/>
      <c r="C34" s="59"/>
      <c r="D34" s="59"/>
      <c r="E34" s="59"/>
      <c r="F34" s="59"/>
      <c r="G34" s="60" t="e">
        <f>Tabela3[[#This Row],[PESO TOTAL]]/Tabela3[[#This Row],[ANIMAIS]]</f>
        <v>#DIV/0!</v>
      </c>
      <c r="H34" s="59"/>
      <c r="I34" s="60" t="e">
        <f>Tabela3[[#This Row],[CARCAÇA TOTAL]]/Tabela3[[#This Row],[ANIMAIS]]</f>
        <v>#DIV/0!</v>
      </c>
      <c r="J34" s="67" t="e">
        <f>Tabela3[[#This Row],[CARCAÇA MÉDIA]]/Tabela3[[#This Row],[PESO MÉDIO]]</f>
        <v>#DIV/0!</v>
      </c>
      <c r="K34" s="68"/>
      <c r="L34" s="69" t="e">
        <f t="shared" si="0"/>
        <v>#DIV/0!</v>
      </c>
      <c r="M34" s="69" t="e">
        <f>Tabela3[[#This Row],[VALOR CABEÇA]]/(Tabela3[[#This Row],[CARCAÇA MÉDIA]]/15)</f>
        <v>#DIV/0!</v>
      </c>
      <c r="N34" s="24"/>
      <c r="O34" s="24"/>
      <c r="P34" s="24"/>
      <c r="Q34" s="24"/>
      <c r="R34" s="73"/>
      <c r="S34" s="24"/>
      <c r="T34" s="24"/>
      <c r="U34" s="24"/>
      <c r="V34" s="74"/>
    </row>
    <row r="35" spans="2:22" ht="15" customHeight="1">
      <c r="B35" s="58"/>
      <c r="C35" s="59"/>
      <c r="D35" s="59"/>
      <c r="E35" s="59"/>
      <c r="F35" s="59"/>
      <c r="G35" s="60" t="e">
        <f>Tabela3[[#This Row],[PESO TOTAL]]/Tabela3[[#This Row],[ANIMAIS]]</f>
        <v>#DIV/0!</v>
      </c>
      <c r="H35" s="59"/>
      <c r="I35" s="60" t="e">
        <f>Tabela3[[#This Row],[CARCAÇA TOTAL]]/Tabela3[[#This Row],[ANIMAIS]]</f>
        <v>#DIV/0!</v>
      </c>
      <c r="J35" s="67" t="e">
        <f>Tabela3[[#This Row],[CARCAÇA MÉDIA]]/Tabela3[[#This Row],[PESO MÉDIO]]</f>
        <v>#DIV/0!</v>
      </c>
      <c r="K35" s="68"/>
      <c r="L35" s="69" t="e">
        <f t="shared" si="0"/>
        <v>#DIV/0!</v>
      </c>
      <c r="M35" s="69" t="e">
        <f>Tabela3[[#This Row],[VALOR CABEÇA]]/(Tabela3[[#This Row],[CARCAÇA MÉDIA]]/15)</f>
        <v>#DIV/0!</v>
      </c>
      <c r="N35" s="24"/>
      <c r="O35" s="24"/>
      <c r="P35" s="24"/>
      <c r="Q35" s="24"/>
      <c r="R35" s="73"/>
      <c r="S35" s="24"/>
      <c r="T35" s="24"/>
      <c r="U35" s="24"/>
      <c r="V35" s="74"/>
    </row>
    <row r="36" spans="2:22" ht="15" customHeight="1">
      <c r="B36" s="58"/>
      <c r="C36" s="61"/>
      <c r="D36" s="59"/>
      <c r="E36" s="59"/>
      <c r="F36" s="59"/>
      <c r="G36" s="60" t="e">
        <f>Tabela3[[#This Row],[PESO TOTAL]]/Tabela3[[#This Row],[ANIMAIS]]</f>
        <v>#DIV/0!</v>
      </c>
      <c r="H36" s="59"/>
      <c r="I36" s="60" t="e">
        <f>Tabela3[[#This Row],[CARCAÇA TOTAL]]/Tabela3[[#This Row],[ANIMAIS]]</f>
        <v>#DIV/0!</v>
      </c>
      <c r="J36" s="67" t="e">
        <f>Tabela3[[#This Row],[CARCAÇA MÉDIA]]/Tabela3[[#This Row],[PESO MÉDIO]]</f>
        <v>#DIV/0!</v>
      </c>
      <c r="K36" s="68"/>
      <c r="L36" s="69" t="e">
        <f t="shared" si="0"/>
        <v>#DIV/0!</v>
      </c>
      <c r="M36" s="69" t="e">
        <f>Tabela3[[#This Row],[VALOR CABEÇA]]/(Tabela3[[#This Row],[CARCAÇA MÉDIA]]/15)</f>
        <v>#DIV/0!</v>
      </c>
      <c r="N36" s="24"/>
      <c r="O36" s="24"/>
      <c r="P36" s="24"/>
      <c r="Q36" s="24"/>
      <c r="R36" s="73"/>
      <c r="S36" s="24"/>
      <c r="T36" s="24"/>
      <c r="U36" s="24"/>
      <c r="V36" s="74"/>
    </row>
    <row r="37" spans="2:22" ht="15" customHeight="1">
      <c r="B37" s="58"/>
      <c r="C37" s="59"/>
      <c r="D37" s="59"/>
      <c r="E37" s="59"/>
      <c r="F37" s="59"/>
      <c r="G37" s="60" t="e">
        <f>Tabela3[[#This Row],[PESO TOTAL]]/Tabela3[[#This Row],[ANIMAIS]]</f>
        <v>#DIV/0!</v>
      </c>
      <c r="H37" s="59"/>
      <c r="I37" s="60" t="e">
        <f>Tabela3[[#This Row],[CARCAÇA TOTAL]]/Tabela3[[#This Row],[ANIMAIS]]</f>
        <v>#DIV/0!</v>
      </c>
      <c r="J37" s="67" t="e">
        <f>Tabela3[[#This Row],[CARCAÇA MÉDIA]]/Tabela3[[#This Row],[PESO MÉDIO]]</f>
        <v>#DIV/0!</v>
      </c>
      <c r="K37" s="68"/>
      <c r="L37" s="69" t="e">
        <f t="shared" si="0"/>
        <v>#DIV/0!</v>
      </c>
      <c r="M37" s="69" t="e">
        <f>Tabela3[[#This Row],[VALOR CABEÇA]]/(Tabela3[[#This Row],[CARCAÇA MÉDIA]]/15)</f>
        <v>#DIV/0!</v>
      </c>
      <c r="N37" s="24"/>
      <c r="O37" s="24"/>
      <c r="P37" s="24"/>
      <c r="Q37" s="24"/>
      <c r="R37" s="73"/>
      <c r="S37" s="24"/>
      <c r="T37" s="24"/>
      <c r="U37" s="24"/>
      <c r="V37" s="74"/>
    </row>
    <row r="38" spans="2:22" ht="15" customHeight="1">
      <c r="B38" s="58"/>
      <c r="C38" s="59"/>
      <c r="D38" s="59"/>
      <c r="E38" s="59"/>
      <c r="F38" s="59"/>
      <c r="G38" s="60" t="e">
        <f>Tabela3[[#This Row],[PESO TOTAL]]/Tabela3[[#This Row],[ANIMAIS]]</f>
        <v>#DIV/0!</v>
      </c>
      <c r="H38" s="59"/>
      <c r="I38" s="60" t="e">
        <f>Tabela3[[#This Row],[CARCAÇA TOTAL]]/Tabela3[[#This Row],[ANIMAIS]]</f>
        <v>#DIV/0!</v>
      </c>
      <c r="J38" s="67" t="e">
        <f>Tabela3[[#This Row],[CARCAÇA MÉDIA]]/Tabela3[[#This Row],[PESO MÉDIO]]</f>
        <v>#DIV/0!</v>
      </c>
      <c r="K38" s="68"/>
      <c r="L38" s="69" t="e">
        <f t="shared" si="0"/>
        <v>#DIV/0!</v>
      </c>
      <c r="M38" s="69" t="e">
        <f>Tabela3[[#This Row],[VALOR CABEÇA]]/(Tabela3[[#This Row],[CARCAÇA MÉDIA]]/15)</f>
        <v>#DIV/0!</v>
      </c>
      <c r="N38" s="24"/>
      <c r="O38" s="24"/>
      <c r="P38" s="24"/>
      <c r="Q38" s="24"/>
      <c r="R38" s="73"/>
      <c r="S38" s="24"/>
      <c r="T38" s="24"/>
      <c r="U38" s="24"/>
      <c r="V38" s="74"/>
    </row>
    <row r="39" spans="2:22" ht="15" customHeight="1">
      <c r="B39" s="58"/>
      <c r="C39" s="59"/>
      <c r="D39" s="59"/>
      <c r="E39" s="59"/>
      <c r="F39" s="59"/>
      <c r="G39" s="60" t="e">
        <f>Tabela3[[#This Row],[PESO TOTAL]]/Tabela3[[#This Row],[ANIMAIS]]</f>
        <v>#DIV/0!</v>
      </c>
      <c r="H39" s="59"/>
      <c r="I39" s="60" t="e">
        <f>Tabela3[[#This Row],[CARCAÇA TOTAL]]/Tabela3[[#This Row],[ANIMAIS]]</f>
        <v>#DIV/0!</v>
      </c>
      <c r="J39" s="67" t="e">
        <f>Tabela3[[#This Row],[CARCAÇA MÉDIA]]/Tabela3[[#This Row],[PESO MÉDIO]]</f>
        <v>#DIV/0!</v>
      </c>
      <c r="K39" s="68"/>
      <c r="L39" s="69" t="e">
        <f t="shared" si="0"/>
        <v>#DIV/0!</v>
      </c>
      <c r="M39" s="69" t="e">
        <f>Tabela3[[#This Row],[VALOR CABEÇA]]/(Tabela3[[#This Row],[CARCAÇA MÉDIA]]/15)</f>
        <v>#DIV/0!</v>
      </c>
      <c r="N39" s="24"/>
      <c r="O39" s="24"/>
      <c r="P39" s="24"/>
      <c r="Q39" s="24"/>
      <c r="R39" s="73"/>
      <c r="S39" s="24"/>
      <c r="T39" s="24"/>
      <c r="U39" s="24"/>
      <c r="V39" s="74"/>
    </row>
    <row r="40" spans="2:22" ht="15" customHeight="1">
      <c r="B40" s="58"/>
      <c r="C40" s="59"/>
      <c r="D40" s="59"/>
      <c r="E40" s="59"/>
      <c r="F40" s="59"/>
      <c r="G40" s="60" t="e">
        <f>Tabela3[[#This Row],[PESO TOTAL]]/Tabela3[[#This Row],[ANIMAIS]]</f>
        <v>#DIV/0!</v>
      </c>
      <c r="H40" s="59"/>
      <c r="I40" s="60" t="e">
        <f>Tabela3[[#This Row],[CARCAÇA TOTAL]]/Tabela3[[#This Row],[ANIMAIS]]</f>
        <v>#DIV/0!</v>
      </c>
      <c r="J40" s="67" t="e">
        <f>Tabela3[[#This Row],[CARCAÇA MÉDIA]]/Tabela3[[#This Row],[PESO MÉDIO]]</f>
        <v>#DIV/0!</v>
      </c>
      <c r="K40" s="68"/>
      <c r="L40" s="69" t="e">
        <f t="shared" si="0"/>
        <v>#DIV/0!</v>
      </c>
      <c r="M40" s="69" t="e">
        <f>Tabela3[[#This Row],[VALOR CABEÇA]]/(Tabela3[[#This Row],[CARCAÇA MÉDIA]]/15)</f>
        <v>#DIV/0!</v>
      </c>
      <c r="N40" s="24"/>
      <c r="O40" s="24"/>
      <c r="P40" s="24"/>
      <c r="Q40" s="24"/>
      <c r="R40" s="73"/>
      <c r="S40" s="24"/>
      <c r="T40" s="24"/>
      <c r="U40" s="24"/>
      <c r="V40" s="74"/>
    </row>
    <row r="41" spans="2:22" ht="15" customHeight="1">
      <c r="B41" s="58"/>
      <c r="C41" s="59"/>
      <c r="D41" s="59"/>
      <c r="E41" s="59"/>
      <c r="F41" s="59"/>
      <c r="G41" s="60" t="e">
        <f>Tabela3[[#This Row],[PESO TOTAL]]/Tabela3[[#This Row],[ANIMAIS]]</f>
        <v>#DIV/0!</v>
      </c>
      <c r="H41" s="59"/>
      <c r="I41" s="60" t="e">
        <f>Tabela3[[#This Row],[CARCAÇA TOTAL]]/Tabela3[[#This Row],[ANIMAIS]]</f>
        <v>#DIV/0!</v>
      </c>
      <c r="J41" s="67" t="e">
        <f>Tabela3[[#This Row],[CARCAÇA MÉDIA]]/Tabela3[[#This Row],[PESO MÉDIO]]</f>
        <v>#DIV/0!</v>
      </c>
      <c r="K41" s="68"/>
      <c r="L41" s="69" t="e">
        <f t="shared" si="0"/>
        <v>#DIV/0!</v>
      </c>
      <c r="M41" s="69" t="e">
        <f>Tabela3[[#This Row],[VALOR CABEÇA]]/(Tabela3[[#This Row],[CARCAÇA MÉDIA]]/15)</f>
        <v>#DIV/0!</v>
      </c>
      <c r="N41" s="24"/>
      <c r="O41" s="24"/>
      <c r="P41" s="24"/>
      <c r="Q41" s="24"/>
      <c r="R41" s="73"/>
      <c r="S41" s="24"/>
      <c r="T41" s="24"/>
      <c r="U41" s="24"/>
      <c r="V41" s="74"/>
    </row>
    <row r="42" spans="2:22" ht="15" customHeight="1">
      <c r="B42" s="58"/>
      <c r="C42" s="62"/>
      <c r="D42" s="59"/>
      <c r="E42" s="59"/>
      <c r="F42" s="59"/>
      <c r="G42" s="60" t="e">
        <f>Tabela3[[#This Row],[PESO TOTAL]]/Tabela3[[#This Row],[ANIMAIS]]</f>
        <v>#DIV/0!</v>
      </c>
      <c r="H42" s="59"/>
      <c r="I42" s="60" t="e">
        <f>Tabela3[[#This Row],[CARCAÇA TOTAL]]/Tabela3[[#This Row],[ANIMAIS]]</f>
        <v>#DIV/0!</v>
      </c>
      <c r="J42" s="67" t="e">
        <f>Tabela3[[#This Row],[CARCAÇA MÉDIA]]/Tabela3[[#This Row],[PESO MÉDIO]]</f>
        <v>#DIV/0!</v>
      </c>
      <c r="K42" s="68"/>
      <c r="L42" s="69" t="e">
        <f t="shared" si="0"/>
        <v>#DIV/0!</v>
      </c>
      <c r="M42" s="69" t="e">
        <f>Tabela3[[#This Row],[VALOR CABEÇA]]/(Tabela3[[#This Row],[CARCAÇA MÉDIA]]/15)</f>
        <v>#DIV/0!</v>
      </c>
      <c r="N42" s="24"/>
      <c r="O42" s="24"/>
      <c r="P42" s="24"/>
      <c r="Q42" s="24"/>
      <c r="R42" s="73"/>
      <c r="S42" s="24"/>
      <c r="T42" s="24"/>
      <c r="U42" s="24"/>
      <c r="V42" s="74"/>
    </row>
    <row r="43" spans="2:22" ht="15" customHeight="1">
      <c r="B43" s="58"/>
      <c r="C43" s="63"/>
      <c r="D43" s="59"/>
      <c r="E43" s="59"/>
      <c r="F43" s="59"/>
      <c r="G43" s="60" t="e">
        <f>Tabela3[[#This Row],[PESO TOTAL]]/Tabela3[[#This Row],[ANIMAIS]]</f>
        <v>#DIV/0!</v>
      </c>
      <c r="H43" s="59"/>
      <c r="I43" s="60" t="e">
        <f>Tabela3[[#This Row],[CARCAÇA TOTAL]]/Tabela3[[#This Row],[ANIMAIS]]</f>
        <v>#DIV/0!</v>
      </c>
      <c r="J43" s="67" t="e">
        <f>Tabela3[[#This Row],[CARCAÇA MÉDIA]]/Tabela3[[#This Row],[PESO MÉDIO]]</f>
        <v>#DIV/0!</v>
      </c>
      <c r="K43" s="68"/>
      <c r="L43" s="69" t="e">
        <f t="shared" si="0"/>
        <v>#DIV/0!</v>
      </c>
      <c r="M43" s="69" t="e">
        <f>Tabela3[[#This Row],[VALOR CABEÇA]]/(Tabela3[[#This Row],[CARCAÇA MÉDIA]]/15)</f>
        <v>#DIV/0!</v>
      </c>
      <c r="N43" s="24"/>
      <c r="O43" s="24"/>
      <c r="P43" s="24"/>
      <c r="Q43" s="24"/>
      <c r="R43" s="73"/>
      <c r="S43" s="24"/>
      <c r="T43" s="24"/>
      <c r="U43" s="24"/>
      <c r="V43" s="74"/>
    </row>
    <row r="44" spans="2:22" ht="15" customHeight="1">
      <c r="B44" s="58"/>
      <c r="C44" s="62"/>
      <c r="D44" s="59"/>
      <c r="E44" s="59"/>
      <c r="F44" s="59"/>
      <c r="G44" s="60" t="e">
        <f>Tabela3[[#This Row],[PESO TOTAL]]/Tabela3[[#This Row],[ANIMAIS]]</f>
        <v>#DIV/0!</v>
      </c>
      <c r="H44" s="59"/>
      <c r="I44" s="60" t="e">
        <f>Tabela3[[#This Row],[CARCAÇA TOTAL]]/Tabela3[[#This Row],[ANIMAIS]]</f>
        <v>#DIV/0!</v>
      </c>
      <c r="J44" s="67" t="e">
        <f>Tabela3[[#This Row],[CARCAÇA MÉDIA]]/Tabela3[[#This Row],[PESO MÉDIO]]</f>
        <v>#DIV/0!</v>
      </c>
      <c r="K44" s="68"/>
      <c r="L44" s="69" t="e">
        <f t="shared" si="0"/>
        <v>#DIV/0!</v>
      </c>
      <c r="M44" s="69" t="e">
        <f>Tabela3[[#This Row],[VALOR CABEÇA]]/(Tabela3[[#This Row],[CARCAÇA MÉDIA]]/15)</f>
        <v>#DIV/0!</v>
      </c>
      <c r="N44" s="24"/>
      <c r="O44" s="24"/>
      <c r="P44" s="24"/>
      <c r="Q44" s="24"/>
      <c r="R44" s="73"/>
      <c r="S44" s="24"/>
      <c r="T44" s="24"/>
      <c r="U44" s="24"/>
      <c r="V44" s="74"/>
    </row>
    <row r="45" spans="2:22" ht="15" customHeight="1">
      <c r="B45" s="58"/>
      <c r="C45" s="59"/>
      <c r="D45" s="59"/>
      <c r="E45" s="59"/>
      <c r="F45" s="59"/>
      <c r="G45" s="60" t="e">
        <f>Tabela3[[#This Row],[PESO TOTAL]]/Tabela3[[#This Row],[ANIMAIS]]</f>
        <v>#DIV/0!</v>
      </c>
      <c r="H45" s="59"/>
      <c r="I45" s="60" t="e">
        <f>Tabela3[[#This Row],[CARCAÇA TOTAL]]/Tabela3[[#This Row],[ANIMAIS]]</f>
        <v>#DIV/0!</v>
      </c>
      <c r="J45" s="67" t="e">
        <f>Tabela3[[#This Row],[CARCAÇA MÉDIA]]/Tabela3[[#This Row],[PESO MÉDIO]]</f>
        <v>#DIV/0!</v>
      </c>
      <c r="K45" s="68"/>
      <c r="L45" s="69" t="e">
        <f t="shared" si="0"/>
        <v>#DIV/0!</v>
      </c>
      <c r="M45" s="69" t="e">
        <f>Tabela3[[#This Row],[VALOR CABEÇA]]/(Tabela3[[#This Row],[CARCAÇA MÉDIA]]/15)</f>
        <v>#DIV/0!</v>
      </c>
      <c r="N45" s="24"/>
      <c r="O45" s="24"/>
      <c r="P45" s="24"/>
      <c r="Q45" s="24"/>
      <c r="R45" s="73"/>
      <c r="S45" s="24"/>
      <c r="T45" s="24"/>
      <c r="U45" s="24"/>
      <c r="V45" s="74"/>
    </row>
    <row r="46" spans="2:22" ht="15" customHeight="1">
      <c r="B46" s="58"/>
      <c r="C46" s="59"/>
      <c r="D46" s="59"/>
      <c r="E46" s="59"/>
      <c r="F46" s="59"/>
      <c r="G46" s="60" t="e">
        <f>Tabela3[[#This Row],[PESO TOTAL]]/Tabela3[[#This Row],[ANIMAIS]]</f>
        <v>#DIV/0!</v>
      </c>
      <c r="H46" s="59"/>
      <c r="I46" s="60" t="e">
        <f>Tabela3[[#This Row],[CARCAÇA TOTAL]]/Tabela3[[#This Row],[ANIMAIS]]</f>
        <v>#DIV/0!</v>
      </c>
      <c r="J46" s="67" t="e">
        <f>Tabela3[[#This Row],[CARCAÇA MÉDIA]]/Tabela3[[#This Row],[PESO MÉDIO]]</f>
        <v>#DIV/0!</v>
      </c>
      <c r="K46" s="68"/>
      <c r="L46" s="69" t="e">
        <f t="shared" si="0"/>
        <v>#DIV/0!</v>
      </c>
      <c r="M46" s="69" t="e">
        <f>Tabela3[[#This Row],[VALOR CABEÇA]]/(Tabela3[[#This Row],[CARCAÇA MÉDIA]]/15)</f>
        <v>#DIV/0!</v>
      </c>
      <c r="N46" s="24"/>
      <c r="O46" s="24"/>
      <c r="P46" s="24"/>
      <c r="Q46" s="24"/>
      <c r="R46" s="73"/>
      <c r="S46" s="24"/>
      <c r="T46" s="24"/>
      <c r="U46" s="24"/>
      <c r="V46" s="74"/>
    </row>
    <row r="47" spans="2:22" ht="15" customHeight="1">
      <c r="B47" s="58"/>
      <c r="C47" s="59"/>
      <c r="D47" s="59"/>
      <c r="E47" s="59"/>
      <c r="F47" s="59"/>
      <c r="G47" s="60" t="e">
        <f>Tabela3[[#This Row],[PESO TOTAL]]/Tabela3[[#This Row],[ANIMAIS]]</f>
        <v>#DIV/0!</v>
      </c>
      <c r="H47" s="59"/>
      <c r="I47" s="60" t="e">
        <f>Tabela3[[#This Row],[CARCAÇA TOTAL]]/Tabela3[[#This Row],[ANIMAIS]]</f>
        <v>#DIV/0!</v>
      </c>
      <c r="J47" s="67" t="e">
        <f>Tabela3[[#This Row],[CARCAÇA MÉDIA]]/Tabela3[[#This Row],[PESO MÉDIO]]</f>
        <v>#DIV/0!</v>
      </c>
      <c r="K47" s="68"/>
      <c r="L47" s="69" t="e">
        <f t="shared" si="0"/>
        <v>#DIV/0!</v>
      </c>
      <c r="M47" s="69" t="e">
        <f>Tabela3[[#This Row],[VALOR CABEÇA]]/(Tabela3[[#This Row],[CARCAÇA MÉDIA]]/15)</f>
        <v>#DIV/0!</v>
      </c>
      <c r="N47" s="24"/>
      <c r="O47" s="24"/>
      <c r="P47" s="24"/>
      <c r="Q47" s="24"/>
      <c r="R47" s="73"/>
      <c r="S47" s="24"/>
      <c r="T47" s="24"/>
      <c r="U47" s="24"/>
      <c r="V47" s="74"/>
    </row>
    <row r="48" spans="2:22" ht="15" customHeight="1">
      <c r="B48" s="58"/>
      <c r="C48" s="59"/>
      <c r="D48" s="59"/>
      <c r="E48" s="59"/>
      <c r="F48" s="59"/>
      <c r="G48" s="60" t="e">
        <f>Tabela3[[#This Row],[PESO TOTAL]]/Tabela3[[#This Row],[ANIMAIS]]</f>
        <v>#DIV/0!</v>
      </c>
      <c r="H48" s="59"/>
      <c r="I48" s="60" t="e">
        <f>Tabela3[[#This Row],[CARCAÇA TOTAL]]/Tabela3[[#This Row],[ANIMAIS]]</f>
        <v>#DIV/0!</v>
      </c>
      <c r="J48" s="67" t="e">
        <f>Tabela3[[#This Row],[CARCAÇA MÉDIA]]/Tabela3[[#This Row],[PESO MÉDIO]]</f>
        <v>#DIV/0!</v>
      </c>
      <c r="K48" s="68"/>
      <c r="L48" s="69" t="e">
        <f t="shared" si="0"/>
        <v>#DIV/0!</v>
      </c>
      <c r="M48" s="69" t="e">
        <f>Tabela3[[#This Row],[VALOR CABEÇA]]/(Tabela3[[#This Row],[CARCAÇA MÉDIA]]/15)</f>
        <v>#DIV/0!</v>
      </c>
      <c r="N48" s="24"/>
      <c r="O48" s="24"/>
      <c r="P48" s="24"/>
      <c r="Q48" s="24"/>
      <c r="R48" s="73"/>
      <c r="S48" s="24"/>
      <c r="T48" s="24"/>
      <c r="U48" s="24"/>
      <c r="V48" s="74"/>
    </row>
    <row r="49" spans="2:22" ht="15" customHeight="1">
      <c r="B49" s="58"/>
      <c r="C49" s="59"/>
      <c r="D49" s="59"/>
      <c r="E49" s="59"/>
      <c r="F49" s="60"/>
      <c r="G49" s="60" t="e">
        <f>Tabela3[[#This Row],[PESO TOTAL]]/Tabela3[[#This Row],[ANIMAIS]]</f>
        <v>#DIV/0!</v>
      </c>
      <c r="H49" s="59"/>
      <c r="I49" s="60" t="e">
        <f>Tabela3[[#This Row],[CARCAÇA TOTAL]]/Tabela3[[#This Row],[ANIMAIS]]</f>
        <v>#DIV/0!</v>
      </c>
      <c r="J49" s="67" t="e">
        <f>Tabela3[[#This Row],[CARCAÇA MÉDIA]]/Tabela3[[#This Row],[PESO MÉDIO]]</f>
        <v>#DIV/0!</v>
      </c>
      <c r="K49" s="68"/>
      <c r="L49" s="69" t="e">
        <f t="shared" si="0"/>
        <v>#DIV/0!</v>
      </c>
      <c r="M49" s="69" t="e">
        <f>Tabela3[[#This Row],[VALOR CABEÇA]]/(Tabela3[[#This Row],[CARCAÇA MÉDIA]]/15)</f>
        <v>#DIV/0!</v>
      </c>
      <c r="N49" s="24"/>
      <c r="O49" s="24"/>
      <c r="P49" s="24"/>
      <c r="Q49" s="24"/>
      <c r="R49" s="73"/>
      <c r="S49" s="24"/>
      <c r="T49" s="24"/>
      <c r="U49" s="24"/>
      <c r="V49" s="74"/>
    </row>
    <row r="50" spans="2:22" ht="15" customHeight="1">
      <c r="B50" s="58"/>
      <c r="C50" s="59"/>
      <c r="D50" s="59"/>
      <c r="E50" s="59"/>
      <c r="F50" s="59"/>
      <c r="G50" s="60" t="e">
        <f>Tabela3[[#This Row],[PESO TOTAL]]/Tabela3[[#This Row],[ANIMAIS]]</f>
        <v>#DIV/0!</v>
      </c>
      <c r="H50" s="59"/>
      <c r="I50" s="60" t="e">
        <f>Tabela3[[#This Row],[CARCAÇA TOTAL]]/Tabela3[[#This Row],[ANIMAIS]]</f>
        <v>#DIV/0!</v>
      </c>
      <c r="J50" s="67" t="e">
        <f>Tabela3[[#This Row],[CARCAÇA MÉDIA]]/Tabela3[[#This Row],[PESO MÉDIO]]</f>
        <v>#DIV/0!</v>
      </c>
      <c r="K50" s="68"/>
      <c r="L50" s="69" t="e">
        <f t="shared" si="0"/>
        <v>#DIV/0!</v>
      </c>
      <c r="M50" s="69" t="e">
        <f>Tabela3[[#This Row],[VALOR CABEÇA]]/(Tabela3[[#This Row],[CARCAÇA MÉDIA]]/15)</f>
        <v>#DIV/0!</v>
      </c>
      <c r="N50" s="24"/>
      <c r="O50" s="24"/>
      <c r="P50" s="24"/>
      <c r="Q50" s="24"/>
      <c r="R50" s="73"/>
      <c r="S50" s="24"/>
      <c r="T50" s="24"/>
      <c r="U50" s="24"/>
      <c r="V50" s="74"/>
    </row>
    <row r="51" spans="2:22" ht="15" customHeight="1">
      <c r="B51" s="58"/>
      <c r="C51" s="59"/>
      <c r="D51" s="59"/>
      <c r="E51" s="59"/>
      <c r="F51" s="59"/>
      <c r="G51" s="60" t="e">
        <f>Tabela3[[#This Row],[PESO TOTAL]]/Tabela3[[#This Row],[ANIMAIS]]</f>
        <v>#DIV/0!</v>
      </c>
      <c r="H51" s="59"/>
      <c r="I51" s="60" t="e">
        <f>Tabela3[[#This Row],[CARCAÇA TOTAL]]/Tabela3[[#This Row],[ANIMAIS]]</f>
        <v>#DIV/0!</v>
      </c>
      <c r="J51" s="67" t="e">
        <f>Tabela3[[#This Row],[CARCAÇA MÉDIA]]/Tabela3[[#This Row],[PESO MÉDIO]]</f>
        <v>#DIV/0!</v>
      </c>
      <c r="K51" s="68"/>
      <c r="L51" s="69" t="e">
        <f t="shared" si="0"/>
        <v>#DIV/0!</v>
      </c>
      <c r="M51" s="69" t="e">
        <f>Tabela3[[#This Row],[VALOR CABEÇA]]/(Tabela3[[#This Row],[CARCAÇA MÉDIA]]/15)</f>
        <v>#DIV/0!</v>
      </c>
      <c r="N51" s="24"/>
      <c r="O51" s="24"/>
      <c r="P51" s="24"/>
      <c r="Q51" s="24"/>
      <c r="R51" s="73"/>
      <c r="S51" s="24"/>
      <c r="T51" s="24"/>
      <c r="U51" s="24"/>
      <c r="V51" s="74"/>
    </row>
    <row r="52" spans="2:22" ht="15" customHeight="1">
      <c r="B52" s="58"/>
      <c r="C52" s="59"/>
      <c r="D52" s="59"/>
      <c r="E52" s="59"/>
      <c r="F52" s="59"/>
      <c r="G52" s="60" t="e">
        <f>Tabela3[[#This Row],[PESO TOTAL]]/Tabela3[[#This Row],[ANIMAIS]]</f>
        <v>#DIV/0!</v>
      </c>
      <c r="H52" s="59"/>
      <c r="I52" s="60" t="e">
        <f>Tabela3[[#This Row],[CARCAÇA TOTAL]]/Tabela3[[#This Row],[ANIMAIS]]</f>
        <v>#DIV/0!</v>
      </c>
      <c r="J52" s="67" t="e">
        <f>Tabela3[[#This Row],[CARCAÇA MÉDIA]]/Tabela3[[#This Row],[PESO MÉDIO]]</f>
        <v>#DIV/0!</v>
      </c>
      <c r="K52" s="68"/>
      <c r="L52" s="69" t="e">
        <f t="shared" si="0"/>
        <v>#DIV/0!</v>
      </c>
      <c r="M52" s="69" t="e">
        <f>Tabela3[[#This Row],[VALOR CABEÇA]]/(Tabela3[[#This Row],[CARCAÇA MÉDIA]]/15)</f>
        <v>#DIV/0!</v>
      </c>
      <c r="N52" s="24"/>
      <c r="O52" s="24"/>
      <c r="P52" s="24"/>
      <c r="Q52" s="24"/>
      <c r="R52" s="73"/>
      <c r="S52" s="24"/>
      <c r="T52" s="24"/>
      <c r="U52" s="24"/>
      <c r="V52" s="74"/>
    </row>
    <row r="53" spans="2:22" ht="15" customHeight="1">
      <c r="B53" s="58"/>
      <c r="C53" s="59"/>
      <c r="D53" s="59"/>
      <c r="E53" s="59"/>
      <c r="F53" s="59"/>
      <c r="G53" s="60" t="e">
        <f>Tabela3[[#This Row],[PESO TOTAL]]/Tabela3[[#This Row],[ANIMAIS]]</f>
        <v>#DIV/0!</v>
      </c>
      <c r="H53" s="59"/>
      <c r="I53" s="60" t="e">
        <f>Tabela3[[#This Row],[CARCAÇA TOTAL]]/Tabela3[[#This Row],[ANIMAIS]]</f>
        <v>#DIV/0!</v>
      </c>
      <c r="J53" s="67" t="e">
        <f>Tabela3[[#This Row],[CARCAÇA MÉDIA]]/Tabela3[[#This Row],[PESO MÉDIO]]</f>
        <v>#DIV/0!</v>
      </c>
      <c r="K53" s="68"/>
      <c r="L53" s="69" t="e">
        <f t="shared" si="0"/>
        <v>#DIV/0!</v>
      </c>
      <c r="M53" s="69" t="e">
        <f>Tabela3[[#This Row],[VALOR CABEÇA]]/(Tabela3[[#This Row],[CARCAÇA MÉDIA]]/15)</f>
        <v>#DIV/0!</v>
      </c>
      <c r="N53" s="24"/>
      <c r="O53" s="24"/>
      <c r="P53" s="24"/>
      <c r="Q53" s="24"/>
      <c r="R53" s="73"/>
      <c r="S53" s="24"/>
      <c r="T53" s="24"/>
      <c r="U53" s="24"/>
      <c r="V53" s="74"/>
    </row>
    <row r="54" spans="2:22" ht="15" customHeight="1">
      <c r="B54" s="58"/>
      <c r="C54" s="59"/>
      <c r="D54" s="59"/>
      <c r="E54" s="59"/>
      <c r="F54" s="59"/>
      <c r="G54" s="60" t="e">
        <f>Tabela3[[#This Row],[PESO TOTAL]]/Tabela3[[#This Row],[ANIMAIS]]</f>
        <v>#DIV/0!</v>
      </c>
      <c r="H54" s="59"/>
      <c r="I54" s="60" t="e">
        <f>Tabela3[[#This Row],[CARCAÇA TOTAL]]/Tabela3[[#This Row],[ANIMAIS]]</f>
        <v>#DIV/0!</v>
      </c>
      <c r="J54" s="67" t="e">
        <f>Tabela3[[#This Row],[CARCAÇA MÉDIA]]/Tabela3[[#This Row],[PESO MÉDIO]]</f>
        <v>#DIV/0!</v>
      </c>
      <c r="K54" s="68"/>
      <c r="L54" s="69" t="e">
        <f t="shared" si="0"/>
        <v>#DIV/0!</v>
      </c>
      <c r="M54" s="69" t="e">
        <f>Tabela3[[#This Row],[VALOR CABEÇA]]/(Tabela3[[#This Row],[CARCAÇA MÉDIA]]/15)</f>
        <v>#DIV/0!</v>
      </c>
      <c r="N54" s="24"/>
      <c r="O54" s="24"/>
      <c r="P54" s="24"/>
      <c r="Q54" s="24"/>
      <c r="R54" s="73"/>
      <c r="S54" s="24"/>
      <c r="T54" s="24"/>
      <c r="U54" s="24"/>
      <c r="V54" s="74"/>
    </row>
    <row r="55" spans="2:22" ht="15" customHeight="1">
      <c r="B55" s="58"/>
      <c r="C55" s="59"/>
      <c r="D55" s="59"/>
      <c r="E55" s="59"/>
      <c r="F55" s="59"/>
      <c r="G55" s="60" t="e">
        <f>Tabela3[[#This Row],[PESO TOTAL]]/Tabela3[[#This Row],[ANIMAIS]]</f>
        <v>#DIV/0!</v>
      </c>
      <c r="H55" s="59"/>
      <c r="I55" s="60" t="e">
        <f>Tabela3[[#This Row],[CARCAÇA TOTAL]]/Tabela3[[#This Row],[ANIMAIS]]</f>
        <v>#DIV/0!</v>
      </c>
      <c r="J55" s="67" t="e">
        <f>Tabela3[[#This Row],[CARCAÇA MÉDIA]]/Tabela3[[#This Row],[PESO MÉDIO]]</f>
        <v>#DIV/0!</v>
      </c>
      <c r="K55" s="68"/>
      <c r="L55" s="69" t="e">
        <f t="shared" si="0"/>
        <v>#DIV/0!</v>
      </c>
      <c r="M55" s="69" t="e">
        <f>Tabela3[[#This Row],[VALOR CABEÇA]]/(Tabela3[[#This Row],[CARCAÇA MÉDIA]]/15)</f>
        <v>#DIV/0!</v>
      </c>
      <c r="N55" s="24"/>
      <c r="O55" s="24"/>
      <c r="P55" s="24"/>
      <c r="Q55" s="24"/>
      <c r="R55" s="73"/>
      <c r="S55" s="24"/>
      <c r="T55" s="24"/>
      <c r="U55" s="24"/>
      <c r="V55" s="74"/>
    </row>
    <row r="56" spans="2:22" ht="15" customHeight="1">
      <c r="B56" s="58"/>
      <c r="C56" s="59"/>
      <c r="D56" s="59"/>
      <c r="E56" s="59"/>
      <c r="F56" s="59"/>
      <c r="G56" s="60" t="e">
        <f>Tabela3[[#This Row],[PESO TOTAL]]/Tabela3[[#This Row],[ANIMAIS]]</f>
        <v>#DIV/0!</v>
      </c>
      <c r="H56" s="59"/>
      <c r="I56" s="60" t="e">
        <f>Tabela3[[#This Row],[CARCAÇA TOTAL]]/Tabela3[[#This Row],[ANIMAIS]]</f>
        <v>#DIV/0!</v>
      </c>
      <c r="J56" s="67" t="e">
        <f>Tabela3[[#This Row],[CARCAÇA MÉDIA]]/Tabela3[[#This Row],[PESO MÉDIO]]</f>
        <v>#DIV/0!</v>
      </c>
      <c r="K56" s="68"/>
      <c r="L56" s="69" t="e">
        <f t="shared" si="0"/>
        <v>#DIV/0!</v>
      </c>
      <c r="M56" s="69" t="e">
        <f>Tabela3[[#This Row],[VALOR CABEÇA]]/(Tabela3[[#This Row],[CARCAÇA MÉDIA]]/15)</f>
        <v>#DIV/0!</v>
      </c>
      <c r="N56" s="24"/>
      <c r="O56" s="24"/>
      <c r="P56" s="24"/>
      <c r="Q56" s="24"/>
      <c r="R56" s="73"/>
      <c r="S56" s="24"/>
      <c r="T56" s="23"/>
      <c r="U56" s="24"/>
      <c r="V56" s="74"/>
    </row>
    <row r="57" spans="2:22">
      <c r="B57" s="64"/>
      <c r="C57" s="65"/>
      <c r="D57" s="59"/>
      <c r="E57" s="65"/>
      <c r="F57" s="65"/>
      <c r="G57" s="66" t="e">
        <f>Tabela3[[#This Row],[PESO TOTAL]]/Tabela3[[#This Row],[ANIMAIS]]</f>
        <v>#DIV/0!</v>
      </c>
      <c r="H57" s="65"/>
      <c r="I57" s="66" t="e">
        <f>Tabela3[[#This Row],[CARCAÇA TOTAL]]/Tabela3[[#This Row],[ANIMAIS]]</f>
        <v>#DIV/0!</v>
      </c>
      <c r="J57" s="70" t="e">
        <f>Tabela3[[#This Row],[CARCAÇA MÉDIA]]/Tabela3[[#This Row],[PESO MÉDIO]]</f>
        <v>#DIV/0!</v>
      </c>
      <c r="K57" s="71"/>
      <c r="L57" s="69" t="e">
        <f t="shared" si="0"/>
        <v>#DIV/0!</v>
      </c>
      <c r="M57" s="69" t="e">
        <f>Tabela3[[#This Row],[VALOR CABEÇA]]/(Tabela3[[#This Row],[CARCAÇA MÉDIA]]/15)</f>
        <v>#DIV/0!</v>
      </c>
      <c r="N57" s="72"/>
      <c r="O57" s="72"/>
      <c r="P57" s="72"/>
      <c r="Q57" s="72"/>
      <c r="R57" s="75"/>
      <c r="S57" s="72"/>
      <c r="T57" s="72"/>
      <c r="U57" s="72"/>
      <c r="V57" s="74"/>
    </row>
    <row r="58" spans="2:22">
      <c r="B58" s="64"/>
      <c r="C58" s="65"/>
      <c r="D58" s="59"/>
      <c r="E58" s="65"/>
      <c r="F58" s="65"/>
      <c r="G58" s="66" t="e">
        <f>Tabela3[[#This Row],[PESO TOTAL]]/Tabela3[[#This Row],[ANIMAIS]]</f>
        <v>#DIV/0!</v>
      </c>
      <c r="H58" s="65"/>
      <c r="I58" s="66" t="e">
        <f>Tabela3[[#This Row],[CARCAÇA TOTAL]]/Tabela3[[#This Row],[ANIMAIS]]</f>
        <v>#DIV/0!</v>
      </c>
      <c r="J58" s="70" t="e">
        <f>Tabela3[[#This Row],[CARCAÇA MÉDIA]]/Tabela3[[#This Row],[PESO MÉDIO]]</f>
        <v>#DIV/0!</v>
      </c>
      <c r="K58" s="71"/>
      <c r="L58" s="69" t="e">
        <f t="shared" si="0"/>
        <v>#DIV/0!</v>
      </c>
      <c r="M58" s="69" t="e">
        <f>Tabela3[[#This Row],[VALOR CABEÇA]]/(Tabela3[[#This Row],[CARCAÇA MÉDIA]]/15)</f>
        <v>#DIV/0!</v>
      </c>
      <c r="N58" s="72"/>
      <c r="O58" s="72"/>
      <c r="P58" s="72"/>
      <c r="Q58" s="72"/>
      <c r="R58" s="75"/>
      <c r="S58" s="72"/>
      <c r="T58" s="72"/>
      <c r="U58" s="72"/>
      <c r="V58" s="74"/>
    </row>
    <row r="59" spans="2:22">
      <c r="B59" s="64"/>
      <c r="C59" s="65"/>
      <c r="D59" s="59"/>
      <c r="E59" s="65"/>
      <c r="F59" s="65"/>
      <c r="G59" s="66" t="e">
        <f>Tabela3[[#This Row],[PESO TOTAL]]/Tabela3[[#This Row],[ANIMAIS]]</f>
        <v>#DIV/0!</v>
      </c>
      <c r="H59" s="65"/>
      <c r="I59" s="66" t="e">
        <f>Tabela3[[#This Row],[CARCAÇA TOTAL]]/Tabela3[[#This Row],[ANIMAIS]]</f>
        <v>#DIV/0!</v>
      </c>
      <c r="J59" s="70" t="e">
        <f>Tabela3[[#This Row],[CARCAÇA MÉDIA]]/Tabela3[[#This Row],[PESO MÉDIO]]</f>
        <v>#DIV/0!</v>
      </c>
      <c r="K59" s="71"/>
      <c r="L59" s="69" t="e">
        <f t="shared" si="0"/>
        <v>#DIV/0!</v>
      </c>
      <c r="M59" s="69" t="e">
        <f>Tabela3[[#This Row],[VALOR CABEÇA]]/(Tabela3[[#This Row],[CARCAÇA MÉDIA]]/15)</f>
        <v>#DIV/0!</v>
      </c>
      <c r="N59" s="72"/>
      <c r="O59" s="72"/>
      <c r="P59" s="72"/>
      <c r="Q59" s="72"/>
      <c r="R59" s="75"/>
      <c r="S59" s="72"/>
      <c r="T59" s="72"/>
      <c r="U59" s="72"/>
      <c r="V59" s="72"/>
    </row>
    <row r="60" spans="2:22">
      <c r="B60" s="64"/>
      <c r="C60" s="65"/>
      <c r="D60" s="65"/>
      <c r="E60" s="65"/>
      <c r="F60" s="65"/>
      <c r="G60" s="66" t="e">
        <f>Tabela3[[#This Row],[PESO TOTAL]]/Tabela3[[#This Row],[ANIMAIS]]</f>
        <v>#DIV/0!</v>
      </c>
      <c r="H60" s="65"/>
      <c r="I60" s="66" t="e">
        <f>Tabela3[[#This Row],[CARCAÇA TOTAL]]/Tabela3[[#This Row],[ANIMAIS]]</f>
        <v>#DIV/0!</v>
      </c>
      <c r="J60" s="70" t="e">
        <f>Tabela3[[#This Row],[CARCAÇA MÉDIA]]/Tabela3[[#This Row],[PESO MÉDIO]]</f>
        <v>#DIV/0!</v>
      </c>
      <c r="K60" s="71"/>
      <c r="L60" s="69" t="e">
        <f t="shared" si="0"/>
        <v>#DIV/0!</v>
      </c>
      <c r="M60" s="69" t="e">
        <f>Tabela3[[#This Row],[VALOR CABEÇA]]/(Tabela3[[#This Row],[CARCAÇA MÉDIA]]/15)</f>
        <v>#DIV/0!</v>
      </c>
      <c r="N60" s="72"/>
      <c r="O60" s="72"/>
      <c r="P60" s="72"/>
      <c r="Q60" s="72"/>
      <c r="R60" s="75"/>
      <c r="S60" s="72"/>
      <c r="T60" s="72"/>
      <c r="U60" s="72"/>
      <c r="V60" s="72"/>
    </row>
    <row r="61" spans="2:22">
      <c r="B61" s="64"/>
      <c r="C61" s="65"/>
      <c r="D61" s="65"/>
      <c r="E61" s="65"/>
      <c r="F61" s="65"/>
      <c r="G61" s="66" t="e">
        <f>Tabela3[[#This Row],[PESO TOTAL]]/Tabela3[[#This Row],[ANIMAIS]]</f>
        <v>#DIV/0!</v>
      </c>
      <c r="H61" s="65"/>
      <c r="I61" s="66" t="e">
        <f>Tabela3[[#This Row],[CARCAÇA TOTAL]]/Tabela3[[#This Row],[ANIMAIS]]</f>
        <v>#DIV/0!</v>
      </c>
      <c r="J61" s="70" t="e">
        <f>Tabela3[[#This Row],[CARCAÇA MÉDIA]]/Tabela3[[#This Row],[PESO MÉDIO]]</f>
        <v>#DIV/0!</v>
      </c>
      <c r="K61" s="71"/>
      <c r="L61" s="69" t="e">
        <f t="shared" si="0"/>
        <v>#DIV/0!</v>
      </c>
      <c r="M61" s="69" t="e">
        <f>Tabela3[[#This Row],[VALOR CABEÇA]]/(Tabela3[[#This Row],[CARCAÇA MÉDIA]]/15)</f>
        <v>#DIV/0!</v>
      </c>
      <c r="N61" s="72"/>
      <c r="O61" s="72"/>
      <c r="P61" s="72"/>
      <c r="Q61" s="72"/>
      <c r="R61" s="75"/>
      <c r="S61" s="72"/>
      <c r="T61" s="72"/>
      <c r="U61" s="72"/>
      <c r="V61" s="72"/>
    </row>
    <row r="62" spans="2:22">
      <c r="B62" s="64"/>
      <c r="C62" s="65"/>
      <c r="D62" s="59"/>
      <c r="E62" s="65"/>
      <c r="F62" s="65"/>
      <c r="G62" s="66" t="e">
        <f>Tabela3[[#This Row],[PESO TOTAL]]/Tabela3[[#This Row],[ANIMAIS]]</f>
        <v>#DIV/0!</v>
      </c>
      <c r="H62" s="65"/>
      <c r="I62" s="66" t="e">
        <f>Tabela3[[#This Row],[CARCAÇA TOTAL]]/Tabela3[[#This Row],[ANIMAIS]]</f>
        <v>#DIV/0!</v>
      </c>
      <c r="J62" s="70" t="e">
        <f>Tabela3[[#This Row],[CARCAÇA MÉDIA]]/Tabela3[[#This Row],[PESO MÉDIO]]</f>
        <v>#DIV/0!</v>
      </c>
      <c r="K62" s="71"/>
      <c r="L62" s="69" t="e">
        <f t="shared" si="0"/>
        <v>#DIV/0!</v>
      </c>
      <c r="M62" s="69" t="e">
        <f>Tabela3[[#This Row],[VALOR CABEÇA]]/(Tabela3[[#This Row],[CARCAÇA MÉDIA]]/15)</f>
        <v>#DIV/0!</v>
      </c>
      <c r="N62" s="72"/>
      <c r="O62" s="72"/>
      <c r="P62" s="72"/>
      <c r="Q62" s="72"/>
      <c r="R62" s="75"/>
      <c r="S62" s="72"/>
      <c r="T62" s="72"/>
      <c r="U62" s="72"/>
      <c r="V62" s="72"/>
    </row>
    <row r="63" spans="2:22">
      <c r="B63" s="64"/>
      <c r="C63" s="65"/>
      <c r="D63" s="65"/>
      <c r="E63" s="65"/>
      <c r="F63" s="65"/>
      <c r="G63" s="66" t="e">
        <f>Tabela3[[#This Row],[PESO TOTAL]]/Tabela3[[#This Row],[ANIMAIS]]</f>
        <v>#DIV/0!</v>
      </c>
      <c r="H63" s="65"/>
      <c r="I63" s="66" t="e">
        <f>Tabela3[[#This Row],[CARCAÇA TOTAL]]/Tabela3[[#This Row],[ANIMAIS]]</f>
        <v>#DIV/0!</v>
      </c>
      <c r="J63" s="70" t="e">
        <f>Tabela3[[#This Row],[CARCAÇA MÉDIA]]/Tabela3[[#This Row],[PESO MÉDIO]]</f>
        <v>#DIV/0!</v>
      </c>
      <c r="K63" s="71"/>
      <c r="L63" s="69" t="e">
        <f t="shared" si="0"/>
        <v>#DIV/0!</v>
      </c>
      <c r="M63" s="69" t="e">
        <f>Tabela3[[#This Row],[VALOR CABEÇA]]/(Tabela3[[#This Row],[CARCAÇA MÉDIA]]/15)</f>
        <v>#DIV/0!</v>
      </c>
      <c r="N63" s="72"/>
      <c r="O63" s="72"/>
      <c r="P63" s="72"/>
      <c r="Q63" s="72"/>
      <c r="R63" s="75"/>
      <c r="S63" s="72"/>
      <c r="T63" s="72"/>
      <c r="U63" s="72"/>
      <c r="V63" s="72"/>
    </row>
    <row r="64" spans="2:22">
      <c r="B64" s="64"/>
      <c r="C64" s="65"/>
      <c r="D64" s="59"/>
      <c r="E64" s="65"/>
      <c r="F64" s="65"/>
      <c r="G64" s="66" t="e">
        <f>Tabela3[[#This Row],[PESO TOTAL]]/Tabela3[[#This Row],[ANIMAIS]]</f>
        <v>#DIV/0!</v>
      </c>
      <c r="H64" s="65"/>
      <c r="I64" s="66" t="e">
        <f>Tabela3[[#This Row],[CARCAÇA TOTAL]]/Tabela3[[#This Row],[ANIMAIS]]</f>
        <v>#DIV/0!</v>
      </c>
      <c r="J64" s="70" t="e">
        <f>Tabela3[[#This Row],[CARCAÇA MÉDIA]]/Tabela3[[#This Row],[PESO MÉDIO]]</f>
        <v>#DIV/0!</v>
      </c>
      <c r="K64" s="71"/>
      <c r="L64" s="69" t="e">
        <f t="shared" si="0"/>
        <v>#DIV/0!</v>
      </c>
      <c r="M64" s="69" t="e">
        <f>Tabela3[[#This Row],[VALOR CABEÇA]]/(Tabela3[[#This Row],[CARCAÇA MÉDIA]]/15)</f>
        <v>#DIV/0!</v>
      </c>
      <c r="N64" s="72"/>
      <c r="O64" s="72"/>
      <c r="P64" s="72"/>
      <c r="Q64" s="72"/>
      <c r="R64" s="75"/>
      <c r="S64" s="72"/>
      <c r="T64" s="72"/>
      <c r="U64" s="72"/>
      <c r="V64" s="72"/>
    </row>
    <row r="65" spans="2:22">
      <c r="B65" s="64"/>
      <c r="C65" s="65"/>
      <c r="D65" s="65"/>
      <c r="E65" s="65"/>
      <c r="F65" s="65"/>
      <c r="G65" s="66" t="e">
        <f>Tabela3[[#This Row],[PESO TOTAL]]/Tabela3[[#This Row],[ANIMAIS]]</f>
        <v>#DIV/0!</v>
      </c>
      <c r="H65" s="65"/>
      <c r="I65" s="66" t="e">
        <f>Tabela3[[#This Row],[CARCAÇA TOTAL]]/Tabela3[[#This Row],[ANIMAIS]]</f>
        <v>#DIV/0!</v>
      </c>
      <c r="J65" s="70" t="e">
        <f>Tabela3[[#This Row],[CARCAÇA MÉDIA]]/Tabela3[[#This Row],[PESO MÉDIO]]</f>
        <v>#DIV/0!</v>
      </c>
      <c r="K65" s="71"/>
      <c r="L65" s="69" t="e">
        <f t="shared" si="0"/>
        <v>#DIV/0!</v>
      </c>
      <c r="M65" s="69" t="e">
        <f>Tabela3[[#This Row],[VALOR CABEÇA]]/(Tabela3[[#This Row],[CARCAÇA MÉDIA]]/15)</f>
        <v>#DIV/0!</v>
      </c>
      <c r="N65" s="72"/>
      <c r="O65" s="72"/>
      <c r="P65" s="72"/>
      <c r="Q65" s="72"/>
      <c r="R65" s="75"/>
      <c r="S65" s="72"/>
      <c r="T65" s="72"/>
      <c r="U65" s="72"/>
      <c r="V65" s="72"/>
    </row>
    <row r="66" spans="2:22">
      <c r="B66" s="64"/>
      <c r="C66" s="65"/>
      <c r="D66" s="65"/>
      <c r="E66" s="65"/>
      <c r="F66" s="65"/>
      <c r="G66" s="66" t="e">
        <f>Tabela3[[#This Row],[PESO TOTAL]]/Tabela3[[#This Row],[ANIMAIS]]</f>
        <v>#DIV/0!</v>
      </c>
      <c r="H66" s="65"/>
      <c r="I66" s="66" t="e">
        <f>Tabela3[[#This Row],[CARCAÇA TOTAL]]/Tabela3[[#This Row],[ANIMAIS]]</f>
        <v>#DIV/0!</v>
      </c>
      <c r="J66" s="70" t="e">
        <f>Tabela3[[#This Row],[CARCAÇA MÉDIA]]/Tabela3[[#This Row],[PESO MÉDIO]]</f>
        <v>#DIV/0!</v>
      </c>
      <c r="K66" s="71"/>
      <c r="L66" s="69" t="e">
        <f t="shared" si="0"/>
        <v>#DIV/0!</v>
      </c>
      <c r="M66" s="69" t="e">
        <f>Tabela3[[#This Row],[VALOR CABEÇA]]/(Tabela3[[#This Row],[CARCAÇA MÉDIA]]/15)</f>
        <v>#DIV/0!</v>
      </c>
      <c r="N66" s="72"/>
      <c r="O66" s="72"/>
      <c r="P66" s="72"/>
      <c r="Q66" s="72"/>
      <c r="R66" s="75"/>
      <c r="S66" s="72"/>
      <c r="T66" s="72"/>
      <c r="U66" s="72"/>
      <c r="V66" s="72"/>
    </row>
    <row r="67" spans="2:22">
      <c r="B67" s="64"/>
      <c r="C67" s="65"/>
      <c r="D67" s="65"/>
      <c r="E67" s="65"/>
      <c r="F67" s="65"/>
      <c r="G67" s="66" t="e">
        <f>Tabela3[[#This Row],[PESO TOTAL]]/Tabela3[[#This Row],[ANIMAIS]]</f>
        <v>#DIV/0!</v>
      </c>
      <c r="H67" s="65"/>
      <c r="I67" s="66" t="e">
        <f>Tabela3[[#This Row],[CARCAÇA TOTAL]]/Tabela3[[#This Row],[ANIMAIS]]</f>
        <v>#DIV/0!</v>
      </c>
      <c r="J67" s="70" t="e">
        <f>Tabela3[[#This Row],[CARCAÇA MÉDIA]]/Tabela3[[#This Row],[PESO MÉDIO]]</f>
        <v>#DIV/0!</v>
      </c>
      <c r="K67" s="71"/>
      <c r="L67" s="69" t="e">
        <f t="shared" si="0"/>
        <v>#DIV/0!</v>
      </c>
      <c r="M67" s="69" t="e">
        <f>Tabela3[[#This Row],[VALOR CABEÇA]]/(Tabela3[[#This Row],[CARCAÇA MÉDIA]]/15)</f>
        <v>#DIV/0!</v>
      </c>
      <c r="N67" s="72"/>
      <c r="O67" s="72"/>
      <c r="P67" s="72"/>
      <c r="Q67" s="72"/>
      <c r="R67" s="75"/>
      <c r="S67" s="72"/>
      <c r="T67" s="72"/>
      <c r="U67" s="72"/>
      <c r="V67" s="72"/>
    </row>
    <row r="68" spans="2:22">
      <c r="B68" s="64"/>
      <c r="C68" s="65"/>
      <c r="D68" s="65"/>
      <c r="E68" s="65"/>
      <c r="F68" s="65"/>
      <c r="G68" s="66" t="e">
        <f>Tabela3[[#This Row],[PESO TOTAL]]/Tabela3[[#This Row],[ANIMAIS]]</f>
        <v>#DIV/0!</v>
      </c>
      <c r="H68" s="65"/>
      <c r="I68" s="66" t="e">
        <f>Tabela3[[#This Row],[CARCAÇA TOTAL]]/Tabela3[[#This Row],[ANIMAIS]]</f>
        <v>#DIV/0!</v>
      </c>
      <c r="J68" s="70" t="e">
        <f>Tabela3[[#This Row],[CARCAÇA MÉDIA]]/Tabela3[[#This Row],[PESO MÉDIO]]</f>
        <v>#DIV/0!</v>
      </c>
      <c r="K68" s="71"/>
      <c r="L68" s="69" t="e">
        <f t="shared" si="0"/>
        <v>#DIV/0!</v>
      </c>
      <c r="M68" s="69" t="e">
        <f>Tabela3[[#This Row],[VALOR CABEÇA]]/(Tabela3[[#This Row],[CARCAÇA MÉDIA]]/15)</f>
        <v>#DIV/0!</v>
      </c>
      <c r="N68" s="72"/>
      <c r="O68" s="72"/>
      <c r="P68" s="72"/>
      <c r="Q68" s="72"/>
      <c r="R68" s="75"/>
      <c r="S68" s="72"/>
      <c r="T68" s="72"/>
      <c r="U68" s="72"/>
      <c r="V68" s="72"/>
    </row>
  </sheetData>
  <pageMargins left="0.511811023622047" right="0.511811023622047" top="0.78740157480314998" bottom="0.78740157480314998" header="0.31496062992126" footer="0.31496062992126"/>
  <pageSetup paperSize="9" scale="50"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CX254"/>
  <sheetViews>
    <sheetView view="pageBreakPreview" zoomScale="50" zoomScaleNormal="60" workbookViewId="0">
      <selection activeCell="K18" sqref="K18"/>
    </sheetView>
  </sheetViews>
  <sheetFormatPr defaultColWidth="9.109375" defaultRowHeight="15.6"/>
  <cols>
    <col min="1" max="1" width="32" style="52" customWidth="1"/>
    <col min="2" max="2" width="27.33203125" style="52" customWidth="1"/>
    <col min="3" max="3" width="32" style="52" customWidth="1"/>
    <col min="4" max="4" width="34.44140625" style="52" customWidth="1"/>
    <col min="5" max="6" width="32" style="52" customWidth="1"/>
    <col min="7" max="7" width="36.6640625" style="52" customWidth="1"/>
    <col min="8" max="8" width="7.5546875" style="52" customWidth="1"/>
    <col min="9" max="9" width="23.21875" style="53" bestFit="1" customWidth="1"/>
    <col min="10" max="10" width="19.88671875" style="53" bestFit="1" customWidth="1"/>
    <col min="11" max="11" width="6.33203125" style="53" customWidth="1"/>
    <col min="12" max="12" width="30.109375" style="53" bestFit="1" customWidth="1"/>
    <col min="13" max="13" width="19.88671875" style="53" bestFit="1" customWidth="1"/>
    <col min="14" max="14" width="6.44140625" style="53" customWidth="1"/>
    <col min="15" max="15" width="30.109375" style="53" bestFit="1" customWidth="1"/>
    <col min="16" max="16" width="23.21875" style="53" bestFit="1" customWidth="1"/>
    <col min="17" max="17" width="10.109375" style="53" customWidth="1"/>
    <col min="18" max="18" width="30.109375" style="53" bestFit="1" customWidth="1"/>
    <col min="19" max="19" width="23.21875" style="53" bestFit="1" customWidth="1"/>
    <col min="20" max="20" width="18.6640625" style="53" customWidth="1"/>
    <col min="21" max="21" width="30.109375" style="53" bestFit="1" customWidth="1"/>
    <col min="22" max="22" width="23.21875" style="53" bestFit="1" customWidth="1"/>
    <col min="23" max="23" width="24.88671875" style="52" customWidth="1"/>
    <col min="24" max="24" width="30.5546875" style="52" customWidth="1"/>
    <col min="25" max="25" width="29.44140625" style="52" customWidth="1"/>
    <col min="26" max="26" width="24.44140625" style="52" customWidth="1"/>
    <col min="27" max="27" width="26.88671875" style="52" customWidth="1"/>
    <col min="28" max="28" width="28.44140625" style="52" customWidth="1"/>
    <col min="29" max="29" width="26.33203125" style="52" customWidth="1"/>
    <col min="30" max="30" width="27.44140625" style="52" customWidth="1"/>
    <col min="31" max="31" width="23.109375" style="52" customWidth="1"/>
    <col min="32" max="32" width="15.33203125" style="52" customWidth="1"/>
    <col min="33" max="34" width="11.109375" style="52" customWidth="1"/>
    <col min="35" max="40" width="17.44140625" style="52" customWidth="1"/>
    <col min="41" max="41" width="21.44140625" style="52" customWidth="1"/>
    <col min="42" max="42" width="17.44140625" style="52" customWidth="1"/>
    <col min="43" max="43" width="25.44140625" style="52" customWidth="1"/>
    <col min="44" max="44" width="32" style="52" customWidth="1"/>
    <col min="45" max="45" width="38.6640625" style="52" customWidth="1"/>
    <col min="46" max="46" width="29.33203125" style="52" customWidth="1"/>
    <col min="47" max="47" width="32" style="52" customWidth="1"/>
    <col min="48" max="48" width="34.44140625" style="52" customWidth="1"/>
    <col min="49" max="49" width="25.44140625" style="52" customWidth="1"/>
    <col min="50" max="50" width="32" style="52" customWidth="1"/>
    <col min="51" max="51" width="34.44140625" style="52" customWidth="1"/>
    <col min="52" max="52" width="25.44140625" style="52" customWidth="1"/>
    <col min="53" max="53" width="32" style="52" customWidth="1"/>
    <col min="54" max="54" width="34.44140625" style="52" customWidth="1"/>
    <col min="55" max="55" width="25.44140625" style="52" customWidth="1"/>
    <col min="56" max="56" width="32" style="52" customWidth="1"/>
    <col min="57" max="57" width="34.44140625" style="52" customWidth="1"/>
    <col min="58" max="58" width="25.44140625" style="52" customWidth="1"/>
    <col min="59" max="59" width="32" style="52" customWidth="1"/>
    <col min="60" max="60" width="34.44140625" style="52" customWidth="1"/>
    <col min="61" max="61" width="25.44140625" style="52" customWidth="1"/>
    <col min="62" max="63" width="9.109375" style="52"/>
    <col min="64" max="64" width="32" style="52" customWidth="1"/>
    <col min="65" max="65" width="25.109375" style="52" customWidth="1"/>
    <col min="66" max="66" width="52.5546875" style="52" customWidth="1"/>
    <col min="67" max="67" width="15" style="52" customWidth="1"/>
    <col min="68" max="69" width="9.109375" style="52"/>
    <col min="70" max="70" width="28.33203125" style="52" customWidth="1"/>
    <col min="71" max="71" width="25.109375" style="52" customWidth="1"/>
    <col min="72" max="73" width="9.109375" style="52"/>
    <col min="74" max="74" width="32" style="52" customWidth="1"/>
    <col min="75" max="75" width="25.88671875" style="52" customWidth="1"/>
    <col min="76" max="76" width="17.44140625" style="52" customWidth="1"/>
    <col min="77" max="77" width="9.109375" style="52"/>
    <col min="78" max="78" width="25.88671875" style="52" customWidth="1"/>
    <col min="79" max="79" width="38" style="52" customWidth="1"/>
    <col min="80" max="80" width="42" style="52" customWidth="1"/>
    <col min="81" max="84" width="31.109375" style="52" customWidth="1"/>
    <col min="85" max="86" width="17.44140625" style="52" customWidth="1"/>
    <col min="87" max="87" width="11" style="52" customWidth="1"/>
    <col min="88" max="16384" width="9.109375" style="52"/>
  </cols>
  <sheetData>
    <row r="1" spans="1:102" ht="15.75" customHeight="1">
      <c r="A1" s="275" t="s">
        <v>200</v>
      </c>
      <c r="B1" s="285" t="str">
        <f>'PAINEL ENTRADA'!T1</f>
        <v>SÃO FRANCISCO</v>
      </c>
      <c r="C1" s="285"/>
      <c r="D1" s="285"/>
      <c r="E1" s="285"/>
      <c r="F1" s="285"/>
      <c r="G1" s="278">
        <f ca="1">TODAY()</f>
        <v>46294</v>
      </c>
      <c r="H1"/>
      <c r="I1" s="223" t="s">
        <v>60</v>
      </c>
      <c r="J1" s="2" t="s">
        <v>68</v>
      </c>
      <c r="K1" s="2"/>
      <c r="L1" s="223" t="s">
        <v>60</v>
      </c>
      <c r="M1" s="2" t="s">
        <v>68</v>
      </c>
      <c r="N1" s="2"/>
      <c r="O1" s="223" t="s">
        <v>60</v>
      </c>
      <c r="P1" s="2" t="s">
        <v>68</v>
      </c>
      <c r="Q1" s="2"/>
      <c r="R1" s="223" t="s">
        <v>60</v>
      </c>
      <c r="S1" s="2" t="s">
        <v>68</v>
      </c>
      <c r="T1" s="2"/>
      <c r="U1" s="223" t="s">
        <v>60</v>
      </c>
      <c r="V1" s="2" t="s">
        <v>68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</row>
    <row r="2" spans="1:102" ht="15.75" customHeight="1">
      <c r="A2" s="276"/>
      <c r="B2" s="286"/>
      <c r="C2" s="286"/>
      <c r="D2" s="286"/>
      <c r="E2" s="286"/>
      <c r="F2" s="286"/>
      <c r="G2" s="279"/>
      <c r="H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</row>
    <row r="3" spans="1:102" ht="15.75" customHeight="1">
      <c r="A3" s="277"/>
      <c r="B3" s="287"/>
      <c r="C3" s="287"/>
      <c r="D3" s="287"/>
      <c r="E3" s="287"/>
      <c r="F3" s="287"/>
      <c r="G3" s="280"/>
      <c r="H3"/>
      <c r="I3" s="2" t="s">
        <v>201</v>
      </c>
      <c r="J3" s="2"/>
      <c r="K3" s="2"/>
      <c r="L3" s="2" t="s">
        <v>202</v>
      </c>
      <c r="M3" s="2"/>
      <c r="N3" s="2"/>
      <c r="O3" s="223" t="s">
        <v>203</v>
      </c>
      <c r="P3" s="2" t="s">
        <v>201</v>
      </c>
      <c r="Q3" s="2"/>
      <c r="R3" s="223" t="s">
        <v>203</v>
      </c>
      <c r="S3" s="2" t="s">
        <v>201</v>
      </c>
      <c r="T3" s="2"/>
      <c r="U3" s="223" t="s">
        <v>203</v>
      </c>
      <c r="V3" s="2" t="s">
        <v>201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</row>
    <row r="4" spans="1:102">
      <c r="A4" s="54"/>
      <c r="B4" s="54"/>
      <c r="C4" s="54"/>
      <c r="D4" s="54"/>
      <c r="E4" s="54"/>
      <c r="F4" s="54"/>
      <c r="G4" s="54"/>
      <c r="H4"/>
      <c r="I4" s="230">
        <v>354</v>
      </c>
      <c r="J4" s="2"/>
      <c r="K4" s="2"/>
      <c r="L4" s="230">
        <v>2298586.23</v>
      </c>
      <c r="M4" s="2"/>
      <c r="N4" s="2"/>
      <c r="O4" s="2" t="s">
        <v>11</v>
      </c>
      <c r="P4" s="230">
        <v>354</v>
      </c>
      <c r="Q4" s="2"/>
      <c r="R4" s="2" t="s">
        <v>198</v>
      </c>
      <c r="S4" s="230">
        <v>354</v>
      </c>
      <c r="T4" s="2"/>
      <c r="U4" s="2" t="s">
        <v>70</v>
      </c>
      <c r="V4" s="230">
        <v>84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</row>
    <row r="5" spans="1:102" ht="21">
      <c r="A5" s="274" t="s">
        <v>204</v>
      </c>
      <c r="B5" s="274"/>
      <c r="C5"/>
      <c r="D5" s="274" t="s">
        <v>205</v>
      </c>
      <c r="E5" s="274"/>
      <c r="F5"/>
      <c r="G5"/>
      <c r="H5"/>
      <c r="I5" s="2"/>
      <c r="J5" s="2"/>
      <c r="K5" s="2"/>
      <c r="L5" s="2"/>
      <c r="M5" s="2"/>
      <c r="N5" s="2"/>
      <c r="O5" s="2" t="s">
        <v>206</v>
      </c>
      <c r="P5" s="230">
        <v>354</v>
      </c>
      <c r="Q5" s="2"/>
      <c r="R5" s="2" t="s">
        <v>206</v>
      </c>
      <c r="S5" s="230">
        <v>354</v>
      </c>
      <c r="T5" s="2"/>
      <c r="U5" s="2" t="s">
        <v>72</v>
      </c>
      <c r="V5" s="230">
        <v>189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</row>
    <row r="6" spans="1:102">
      <c r="A6" s="281">
        <f>I4</f>
        <v>354</v>
      </c>
      <c r="B6" s="281"/>
      <c r="C6"/>
      <c r="D6" s="283">
        <f>L4</f>
        <v>2298586.23</v>
      </c>
      <c r="E6" s="283"/>
      <c r="F6"/>
      <c r="G6"/>
      <c r="H6"/>
      <c r="I6" s="2"/>
      <c r="J6" s="2"/>
      <c r="K6" s="2"/>
      <c r="L6" s="2"/>
      <c r="M6" s="2"/>
      <c r="N6" s="2"/>
      <c r="O6"/>
      <c r="P6"/>
      <c r="Q6" s="2"/>
      <c r="R6"/>
      <c r="S6"/>
      <c r="T6" s="2"/>
      <c r="U6" s="2" t="s">
        <v>73</v>
      </c>
      <c r="V6" s="230">
        <v>81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</row>
    <row r="7" spans="1:102">
      <c r="A7" s="282"/>
      <c r="B7" s="282"/>
      <c r="C7"/>
      <c r="D7" s="284"/>
      <c r="E7" s="284"/>
      <c r="F7"/>
      <c r="G7"/>
      <c r="H7"/>
      <c r="I7" s="2"/>
      <c r="J7" s="2"/>
      <c r="K7" s="2"/>
      <c r="L7" s="2"/>
      <c r="M7" s="2"/>
      <c r="N7" s="2"/>
      <c r="O7" s="2"/>
      <c r="P7" s="2"/>
      <c r="Q7" s="2"/>
      <c r="R7"/>
      <c r="S7"/>
      <c r="T7" s="2"/>
      <c r="U7" s="2" t="s">
        <v>206</v>
      </c>
      <c r="V7" s="230">
        <v>354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</row>
    <row r="8" spans="1:102">
      <c r="A8"/>
      <c r="B8"/>
      <c r="C8"/>
      <c r="D8"/>
      <c r="E8"/>
      <c r="F8"/>
      <c r="G8"/>
      <c r="H8"/>
      <c r="I8" s="2"/>
      <c r="J8" s="2"/>
      <c r="K8" s="2"/>
      <c r="L8" s="2"/>
      <c r="M8" s="2"/>
      <c r="N8" s="2"/>
      <c r="O8" s="2"/>
      <c r="P8" s="2"/>
      <c r="Q8" s="2"/>
      <c r="R8"/>
      <c r="S8"/>
      <c r="T8" s="2"/>
      <c r="U8" s="2"/>
      <c r="V8" s="2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</row>
    <row r="9" spans="1:102">
      <c r="A9"/>
      <c r="B9"/>
      <c r="C9"/>
      <c r="D9"/>
      <c r="E9"/>
      <c r="F9"/>
      <c r="G9"/>
      <c r="H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</row>
    <row r="10" spans="1:102">
      <c r="A10"/>
      <c r="B10"/>
      <c r="C10"/>
      <c r="D10"/>
      <c r="E10"/>
      <c r="F10"/>
      <c r="G10"/>
      <c r="H1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</row>
    <row r="11" spans="1:102">
      <c r="A11"/>
      <c r="B11"/>
      <c r="C11"/>
      <c r="D11"/>
      <c r="E11"/>
      <c r="F11"/>
      <c r="G11"/>
      <c r="H1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</row>
    <row r="12" spans="1:102">
      <c r="A12"/>
      <c r="B12"/>
      <c r="C12"/>
      <c r="D12"/>
      <c r="E12"/>
      <c r="F12"/>
      <c r="G12"/>
      <c r="H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</row>
    <row r="13" spans="1:102">
      <c r="A13"/>
      <c r="B13"/>
      <c r="C13"/>
      <c r="D13"/>
      <c r="E13"/>
      <c r="F13"/>
      <c r="G13"/>
      <c r="H1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</row>
    <row r="14" spans="1:102">
      <c r="A14"/>
      <c r="B14"/>
      <c r="C14"/>
      <c r="D14"/>
      <c r="E14"/>
      <c r="F14"/>
      <c r="G14"/>
      <c r="H1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</row>
    <row r="15" spans="1:102">
      <c r="A15"/>
      <c r="B15"/>
      <c r="C15"/>
      <c r="D15"/>
      <c r="E15"/>
      <c r="F15"/>
      <c r="G15"/>
      <c r="H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</row>
    <row r="16" spans="1:102">
      <c r="A16"/>
      <c r="B16"/>
      <c r="C16"/>
      <c r="D16"/>
      <c r="E16"/>
      <c r="F16"/>
      <c r="G16"/>
      <c r="H1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</row>
    <row r="17" spans="1:102">
      <c r="A17"/>
      <c r="B17"/>
      <c r="C17"/>
      <c r="D17"/>
      <c r="E17"/>
      <c r="F17"/>
      <c r="G17"/>
      <c r="H1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</row>
    <row r="18" spans="1:102">
      <c r="A18"/>
      <c r="B18"/>
      <c r="C18"/>
      <c r="D18"/>
      <c r="E18"/>
      <c r="F18"/>
      <c r="G18"/>
      <c r="H1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</row>
    <row r="19" spans="1:102">
      <c r="A19"/>
      <c r="B19"/>
      <c r="C19"/>
      <c r="D19"/>
      <c r="E19"/>
      <c r="F19"/>
      <c r="G19"/>
      <c r="H1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</row>
    <row r="20" spans="1:102">
      <c r="A20"/>
      <c r="B20"/>
      <c r="C20"/>
      <c r="D20"/>
      <c r="E20"/>
      <c r="F20"/>
      <c r="G20"/>
      <c r="H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</row>
    <row r="21" spans="1:102">
      <c r="A21"/>
      <c r="B21"/>
      <c r="C21"/>
      <c r="D21"/>
      <c r="E21"/>
      <c r="F21"/>
      <c r="G21"/>
      <c r="H2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</row>
    <row r="22" spans="1:102">
      <c r="A22"/>
      <c r="B22"/>
      <c r="C22"/>
      <c r="D22"/>
      <c r="E22"/>
      <c r="F22"/>
      <c r="G22"/>
      <c r="H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</row>
    <row r="23" spans="1:102">
      <c r="A23"/>
      <c r="B23"/>
      <c r="C23"/>
      <c r="D23"/>
      <c r="E23"/>
      <c r="F23"/>
      <c r="G23"/>
      <c r="H2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</row>
    <row r="24" spans="1:102">
      <c r="A24"/>
      <c r="B24"/>
      <c r="C24"/>
      <c r="D24"/>
      <c r="E24"/>
      <c r="F24"/>
      <c r="G24"/>
      <c r="H2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</row>
    <row r="25" spans="1:102">
      <c r="A25"/>
      <c r="B25"/>
      <c r="C25"/>
      <c r="D25"/>
      <c r="E25"/>
      <c r="F25"/>
      <c r="G25"/>
      <c r="H2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</row>
    <row r="26" spans="1:102">
      <c r="A26"/>
      <c r="B26"/>
      <c r="C26"/>
      <c r="D26"/>
      <c r="E26"/>
      <c r="F26"/>
      <c r="G26"/>
      <c r="H2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</row>
    <row r="27" spans="1:102">
      <c r="A27"/>
      <c r="B27"/>
      <c r="C27"/>
      <c r="D27"/>
      <c r="E27"/>
      <c r="F27"/>
      <c r="G27"/>
      <c r="H2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</row>
    <row r="28" spans="1:102">
      <c r="A28"/>
      <c r="B28"/>
      <c r="C28"/>
      <c r="D28"/>
      <c r="E28"/>
      <c r="F28"/>
      <c r="G28"/>
      <c r="H2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</row>
    <row r="29" spans="1:102">
      <c r="A29"/>
      <c r="B29"/>
      <c r="C29"/>
      <c r="D29"/>
      <c r="E29"/>
      <c r="F29"/>
      <c r="G29"/>
      <c r="H2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</row>
    <row r="30" spans="1:102">
      <c r="A30"/>
      <c r="B30"/>
      <c r="C30"/>
      <c r="D30"/>
      <c r="E30"/>
      <c r="F30"/>
      <c r="G30"/>
      <c r="H3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</row>
    <row r="31" spans="1:102">
      <c r="A31"/>
      <c r="B31"/>
      <c r="C31"/>
      <c r="D31"/>
      <c r="E31"/>
      <c r="F31"/>
      <c r="G31"/>
      <c r="H3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</row>
    <row r="32" spans="1:102">
      <c r="A32"/>
      <c r="B32"/>
      <c r="C32"/>
      <c r="D32"/>
      <c r="E32"/>
      <c r="F32"/>
      <c r="G32"/>
      <c r="H3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</row>
    <row r="33" spans="1:102">
      <c r="A33"/>
      <c r="B33"/>
      <c r="C33"/>
      <c r="D33"/>
      <c r="E33"/>
      <c r="F33"/>
      <c r="G33"/>
      <c r="H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</row>
    <row r="34" spans="1:102">
      <c r="A34"/>
      <c r="B34"/>
      <c r="C34"/>
      <c r="D34"/>
      <c r="E34"/>
      <c r="F34"/>
      <c r="G34"/>
      <c r="H3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</row>
    <row r="35" spans="1:102">
      <c r="A35"/>
      <c r="B35"/>
      <c r="C35"/>
      <c r="D35"/>
      <c r="E35"/>
      <c r="F35"/>
      <c r="G35"/>
      <c r="H3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</row>
    <row r="36" spans="1:102">
      <c r="A36"/>
      <c r="B36"/>
      <c r="C36"/>
      <c r="D36"/>
      <c r="E36"/>
      <c r="F36"/>
      <c r="G36"/>
      <c r="H3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</row>
    <row r="37" spans="1:102">
      <c r="A37"/>
      <c r="B37"/>
      <c r="C37"/>
      <c r="D37"/>
      <c r="E37"/>
      <c r="F37"/>
      <c r="G37"/>
      <c r="H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</row>
    <row r="38" spans="1:102">
      <c r="A38"/>
      <c r="B38"/>
      <c r="C38"/>
      <c r="D38"/>
      <c r="E38"/>
      <c r="F38"/>
      <c r="G38"/>
      <c r="H3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</row>
    <row r="39" spans="1:102">
      <c r="A39"/>
      <c r="B39"/>
      <c r="C39"/>
      <c r="D39"/>
      <c r="E39"/>
      <c r="F39"/>
      <c r="G39"/>
      <c r="H3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</row>
    <row r="40" spans="1:102">
      <c r="A40"/>
      <c r="B40"/>
      <c r="C40"/>
      <c r="D40"/>
      <c r="E40"/>
      <c r="F40"/>
      <c r="G40"/>
      <c r="H4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</row>
    <row r="41" spans="1:102">
      <c r="A41"/>
      <c r="B41"/>
      <c r="C41"/>
      <c r="D41"/>
      <c r="E41"/>
      <c r="F41"/>
      <c r="G41"/>
      <c r="H4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</row>
    <row r="42" spans="1:102">
      <c r="A42"/>
      <c r="B42"/>
      <c r="C42"/>
      <c r="D42"/>
      <c r="E42"/>
      <c r="F42"/>
      <c r="G42"/>
      <c r="H4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</row>
    <row r="43" spans="1:102">
      <c r="A43"/>
      <c r="B43"/>
      <c r="C43"/>
      <c r="D43"/>
      <c r="E43"/>
      <c r="F43"/>
      <c r="G43"/>
      <c r="H4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</row>
    <row r="44" spans="1:102">
      <c r="A44"/>
      <c r="B44"/>
      <c r="C44"/>
      <c r="D44"/>
      <c r="E44"/>
      <c r="F44"/>
      <c r="G44"/>
      <c r="H4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</row>
    <row r="45" spans="1:102">
      <c r="A45"/>
      <c r="B45"/>
      <c r="C45"/>
      <c r="D45"/>
      <c r="E45"/>
      <c r="F45"/>
      <c r="G45"/>
      <c r="H4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</row>
    <row r="46" spans="1:102">
      <c r="A46"/>
      <c r="B46"/>
      <c r="C46"/>
      <c r="D46"/>
      <c r="E46"/>
      <c r="F46"/>
      <c r="G46"/>
      <c r="H4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</row>
    <row r="47" spans="1:102">
      <c r="A47"/>
      <c r="B47"/>
      <c r="C47"/>
      <c r="D47"/>
      <c r="E47"/>
      <c r="F47"/>
      <c r="G47"/>
      <c r="H4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</row>
    <row r="48" spans="1:102">
      <c r="A48"/>
      <c r="B48"/>
      <c r="C48"/>
      <c r="D48"/>
      <c r="E48"/>
      <c r="F48"/>
      <c r="G48"/>
      <c r="H4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</row>
    <row r="49" spans="1:102">
      <c r="A49"/>
      <c r="B49"/>
      <c r="C49"/>
      <c r="D49"/>
      <c r="E49"/>
      <c r="F49"/>
      <c r="G49"/>
      <c r="H4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</row>
    <row r="50" spans="1:102">
      <c r="A50"/>
      <c r="B50"/>
      <c r="C50"/>
      <c r="D50"/>
      <c r="E50"/>
      <c r="F50"/>
      <c r="G50"/>
      <c r="H5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</row>
    <row r="51" spans="1:102">
      <c r="A51"/>
      <c r="B51"/>
      <c r="C51"/>
      <c r="D51"/>
      <c r="E51"/>
      <c r="F51"/>
      <c r="G51"/>
      <c r="H5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</row>
    <row r="52" spans="1:102">
      <c r="A52"/>
      <c r="B52"/>
      <c r="C52"/>
      <c r="D52"/>
      <c r="E52"/>
      <c r="F52"/>
      <c r="G52"/>
      <c r="H5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</row>
    <row r="53" spans="1:102">
      <c r="A53"/>
      <c r="B53"/>
      <c r="C53"/>
      <c r="D53"/>
      <c r="E53"/>
      <c r="F53"/>
      <c r="G53"/>
      <c r="H5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</row>
    <row r="54" spans="1:102">
      <c r="A54"/>
      <c r="B54"/>
      <c r="C54"/>
      <c r="D54"/>
      <c r="E54"/>
      <c r="F54"/>
      <c r="G54"/>
      <c r="H5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</row>
    <row r="55" spans="1:102">
      <c r="A55"/>
      <c r="B55"/>
      <c r="C55"/>
      <c r="D55"/>
      <c r="E55"/>
      <c r="F55"/>
      <c r="G55"/>
      <c r="H5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</row>
    <row r="56" spans="1:102">
      <c r="A56"/>
      <c r="B56"/>
      <c r="C56"/>
      <c r="D56"/>
      <c r="E56"/>
      <c r="F56"/>
      <c r="G56"/>
      <c r="H5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</row>
    <row r="57" spans="1:102">
      <c r="A57"/>
      <c r="B57"/>
      <c r="C57"/>
      <c r="D57"/>
      <c r="E57"/>
      <c r="F57"/>
      <c r="G57"/>
      <c r="H5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</row>
    <row r="58" spans="1:102">
      <c r="A58"/>
      <c r="B58"/>
      <c r="C58"/>
      <c r="D58"/>
      <c r="E58"/>
      <c r="F58"/>
      <c r="G58"/>
      <c r="H5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</row>
    <row r="59" spans="1:102">
      <c r="A59"/>
      <c r="B59"/>
      <c r="C59"/>
      <c r="D59"/>
      <c r="E59"/>
      <c r="F59"/>
      <c r="G59"/>
      <c r="H5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</row>
    <row r="60" spans="1:102">
      <c r="A60"/>
      <c r="B60"/>
      <c r="C60"/>
      <c r="D60"/>
      <c r="E60"/>
      <c r="F60"/>
      <c r="G60"/>
      <c r="H6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</row>
    <row r="61" spans="1:102">
      <c r="A61"/>
      <c r="B61"/>
      <c r="C61"/>
      <c r="D61"/>
      <c r="E61"/>
      <c r="F61"/>
      <c r="G61"/>
      <c r="H6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</row>
    <row r="62" spans="1:102">
      <c r="A62"/>
      <c r="B62"/>
      <c r="C62"/>
      <c r="D62"/>
      <c r="E62"/>
      <c r="F62"/>
      <c r="G62"/>
      <c r="H6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</row>
    <row r="63" spans="1:102">
      <c r="A63"/>
      <c r="B63"/>
      <c r="C63"/>
      <c r="D63"/>
      <c r="E63"/>
      <c r="F63"/>
      <c r="G63"/>
      <c r="H6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</row>
    <row r="64" spans="1:102">
      <c r="A64"/>
      <c r="B64"/>
      <c r="C64"/>
      <c r="D64"/>
      <c r="E64"/>
      <c r="F64"/>
      <c r="G64"/>
      <c r="H6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</row>
    <row r="65" spans="1:102">
      <c r="A65"/>
      <c r="B65"/>
      <c r="C65"/>
      <c r="D65"/>
      <c r="E65"/>
      <c r="F65"/>
      <c r="G65"/>
      <c r="H6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</row>
    <row r="66" spans="1:102">
      <c r="A66"/>
      <c r="B66"/>
      <c r="C66"/>
      <c r="D66"/>
      <c r="E66"/>
      <c r="F66"/>
      <c r="G66"/>
      <c r="H6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</row>
    <row r="67" spans="1:102">
      <c r="A67"/>
      <c r="B67"/>
      <c r="C67"/>
      <c r="D67"/>
      <c r="E67"/>
      <c r="F67"/>
      <c r="G67"/>
      <c r="H6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</row>
    <row r="68" spans="1:102">
      <c r="A68"/>
      <c r="B68"/>
      <c r="C68"/>
      <c r="D68"/>
      <c r="E68"/>
      <c r="F68"/>
      <c r="G68"/>
      <c r="H6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</row>
    <row r="69" spans="1:102">
      <c r="A69"/>
      <c r="B69"/>
      <c r="C69"/>
      <c r="D69"/>
      <c r="E69"/>
      <c r="F69"/>
      <c r="G69"/>
      <c r="H6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</row>
    <row r="70" spans="1:102">
      <c r="A70"/>
      <c r="B70"/>
      <c r="C70"/>
      <c r="D70"/>
      <c r="E70"/>
      <c r="F70"/>
      <c r="G70"/>
      <c r="H7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</row>
    <row r="71" spans="1:102">
      <c r="A71"/>
      <c r="B71"/>
      <c r="C71"/>
      <c r="D71"/>
      <c r="E71"/>
      <c r="F71"/>
      <c r="G71"/>
      <c r="H7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</row>
    <row r="72" spans="1:102">
      <c r="A72"/>
      <c r="B72"/>
      <c r="C72"/>
      <c r="D72"/>
      <c r="E72"/>
      <c r="F72"/>
      <c r="G72"/>
      <c r="H7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</row>
    <row r="73" spans="1:102">
      <c r="A73"/>
      <c r="B73"/>
      <c r="C73"/>
      <c r="D73"/>
      <c r="E73"/>
      <c r="F73"/>
      <c r="G73"/>
      <c r="H7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</row>
    <row r="74" spans="1:102">
      <c r="A74"/>
      <c r="B74"/>
      <c r="C74"/>
      <c r="D74"/>
      <c r="E74"/>
      <c r="F74"/>
      <c r="G74"/>
      <c r="H7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</row>
    <row r="75" spans="1:102">
      <c r="A75"/>
      <c r="B75"/>
      <c r="C75"/>
      <c r="D75"/>
      <c r="E75"/>
      <c r="F75"/>
      <c r="G75"/>
      <c r="H7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</row>
    <row r="76" spans="1:102">
      <c r="A76"/>
      <c r="B76"/>
      <c r="C76"/>
      <c r="D76"/>
      <c r="E76"/>
      <c r="F76"/>
      <c r="G76"/>
      <c r="H76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</row>
    <row r="77" spans="1:102">
      <c r="A77"/>
      <c r="B77"/>
      <c r="C77"/>
      <c r="D77"/>
      <c r="E77"/>
      <c r="F77"/>
      <c r="G77"/>
      <c r="H7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</row>
    <row r="78" spans="1:102">
      <c r="A78"/>
      <c r="B78"/>
      <c r="C78"/>
      <c r="D78"/>
      <c r="E78"/>
      <c r="F78"/>
      <c r="G78"/>
      <c r="H7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</row>
    <row r="79" spans="1:102">
      <c r="A79"/>
      <c r="B79"/>
      <c r="C79"/>
      <c r="D79"/>
      <c r="E79"/>
      <c r="F79"/>
      <c r="G79"/>
      <c r="H7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</row>
    <row r="80" spans="1:102">
      <c r="A80"/>
      <c r="B80"/>
      <c r="C80"/>
      <c r="D80"/>
      <c r="E80"/>
      <c r="F80"/>
      <c r="G80"/>
      <c r="H8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</row>
    <row r="81" spans="1:102">
      <c r="A81"/>
      <c r="B81"/>
      <c r="C81"/>
      <c r="D81"/>
      <c r="E81"/>
      <c r="F81"/>
      <c r="G81"/>
      <c r="H8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</row>
    <row r="82" spans="1:102">
      <c r="A82"/>
      <c r="B82"/>
      <c r="C82"/>
      <c r="D82"/>
      <c r="E82"/>
      <c r="F82"/>
      <c r="G82"/>
      <c r="H8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</row>
    <row r="83" spans="1:102">
      <c r="A83"/>
      <c r="B83"/>
      <c r="C83"/>
      <c r="D83"/>
      <c r="E83"/>
      <c r="F83"/>
      <c r="G83"/>
      <c r="H8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</row>
    <row r="84" spans="1:102">
      <c r="A84"/>
      <c r="B84"/>
      <c r="C84"/>
      <c r="D84"/>
      <c r="E84"/>
      <c r="F84"/>
      <c r="G84"/>
      <c r="H8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</row>
    <row r="85" spans="1:102">
      <c r="A85"/>
      <c r="B85"/>
      <c r="C85"/>
      <c r="D85"/>
      <c r="E85"/>
      <c r="F85"/>
      <c r="G85"/>
      <c r="H8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</row>
    <row r="86" spans="1:102">
      <c r="A86"/>
      <c r="B86"/>
      <c r="C86"/>
      <c r="D86"/>
      <c r="E86"/>
      <c r="F86"/>
      <c r="G86"/>
      <c r="H8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</row>
    <row r="87" spans="1:102">
      <c r="A87"/>
      <c r="B87"/>
      <c r="C87"/>
      <c r="D87"/>
      <c r="E87"/>
      <c r="F87"/>
      <c r="G87"/>
      <c r="H8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</row>
    <row r="88" spans="1:102">
      <c r="A88"/>
      <c r="B88"/>
      <c r="C88"/>
      <c r="D88"/>
      <c r="E88"/>
      <c r="F88"/>
      <c r="G88"/>
      <c r="H8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</row>
    <row r="89" spans="1:102">
      <c r="A89"/>
      <c r="B89"/>
      <c r="C89"/>
      <c r="D89"/>
      <c r="E89"/>
      <c r="F89"/>
      <c r="G89"/>
      <c r="H8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</row>
    <row r="90" spans="1:102">
      <c r="A90"/>
      <c r="B90"/>
      <c r="C90"/>
      <c r="D90"/>
      <c r="E90"/>
      <c r="F90"/>
      <c r="G90"/>
      <c r="H9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</row>
    <row r="91" spans="1:102">
      <c r="A91"/>
      <c r="B91"/>
      <c r="C91"/>
      <c r="D91"/>
      <c r="E91"/>
      <c r="F91"/>
      <c r="G91"/>
      <c r="H9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</row>
    <row r="92" spans="1:102">
      <c r="A92"/>
      <c r="B92"/>
      <c r="C92"/>
      <c r="D92"/>
      <c r="E92"/>
      <c r="F92"/>
      <c r="G92"/>
      <c r="H9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</row>
    <row r="93" spans="1:102">
      <c r="A93"/>
      <c r="B93"/>
      <c r="C93"/>
      <c r="D93"/>
      <c r="E93"/>
      <c r="F93"/>
      <c r="G93"/>
      <c r="H9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</row>
    <row r="94" spans="1:102">
      <c r="A94"/>
      <c r="B94"/>
      <c r="C94"/>
      <c r="D94"/>
      <c r="E94"/>
      <c r="F94"/>
      <c r="G94"/>
      <c r="H9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</row>
    <row r="95" spans="1:102">
      <c r="A95"/>
      <c r="B95"/>
      <c r="C95"/>
      <c r="D95"/>
      <c r="E95"/>
      <c r="F95"/>
      <c r="G95"/>
      <c r="H9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</row>
    <row r="96" spans="1:102">
      <c r="A96"/>
      <c r="B96"/>
      <c r="C96"/>
      <c r="D96"/>
      <c r="E96"/>
      <c r="F96"/>
      <c r="G96"/>
      <c r="H9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</row>
    <row r="97" spans="1:102">
      <c r="A97"/>
      <c r="B97"/>
      <c r="C97"/>
      <c r="D97"/>
      <c r="E97"/>
      <c r="F97"/>
      <c r="G97"/>
      <c r="H9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</row>
    <row r="98" spans="1:102">
      <c r="A98"/>
      <c r="B98"/>
      <c r="C98"/>
      <c r="D98"/>
      <c r="E98"/>
      <c r="F98"/>
      <c r="G98"/>
      <c r="H9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</row>
    <row r="99" spans="1:102">
      <c r="A99"/>
      <c r="B99"/>
      <c r="C99"/>
      <c r="D99"/>
      <c r="E99"/>
      <c r="F99"/>
      <c r="G99"/>
      <c r="H9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</row>
    <row r="100" spans="1:102">
      <c r="A100"/>
      <c r="B100"/>
      <c r="C100"/>
      <c r="D100"/>
      <c r="E100"/>
      <c r="F100"/>
      <c r="G100"/>
      <c r="H10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</row>
    <row r="101" spans="1:102">
      <c r="A101"/>
      <c r="B101"/>
      <c r="C101"/>
      <c r="D101"/>
      <c r="E101"/>
      <c r="F101"/>
      <c r="G101"/>
      <c r="H10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</row>
    <row r="102" spans="1:102">
      <c r="A102"/>
      <c r="B102"/>
      <c r="C102"/>
      <c r="D102"/>
      <c r="E102"/>
      <c r="F102"/>
      <c r="G102"/>
      <c r="H10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</row>
    <row r="103" spans="1:102">
      <c r="A103"/>
      <c r="B103"/>
      <c r="C103"/>
      <c r="D103"/>
      <c r="E103"/>
      <c r="F103"/>
      <c r="G103"/>
      <c r="H10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</row>
    <row r="104" spans="1:102">
      <c r="A104"/>
      <c r="B104"/>
      <c r="C104"/>
      <c r="D104"/>
      <c r="E104"/>
      <c r="F104"/>
      <c r="G104"/>
      <c r="H10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</row>
    <row r="105" spans="1:102">
      <c r="A105"/>
      <c r="B105"/>
      <c r="C105"/>
      <c r="D105"/>
      <c r="E105"/>
      <c r="F105"/>
      <c r="G105"/>
      <c r="H10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</row>
    <row r="106" spans="1:102">
      <c r="A106"/>
      <c r="B106"/>
      <c r="C106"/>
      <c r="D106"/>
      <c r="E106"/>
      <c r="F106"/>
      <c r="G106"/>
      <c r="H106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</row>
    <row r="107" spans="1:102">
      <c r="A107"/>
      <c r="B107"/>
      <c r="C107"/>
      <c r="D107"/>
      <c r="E107"/>
      <c r="F107"/>
      <c r="G107"/>
      <c r="H10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</row>
    <row r="108" spans="1:102">
      <c r="A108"/>
      <c r="B108"/>
      <c r="C108"/>
      <c r="D108"/>
      <c r="E108"/>
      <c r="F108"/>
      <c r="G108"/>
      <c r="H10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</row>
    <row r="109" spans="1:102">
      <c r="A109"/>
      <c r="B109"/>
      <c r="C109"/>
      <c r="D109"/>
      <c r="E109"/>
      <c r="F109"/>
      <c r="G109"/>
      <c r="H10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</row>
    <row r="110" spans="1:102">
      <c r="A110"/>
      <c r="B110"/>
      <c r="C110"/>
      <c r="D110"/>
      <c r="E110"/>
      <c r="F110"/>
      <c r="G110"/>
      <c r="H110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</row>
    <row r="111" spans="1:102">
      <c r="A111"/>
      <c r="B111"/>
      <c r="C111"/>
      <c r="D111"/>
      <c r="E111"/>
      <c r="F111"/>
      <c r="G111"/>
      <c r="H11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</row>
    <row r="112" spans="1:102">
      <c r="A112"/>
      <c r="B112"/>
      <c r="C112"/>
      <c r="D112"/>
      <c r="E112"/>
      <c r="F112"/>
      <c r="G112"/>
      <c r="H11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</row>
    <row r="113" spans="1:102">
      <c r="A113"/>
      <c r="B113"/>
      <c r="C113"/>
      <c r="D113"/>
      <c r="E113"/>
      <c r="F113"/>
      <c r="G113"/>
      <c r="H11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</row>
    <row r="114" spans="1:102">
      <c r="A114"/>
      <c r="B114"/>
      <c r="C114"/>
      <c r="D114"/>
      <c r="E114"/>
      <c r="F114"/>
      <c r="G114"/>
      <c r="H11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</row>
    <row r="115" spans="1:102">
      <c r="A115"/>
      <c r="B115"/>
      <c r="C115"/>
      <c r="D115"/>
      <c r="E115"/>
      <c r="F115"/>
      <c r="G115"/>
      <c r="H11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</row>
    <row r="116" spans="1:102">
      <c r="A116"/>
      <c r="B116"/>
      <c r="C116"/>
      <c r="D116"/>
      <c r="E116"/>
      <c r="F116"/>
      <c r="G116"/>
      <c r="H11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</row>
    <row r="117" spans="1:102">
      <c r="A117"/>
      <c r="B117"/>
      <c r="C117"/>
      <c r="D117"/>
      <c r="E117"/>
      <c r="F117"/>
      <c r="G117"/>
      <c r="H11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</row>
    <row r="118" spans="1:102">
      <c r="A118"/>
      <c r="B118"/>
      <c r="C118"/>
      <c r="D118"/>
      <c r="E118"/>
      <c r="F118"/>
      <c r="G118"/>
      <c r="H11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</row>
    <row r="119" spans="1:102">
      <c r="A119"/>
      <c r="B119"/>
      <c r="C119"/>
      <c r="D119"/>
      <c r="E119"/>
      <c r="F119"/>
      <c r="G119"/>
      <c r="H11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</row>
    <row r="120" spans="1:102">
      <c r="A120"/>
      <c r="B120"/>
      <c r="C120"/>
      <c r="D120"/>
      <c r="E120"/>
      <c r="F120"/>
      <c r="G120"/>
      <c r="H120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</row>
    <row r="121" spans="1:102">
      <c r="A121"/>
      <c r="B121"/>
      <c r="C121"/>
      <c r="D121"/>
      <c r="E121"/>
      <c r="F121"/>
      <c r="G121"/>
      <c r="H1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</row>
    <row r="122" spans="1:102">
      <c r="A122"/>
      <c r="B122"/>
      <c r="C122"/>
      <c r="D122"/>
      <c r="E122"/>
      <c r="F122"/>
      <c r="G122"/>
      <c r="H12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</row>
    <row r="123" spans="1:102">
      <c r="A123"/>
      <c r="B123"/>
      <c r="C123"/>
      <c r="D123"/>
      <c r="E123"/>
      <c r="F123"/>
      <c r="G123"/>
      <c r="H12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</row>
    <row r="124" spans="1:102">
      <c r="A124"/>
      <c r="B124"/>
      <c r="C124"/>
      <c r="D124"/>
      <c r="E124"/>
      <c r="F124"/>
      <c r="G124"/>
      <c r="H12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</row>
    <row r="125" spans="1:102">
      <c r="A125"/>
      <c r="B125"/>
      <c r="C125"/>
      <c r="D125"/>
      <c r="E125"/>
      <c r="F125"/>
      <c r="G125"/>
      <c r="H12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</row>
    <row r="126" spans="1:102">
      <c r="A126"/>
      <c r="B126"/>
      <c r="C126"/>
      <c r="D126"/>
      <c r="E126"/>
      <c r="F126"/>
      <c r="G126"/>
      <c r="H12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</row>
    <row r="127" spans="1:102">
      <c r="A127"/>
      <c r="B127"/>
      <c r="C127"/>
      <c r="D127"/>
      <c r="E127"/>
      <c r="F127"/>
      <c r="G127"/>
      <c r="H12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</row>
    <row r="128" spans="1:102">
      <c r="A128"/>
      <c r="B128"/>
      <c r="C128"/>
      <c r="D128"/>
      <c r="E128"/>
      <c r="F128"/>
      <c r="G128"/>
      <c r="H12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</row>
    <row r="129" spans="1:102">
      <c r="A129"/>
      <c r="B129"/>
      <c r="C129"/>
      <c r="D129"/>
      <c r="E129"/>
      <c r="F129"/>
      <c r="G129"/>
      <c r="H12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</row>
    <row r="130" spans="1:102">
      <c r="A130"/>
      <c r="B130"/>
      <c r="C130"/>
      <c r="D130"/>
      <c r="E130"/>
      <c r="F130"/>
      <c r="G130"/>
      <c r="H130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</row>
    <row r="131" spans="1:102">
      <c r="A131"/>
      <c r="B131"/>
      <c r="C131"/>
      <c r="D131"/>
      <c r="E131"/>
      <c r="F131"/>
      <c r="G131"/>
      <c r="H13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</row>
    <row r="132" spans="1:102">
      <c r="A132"/>
      <c r="B132"/>
      <c r="C132"/>
      <c r="D132"/>
      <c r="E132"/>
      <c r="F132"/>
      <c r="G132"/>
      <c r="H13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</row>
    <row r="133" spans="1:102">
      <c r="A133"/>
      <c r="B133"/>
      <c r="C133"/>
      <c r="D133"/>
      <c r="E133"/>
      <c r="F133"/>
      <c r="G133"/>
      <c r="H13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</row>
    <row r="134" spans="1:102">
      <c r="A134"/>
      <c r="B134"/>
      <c r="C134"/>
      <c r="D134"/>
      <c r="E134"/>
      <c r="F134"/>
      <c r="G134"/>
      <c r="H13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</row>
    <row r="135" spans="1:102">
      <c r="A135"/>
      <c r="B135"/>
      <c r="C135"/>
      <c r="D135"/>
      <c r="E135"/>
      <c r="F135"/>
      <c r="G135"/>
      <c r="H13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</row>
    <row r="136" spans="1:102">
      <c r="A136"/>
      <c r="B136"/>
      <c r="C136"/>
      <c r="D136"/>
      <c r="E136"/>
      <c r="F136"/>
      <c r="G136"/>
      <c r="H136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</row>
    <row r="137" spans="1:102">
      <c r="A137"/>
      <c r="B137"/>
      <c r="C137"/>
      <c r="D137"/>
      <c r="E137"/>
      <c r="F137"/>
      <c r="G137"/>
      <c r="H13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</row>
    <row r="138" spans="1:102">
      <c r="A138"/>
      <c r="B138"/>
      <c r="C138"/>
      <c r="D138"/>
      <c r="E138"/>
      <c r="F138"/>
      <c r="G138"/>
      <c r="H13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</row>
    <row r="139" spans="1:102">
      <c r="A139"/>
      <c r="B139"/>
      <c r="C139"/>
      <c r="D139"/>
      <c r="E139"/>
      <c r="F139"/>
      <c r="G139"/>
      <c r="H13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</row>
    <row r="140" spans="1:102">
      <c r="A140"/>
      <c r="B140"/>
      <c r="C140"/>
      <c r="D140"/>
      <c r="E140"/>
      <c r="F140"/>
      <c r="G140"/>
      <c r="H140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</row>
    <row r="141" spans="1:102">
      <c r="A141"/>
      <c r="B141"/>
      <c r="C141"/>
      <c r="D141"/>
      <c r="E141"/>
      <c r="F141"/>
      <c r="G141"/>
      <c r="H14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</row>
    <row r="142" spans="1:102">
      <c r="A142"/>
      <c r="B142"/>
      <c r="C142"/>
      <c r="D142"/>
      <c r="E142"/>
      <c r="F142"/>
      <c r="G142"/>
      <c r="H14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</row>
    <row r="143" spans="1:102">
      <c r="A143"/>
      <c r="B143"/>
      <c r="C143"/>
      <c r="D143"/>
      <c r="E143"/>
      <c r="F143"/>
      <c r="G143"/>
      <c r="H14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</row>
    <row r="144" spans="1:102">
      <c r="A144"/>
      <c r="B144"/>
      <c r="C144"/>
      <c r="D144"/>
      <c r="E144"/>
      <c r="F144"/>
      <c r="G144"/>
      <c r="H14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</row>
    <row r="145" spans="1:102">
      <c r="A145"/>
      <c r="B145"/>
      <c r="C145"/>
      <c r="D145"/>
      <c r="E145"/>
      <c r="F145"/>
      <c r="G145"/>
      <c r="H14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</row>
    <row r="146" spans="1:102">
      <c r="A146"/>
      <c r="B146"/>
      <c r="C146"/>
      <c r="D146"/>
      <c r="E146"/>
      <c r="F146"/>
      <c r="G146"/>
      <c r="H146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</row>
    <row r="147" spans="1:102">
      <c r="A147"/>
      <c r="B147"/>
      <c r="C147"/>
      <c r="D147"/>
      <c r="E147"/>
      <c r="F147"/>
      <c r="G147"/>
      <c r="H1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</row>
    <row r="148" spans="1:102">
      <c r="A148"/>
      <c r="B148"/>
      <c r="C148"/>
      <c r="D148"/>
      <c r="E148"/>
      <c r="F148"/>
      <c r="G148"/>
      <c r="H14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</row>
    <row r="149" spans="1:102">
      <c r="A149"/>
      <c r="B149"/>
      <c r="C149"/>
      <c r="D149"/>
      <c r="E149"/>
      <c r="F149"/>
      <c r="G149"/>
      <c r="H14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</row>
    <row r="150" spans="1:102">
      <c r="A150"/>
      <c r="B150"/>
      <c r="C150"/>
      <c r="D150"/>
      <c r="E150"/>
      <c r="F150"/>
      <c r="G150"/>
      <c r="H150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</row>
    <row r="151" spans="1:102">
      <c r="A151"/>
      <c r="B151"/>
      <c r="C151"/>
      <c r="D151"/>
      <c r="E151"/>
      <c r="F151"/>
      <c r="G151"/>
      <c r="H15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</row>
    <row r="152" spans="1:102">
      <c r="A152"/>
      <c r="B152"/>
      <c r="C152"/>
      <c r="D152"/>
      <c r="E152"/>
      <c r="F152"/>
      <c r="G152"/>
      <c r="H15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</row>
    <row r="153" spans="1:102">
      <c r="A153"/>
      <c r="B153"/>
      <c r="C153"/>
      <c r="D153"/>
      <c r="E153"/>
      <c r="F153"/>
      <c r="G153"/>
      <c r="H15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</row>
    <row r="154" spans="1:102">
      <c r="A154"/>
      <c r="B154"/>
      <c r="C154"/>
      <c r="D154"/>
      <c r="E154"/>
      <c r="F154"/>
      <c r="G154"/>
      <c r="H15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</row>
    <row r="155" spans="1:102">
      <c r="A155"/>
      <c r="B155"/>
      <c r="C155"/>
      <c r="D155"/>
      <c r="E155"/>
      <c r="F155"/>
      <c r="G155"/>
      <c r="H15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</row>
    <row r="156" spans="1:102">
      <c r="A156"/>
      <c r="B156"/>
      <c r="C156"/>
      <c r="D156"/>
      <c r="E156"/>
      <c r="F156"/>
      <c r="G156"/>
      <c r="H156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</row>
    <row r="157" spans="1:102">
      <c r="A157"/>
      <c r="B157"/>
      <c r="C157"/>
      <c r="D157"/>
      <c r="E157"/>
      <c r="F157"/>
      <c r="G157"/>
      <c r="H15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</row>
    <row r="158" spans="1:102">
      <c r="A158"/>
      <c r="B158"/>
      <c r="C158"/>
      <c r="D158"/>
      <c r="E158"/>
      <c r="F158"/>
      <c r="G158"/>
      <c r="H15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</row>
    <row r="159" spans="1:102">
      <c r="A159"/>
      <c r="B159"/>
      <c r="C159"/>
      <c r="D159"/>
      <c r="E159"/>
      <c r="F159"/>
      <c r="G159"/>
      <c r="H15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</row>
    <row r="160" spans="1:102">
      <c r="A160"/>
      <c r="B160"/>
      <c r="C160"/>
      <c r="D160"/>
      <c r="E160"/>
      <c r="F160"/>
      <c r="G160"/>
      <c r="H160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</row>
    <row r="161" spans="1:102">
      <c r="A161"/>
      <c r="B161"/>
      <c r="C161"/>
      <c r="D161"/>
      <c r="E161"/>
      <c r="F161"/>
      <c r="G161"/>
      <c r="H16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</row>
    <row r="162" spans="1:102">
      <c r="A162"/>
      <c r="B162"/>
      <c r="C162"/>
      <c r="D162"/>
      <c r="E162"/>
      <c r="F162"/>
      <c r="G162"/>
      <c r="H16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</row>
    <row r="163" spans="1:102">
      <c r="A163"/>
      <c r="B163"/>
      <c r="C163"/>
      <c r="D163"/>
      <c r="E163"/>
      <c r="F163"/>
      <c r="G163"/>
      <c r="H16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</row>
    <row r="164" spans="1:102">
      <c r="A164"/>
      <c r="B164"/>
      <c r="C164"/>
      <c r="D164"/>
      <c r="E164"/>
      <c r="F164"/>
      <c r="G164"/>
      <c r="H16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</row>
    <row r="165" spans="1:102">
      <c r="A165"/>
      <c r="B165"/>
      <c r="C165"/>
      <c r="D165"/>
      <c r="E165"/>
      <c r="F165"/>
      <c r="G165"/>
      <c r="H16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</row>
    <row r="166" spans="1:102">
      <c r="A166"/>
      <c r="B166"/>
      <c r="C166"/>
      <c r="D166"/>
      <c r="E166"/>
      <c r="F166"/>
      <c r="G166"/>
      <c r="H166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</row>
    <row r="167" spans="1:102">
      <c r="A167"/>
      <c r="B167"/>
      <c r="C167"/>
      <c r="D167"/>
      <c r="E167"/>
      <c r="F167"/>
      <c r="G167"/>
      <c r="H16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</row>
    <row r="168" spans="1:102">
      <c r="A168"/>
      <c r="B168"/>
      <c r="C168"/>
      <c r="D168"/>
      <c r="E168"/>
      <c r="F168"/>
      <c r="G168"/>
      <c r="H16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</row>
    <row r="169" spans="1:102">
      <c r="A169"/>
      <c r="B169"/>
      <c r="C169"/>
      <c r="D169"/>
      <c r="E169"/>
      <c r="F169"/>
      <c r="G169"/>
      <c r="H16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</row>
    <row r="170" spans="1:102">
      <c r="A170"/>
      <c r="B170"/>
      <c r="C170"/>
      <c r="D170"/>
      <c r="E170"/>
      <c r="F170"/>
      <c r="G170"/>
      <c r="H170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</row>
    <row r="171" spans="1:102">
      <c r="A171"/>
      <c r="B171"/>
      <c r="C171"/>
      <c r="D171"/>
      <c r="E171"/>
      <c r="F171"/>
      <c r="G171"/>
      <c r="H17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</row>
    <row r="172" spans="1:102">
      <c r="A172"/>
      <c r="B172"/>
      <c r="C172"/>
      <c r="D172"/>
      <c r="E172"/>
      <c r="F172"/>
      <c r="G172"/>
      <c r="H17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</row>
    <row r="173" spans="1:102">
      <c r="A173"/>
      <c r="B173"/>
      <c r="C173"/>
      <c r="D173"/>
      <c r="E173"/>
      <c r="F173"/>
      <c r="G173"/>
      <c r="H17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</row>
    <row r="174" spans="1:102">
      <c r="A174"/>
      <c r="B174"/>
      <c r="C174"/>
      <c r="D174"/>
      <c r="E174"/>
      <c r="F174"/>
      <c r="G174"/>
      <c r="H17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</row>
    <row r="175" spans="1:102">
      <c r="A175"/>
      <c r="B175"/>
      <c r="C175"/>
      <c r="D175"/>
      <c r="E175"/>
      <c r="F175"/>
      <c r="G175"/>
      <c r="H17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</row>
    <row r="176" spans="1:102">
      <c r="A176"/>
      <c r="B176"/>
      <c r="C176"/>
      <c r="D176"/>
      <c r="E176"/>
      <c r="F176"/>
      <c r="G176"/>
      <c r="H176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</row>
    <row r="177" spans="1:102">
      <c r="A177"/>
      <c r="B177"/>
      <c r="C177"/>
      <c r="D177"/>
      <c r="E177"/>
      <c r="F177"/>
      <c r="G177"/>
      <c r="H17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</row>
    <row r="178" spans="1:102">
      <c r="A178"/>
      <c r="B178"/>
      <c r="C178"/>
      <c r="D178"/>
      <c r="E178"/>
      <c r="F178"/>
      <c r="G178"/>
      <c r="H17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</row>
    <row r="179" spans="1:102">
      <c r="A179"/>
      <c r="B179"/>
      <c r="C179"/>
      <c r="D179"/>
      <c r="E179"/>
      <c r="F179"/>
      <c r="G179"/>
      <c r="H17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</row>
    <row r="180" spans="1:102">
      <c r="A180"/>
      <c r="B180"/>
      <c r="C180"/>
      <c r="D180"/>
      <c r="E180"/>
      <c r="F180"/>
      <c r="G180"/>
      <c r="H180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</row>
    <row r="181" spans="1:102">
      <c r="A181"/>
      <c r="B181"/>
      <c r="C181"/>
      <c r="D181"/>
      <c r="E181"/>
      <c r="F181"/>
      <c r="G181"/>
      <c r="H18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</row>
    <row r="182" spans="1:102">
      <c r="A182"/>
      <c r="B182"/>
      <c r="C182"/>
      <c r="D182"/>
      <c r="E182"/>
      <c r="F182"/>
      <c r="G182"/>
      <c r="H18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</row>
    <row r="183" spans="1:102">
      <c r="A183"/>
      <c r="B183"/>
      <c r="C183"/>
      <c r="D183"/>
      <c r="E183"/>
      <c r="F183"/>
      <c r="G183"/>
      <c r="H18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</row>
    <row r="184" spans="1:102">
      <c r="A184"/>
      <c r="B184"/>
      <c r="C184"/>
      <c r="D184"/>
      <c r="E184"/>
      <c r="F184"/>
      <c r="G184"/>
      <c r="H18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</row>
    <row r="185" spans="1:102">
      <c r="A185"/>
      <c r="B185"/>
      <c r="C185"/>
      <c r="D185"/>
      <c r="E185"/>
      <c r="F185"/>
      <c r="G185"/>
      <c r="H18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</row>
    <row r="186" spans="1:102">
      <c r="A186"/>
      <c r="B186"/>
      <c r="C186"/>
      <c r="D186"/>
      <c r="E186"/>
      <c r="F186"/>
      <c r="G186"/>
      <c r="H186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</row>
    <row r="187" spans="1:102">
      <c r="A187"/>
      <c r="B187"/>
      <c r="C187"/>
      <c r="D187"/>
      <c r="E187"/>
      <c r="F187"/>
      <c r="G187"/>
      <c r="H18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</row>
    <row r="188" spans="1:102">
      <c r="A188"/>
      <c r="B188"/>
      <c r="C188"/>
      <c r="D188"/>
      <c r="E188"/>
      <c r="F188"/>
      <c r="G188"/>
      <c r="H18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</row>
    <row r="189" spans="1:102">
      <c r="A189"/>
      <c r="B189"/>
      <c r="C189"/>
      <c r="D189"/>
      <c r="E189"/>
      <c r="F189"/>
      <c r="G189"/>
      <c r="H18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</row>
    <row r="190" spans="1:102">
      <c r="A190"/>
      <c r="B190"/>
      <c r="C190"/>
      <c r="D190"/>
      <c r="E190"/>
      <c r="F190"/>
      <c r="G190"/>
      <c r="H190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</row>
    <row r="191" spans="1:102">
      <c r="A191"/>
      <c r="B191"/>
      <c r="C191"/>
      <c r="D191"/>
      <c r="E191"/>
      <c r="F191"/>
      <c r="G191"/>
      <c r="H19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</row>
    <row r="192" spans="1:102">
      <c r="A192"/>
      <c r="B192"/>
      <c r="C192"/>
      <c r="D192"/>
      <c r="E192"/>
      <c r="F192"/>
      <c r="G192"/>
      <c r="H19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</row>
    <row r="193" spans="1:102">
      <c r="A193"/>
      <c r="B193"/>
      <c r="C193"/>
      <c r="D193"/>
      <c r="E193"/>
      <c r="F193"/>
      <c r="G193"/>
      <c r="H19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</row>
    <row r="194" spans="1:102">
      <c r="A194"/>
      <c r="B194"/>
      <c r="C194"/>
      <c r="D194"/>
      <c r="E194"/>
      <c r="F194"/>
      <c r="G194"/>
      <c r="H19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</row>
    <row r="195" spans="1:102">
      <c r="A195"/>
      <c r="B195"/>
      <c r="C195"/>
      <c r="D195"/>
      <c r="E195"/>
      <c r="F195"/>
      <c r="G195"/>
      <c r="H19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</row>
    <row r="196" spans="1:102">
      <c r="A196"/>
      <c r="B196"/>
      <c r="C196"/>
      <c r="D196"/>
      <c r="E196"/>
      <c r="F196"/>
      <c r="G196"/>
      <c r="H196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</row>
    <row r="197" spans="1:102">
      <c r="A197"/>
      <c r="B197"/>
      <c r="C197"/>
      <c r="D197"/>
      <c r="E197"/>
      <c r="F197"/>
      <c r="G197"/>
      <c r="H19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</row>
    <row r="198" spans="1:102">
      <c r="A198"/>
      <c r="B198"/>
      <c r="C198"/>
      <c r="D198"/>
      <c r="E198"/>
      <c r="F198"/>
      <c r="G198"/>
      <c r="H19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</row>
    <row r="199" spans="1:102">
      <c r="A199"/>
      <c r="B199"/>
      <c r="C199"/>
      <c r="D199"/>
      <c r="E199"/>
      <c r="F199"/>
      <c r="G199"/>
      <c r="H19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</row>
    <row r="200" spans="1:102">
      <c r="A200"/>
      <c r="B200"/>
      <c r="C200"/>
      <c r="D200"/>
      <c r="E200"/>
      <c r="F200"/>
      <c r="G200"/>
      <c r="H200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</row>
    <row r="201" spans="1:102">
      <c r="A201"/>
      <c r="B201"/>
      <c r="C201"/>
      <c r="D201"/>
      <c r="E201"/>
      <c r="F201"/>
      <c r="G201"/>
      <c r="H20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</row>
    <row r="202" spans="1:102">
      <c r="A202"/>
      <c r="B202"/>
      <c r="C202"/>
      <c r="D202"/>
      <c r="E202"/>
      <c r="F202"/>
      <c r="G202"/>
      <c r="H20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</row>
    <row r="203" spans="1:102">
      <c r="A203"/>
      <c r="B203"/>
      <c r="C203"/>
      <c r="D203"/>
      <c r="E203"/>
      <c r="F203"/>
      <c r="G203"/>
      <c r="H20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</row>
    <row r="204" spans="1:102">
      <c r="A204"/>
      <c r="B204"/>
      <c r="C204"/>
      <c r="D204"/>
      <c r="E204"/>
      <c r="F204"/>
      <c r="G204"/>
      <c r="H20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</row>
    <row r="205" spans="1:102">
      <c r="A205"/>
      <c r="B205"/>
      <c r="C205"/>
      <c r="D205"/>
      <c r="E205"/>
      <c r="F205"/>
      <c r="G205"/>
      <c r="H20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</row>
    <row r="206" spans="1:102">
      <c r="A206"/>
      <c r="B206"/>
      <c r="C206"/>
      <c r="D206"/>
      <c r="E206"/>
      <c r="F206"/>
      <c r="G206"/>
      <c r="H206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</row>
    <row r="207" spans="1:102">
      <c r="A207"/>
      <c r="B207"/>
      <c r="C207"/>
      <c r="D207"/>
      <c r="E207"/>
      <c r="F207"/>
      <c r="G207"/>
      <c r="H20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</row>
    <row r="208" spans="1:102">
      <c r="A208"/>
      <c r="B208"/>
      <c r="C208"/>
      <c r="D208"/>
      <c r="E208"/>
      <c r="F208"/>
      <c r="G208"/>
      <c r="H20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</row>
    <row r="209" spans="1:102">
      <c r="A209"/>
      <c r="B209"/>
      <c r="C209"/>
      <c r="D209"/>
      <c r="E209"/>
      <c r="F209"/>
      <c r="G209"/>
      <c r="H209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</row>
    <row r="210" spans="1:102">
      <c r="A210"/>
      <c r="B210"/>
      <c r="C210"/>
      <c r="D210"/>
      <c r="E210"/>
      <c r="F210"/>
      <c r="G210"/>
      <c r="H210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</row>
    <row r="211" spans="1:102">
      <c r="A211"/>
      <c r="B211"/>
      <c r="C211"/>
      <c r="D211"/>
      <c r="E211"/>
      <c r="F211"/>
      <c r="G211"/>
      <c r="H21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</row>
    <row r="212" spans="1:102">
      <c r="A212"/>
      <c r="B212"/>
      <c r="C212"/>
      <c r="D212"/>
      <c r="E212"/>
      <c r="F212"/>
      <c r="G212"/>
      <c r="H21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</row>
    <row r="213" spans="1:102">
      <c r="A213"/>
      <c r="B213"/>
      <c r="C213"/>
      <c r="D213"/>
      <c r="E213"/>
      <c r="F213"/>
      <c r="G213"/>
      <c r="H21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</row>
    <row r="214" spans="1:102">
      <c r="A214"/>
      <c r="B214"/>
      <c r="C214"/>
      <c r="D214"/>
      <c r="E214"/>
      <c r="F214"/>
      <c r="G214"/>
      <c r="H21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</row>
    <row r="215" spans="1:102">
      <c r="A215"/>
      <c r="B215"/>
      <c r="C215"/>
      <c r="D215"/>
      <c r="E215"/>
      <c r="F215"/>
      <c r="G215"/>
      <c r="H21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</row>
    <row r="216" spans="1:102">
      <c r="A216"/>
      <c r="B216"/>
      <c r="C216"/>
      <c r="D216"/>
      <c r="E216"/>
      <c r="F216"/>
      <c r="G216"/>
      <c r="H21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</row>
    <row r="217" spans="1:102">
      <c r="A217"/>
      <c r="B217"/>
      <c r="C217"/>
      <c r="D217"/>
      <c r="E217"/>
      <c r="F217"/>
      <c r="G217"/>
      <c r="H21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</row>
    <row r="218" spans="1:102">
      <c r="A218"/>
      <c r="B218"/>
      <c r="C218"/>
      <c r="D218"/>
      <c r="E218"/>
      <c r="F218"/>
      <c r="G218"/>
      <c r="H21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</row>
    <row r="219" spans="1:102">
      <c r="A219"/>
      <c r="B219"/>
      <c r="C219"/>
      <c r="D219"/>
      <c r="E219"/>
      <c r="F219"/>
      <c r="G219"/>
      <c r="H21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</row>
    <row r="220" spans="1:102">
      <c r="A220"/>
      <c r="B220"/>
      <c r="C220"/>
      <c r="D220"/>
      <c r="E220"/>
      <c r="F220"/>
      <c r="G220"/>
      <c r="H220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</row>
    <row r="221" spans="1:102">
      <c r="A221"/>
      <c r="B221"/>
      <c r="C221"/>
      <c r="D221"/>
      <c r="E221"/>
      <c r="F221"/>
      <c r="G221"/>
      <c r="H2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</row>
    <row r="222" spans="1:102">
      <c r="A222"/>
      <c r="B222"/>
      <c r="C222"/>
      <c r="D222"/>
      <c r="E222"/>
      <c r="F222"/>
      <c r="G222"/>
      <c r="H22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</row>
    <row r="223" spans="1:102">
      <c r="A223"/>
      <c r="B223"/>
      <c r="C223"/>
      <c r="D223"/>
      <c r="E223"/>
      <c r="F223"/>
      <c r="G223"/>
      <c r="H22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</row>
    <row r="224" spans="1:102">
      <c r="A224"/>
      <c r="B224"/>
      <c r="C224"/>
      <c r="D224"/>
      <c r="E224"/>
      <c r="F224"/>
      <c r="G224"/>
      <c r="H22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</row>
    <row r="225" spans="1:102">
      <c r="A225"/>
      <c r="B225"/>
      <c r="C225"/>
      <c r="D225"/>
      <c r="E225"/>
      <c r="F225"/>
      <c r="G225"/>
      <c r="H22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</row>
    <row r="226" spans="1:102">
      <c r="A226"/>
      <c r="B226"/>
      <c r="C226"/>
      <c r="D226"/>
      <c r="E226"/>
      <c r="F226"/>
      <c r="G226"/>
      <c r="H226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</row>
    <row r="227" spans="1:102">
      <c r="A227"/>
      <c r="B227"/>
      <c r="C227"/>
      <c r="D227"/>
      <c r="E227"/>
      <c r="F227"/>
      <c r="G227"/>
      <c r="H22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</row>
    <row r="228" spans="1:102">
      <c r="A228"/>
      <c r="B228"/>
      <c r="C228"/>
      <c r="D228"/>
      <c r="E228"/>
      <c r="F228"/>
      <c r="G228"/>
      <c r="H22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</row>
    <row r="229" spans="1:102">
      <c r="A229"/>
      <c r="B229"/>
      <c r="C229"/>
      <c r="D229"/>
      <c r="E229"/>
      <c r="F229"/>
      <c r="G229"/>
      <c r="H229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</row>
    <row r="230" spans="1:102">
      <c r="A230"/>
      <c r="B230"/>
      <c r="C230"/>
      <c r="D230"/>
      <c r="E230"/>
      <c r="F230"/>
      <c r="G230"/>
      <c r="H230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</row>
    <row r="231" spans="1:102">
      <c r="A231"/>
      <c r="B231"/>
      <c r="C231"/>
      <c r="D231"/>
      <c r="E231"/>
      <c r="F231"/>
      <c r="G231"/>
      <c r="H23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</row>
    <row r="232" spans="1:102">
      <c r="A232"/>
      <c r="B232"/>
      <c r="C232"/>
      <c r="D232"/>
      <c r="E232"/>
      <c r="F232"/>
      <c r="G232"/>
      <c r="H23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</row>
    <row r="233" spans="1:102">
      <c r="A233"/>
      <c r="B233"/>
      <c r="C233"/>
      <c r="D233"/>
      <c r="E233"/>
      <c r="F233"/>
      <c r="G233"/>
      <c r="H23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</row>
    <row r="234" spans="1:102">
      <c r="A234"/>
      <c r="B234"/>
      <c r="C234"/>
      <c r="D234"/>
      <c r="E234"/>
      <c r="F234"/>
      <c r="G234"/>
      <c r="H23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</row>
    <row r="235" spans="1:102">
      <c r="A235"/>
      <c r="B235"/>
      <c r="C235"/>
      <c r="D235"/>
      <c r="E235"/>
      <c r="F235"/>
      <c r="G235"/>
      <c r="H23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</row>
    <row r="236" spans="1:102">
      <c r="A236"/>
      <c r="B236"/>
      <c r="C236"/>
      <c r="D236"/>
      <c r="E236"/>
      <c r="F236"/>
      <c r="G236"/>
      <c r="H236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</row>
    <row r="237" spans="1:102">
      <c r="A237"/>
      <c r="B237"/>
      <c r="C237"/>
      <c r="D237"/>
      <c r="E237"/>
      <c r="F237"/>
      <c r="G237"/>
      <c r="H23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</row>
    <row r="238" spans="1:102">
      <c r="A238"/>
      <c r="B238"/>
      <c r="C238"/>
      <c r="D238"/>
      <c r="E238"/>
      <c r="F238"/>
      <c r="G238"/>
      <c r="H23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</row>
    <row r="239" spans="1:102">
      <c r="A239"/>
      <c r="B239"/>
      <c r="C239"/>
      <c r="D239"/>
      <c r="E239"/>
      <c r="F239"/>
      <c r="G239"/>
      <c r="H23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</row>
    <row r="240" spans="1:102">
      <c r="A240"/>
      <c r="B240"/>
      <c r="C240"/>
      <c r="D240"/>
      <c r="E240"/>
      <c r="F240"/>
      <c r="G240"/>
      <c r="H240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</row>
    <row r="241" spans="1:102">
      <c r="A241"/>
      <c r="B241"/>
      <c r="C241"/>
      <c r="D241"/>
      <c r="E241"/>
      <c r="F241"/>
      <c r="G241"/>
      <c r="H24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</row>
    <row r="242" spans="1:102">
      <c r="A242"/>
      <c r="B242"/>
      <c r="C242"/>
      <c r="D242"/>
      <c r="E242"/>
      <c r="F242"/>
      <c r="G242"/>
      <c r="H24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</row>
    <row r="243" spans="1:102">
      <c r="A243"/>
      <c r="B243"/>
      <c r="C243"/>
      <c r="D243"/>
      <c r="E243"/>
      <c r="F243"/>
      <c r="G243"/>
      <c r="H24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</row>
    <row r="244" spans="1:102">
      <c r="A244"/>
      <c r="B244"/>
      <c r="C244"/>
      <c r="D244"/>
      <c r="E244"/>
      <c r="F244"/>
      <c r="G244"/>
      <c r="H24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</row>
    <row r="245" spans="1:102">
      <c r="A245"/>
      <c r="B245"/>
      <c r="C245"/>
      <c r="D245"/>
      <c r="E245"/>
      <c r="F245"/>
      <c r="G245"/>
      <c r="H24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</row>
    <row r="246" spans="1:102">
      <c r="A246"/>
      <c r="B246"/>
      <c r="C246"/>
      <c r="D246"/>
      <c r="E246"/>
      <c r="F246"/>
      <c r="G246"/>
      <c r="H246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</row>
    <row r="247" spans="1:102">
      <c r="A247"/>
      <c r="B247"/>
      <c r="C247"/>
      <c r="D247"/>
      <c r="E247"/>
      <c r="F247"/>
      <c r="G247"/>
      <c r="H2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</row>
    <row r="248" spans="1:102">
      <c r="A248"/>
      <c r="B248"/>
      <c r="C248"/>
      <c r="D248"/>
      <c r="E248"/>
      <c r="F248"/>
      <c r="G248"/>
      <c r="H24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</row>
    <row r="249" spans="1:102">
      <c r="A249"/>
      <c r="B249"/>
      <c r="C249"/>
      <c r="D249"/>
      <c r="E249"/>
      <c r="F249"/>
      <c r="G249"/>
      <c r="H249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</row>
    <row r="250" spans="1:102">
      <c r="A250"/>
      <c r="B250"/>
      <c r="C250"/>
      <c r="D250"/>
      <c r="E250"/>
      <c r="F250"/>
      <c r="G250"/>
      <c r="H250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</row>
    <row r="251" spans="1:102">
      <c r="A251"/>
      <c r="B251"/>
      <c r="C251"/>
      <c r="D251"/>
      <c r="E251"/>
      <c r="F251"/>
      <c r="G251"/>
      <c r="H25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</row>
    <row r="252" spans="1:102">
      <c r="A252"/>
      <c r="B252"/>
      <c r="C252"/>
      <c r="D252"/>
      <c r="E252"/>
      <c r="F252"/>
      <c r="G252"/>
      <c r="H25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</row>
    <row r="253" spans="1:102">
      <c r="A253"/>
      <c r="B253"/>
      <c r="C253"/>
      <c r="D253"/>
      <c r="E253"/>
      <c r="F253"/>
      <c r="G253"/>
      <c r="H25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</row>
    <row r="254" spans="1:102">
      <c r="A254"/>
      <c r="B254"/>
      <c r="C254"/>
      <c r="D254"/>
      <c r="E254"/>
      <c r="F254"/>
      <c r="G254"/>
      <c r="H25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</row>
  </sheetData>
  <mergeCells count="7">
    <mergeCell ref="A5:B5"/>
    <mergeCell ref="D5:E5"/>
    <mergeCell ref="A1:A3"/>
    <mergeCell ref="G1:G3"/>
    <mergeCell ref="A6:B7"/>
    <mergeCell ref="D6:E7"/>
    <mergeCell ref="B1:F3"/>
  </mergeCells>
  <printOptions horizontalCentered="1" verticalCentered="1"/>
  <pageMargins left="0.511811023622047" right="0.511811023622047" top="0.78740157480314998" bottom="0.78740157480314998" header="0.31496062992126" footer="0.31496062992126"/>
  <pageSetup paperSize="9" scale="60" orientation="landscape" r:id="rId6"/>
  <rowBreaks count="4" manualBreakCount="4">
    <brk id="34" max="6" man="1"/>
    <brk id="64" max="6" man="1"/>
    <brk id="96" max="6" man="1"/>
    <brk id="130" max="6" man="1"/>
  </rowBreaks>
  <colBreaks count="1" manualBreakCount="1">
    <brk id="7" max="1048575" man="1"/>
  </colBrea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CW254"/>
  <sheetViews>
    <sheetView view="pageBreakPreview" topLeftCell="L1" zoomScale="50" zoomScaleNormal="60" workbookViewId="0">
      <selection activeCell="U21" sqref="U21"/>
    </sheetView>
  </sheetViews>
  <sheetFormatPr defaultColWidth="9.109375" defaultRowHeight="15.6"/>
  <cols>
    <col min="1" max="1" width="27.6640625" style="52" customWidth="1"/>
    <col min="2" max="2" width="26" style="52" customWidth="1"/>
    <col min="3" max="3" width="32" style="52" customWidth="1"/>
    <col min="4" max="4" width="34.44140625" style="52" customWidth="1"/>
    <col min="5" max="6" width="32" style="52" customWidth="1"/>
    <col min="7" max="7" width="36.6640625" style="52" customWidth="1"/>
    <col min="8" max="8" width="7.5546875" style="52" customWidth="1"/>
    <col min="9" max="9" width="21.88671875" style="52" bestFit="1" customWidth="1"/>
    <col min="10" max="10" width="19.88671875" style="52" bestFit="1" customWidth="1"/>
    <col min="11" max="11" width="9" style="52" customWidth="1"/>
    <col min="12" max="12" width="46.77734375" style="52" bestFit="1" customWidth="1"/>
    <col min="13" max="13" width="19.88671875" style="52" bestFit="1" customWidth="1"/>
    <col min="14" max="14" width="6.44140625" style="52" customWidth="1"/>
    <col min="15" max="15" width="30.109375" style="52" bestFit="1" customWidth="1"/>
    <col min="16" max="16" width="21.88671875" style="52" bestFit="1" customWidth="1"/>
    <col min="17" max="17" width="12.6640625" style="52" customWidth="1"/>
    <col min="18" max="18" width="30.109375" style="52" bestFit="1" customWidth="1"/>
    <col min="19" max="19" width="28.5546875" style="52" bestFit="1" customWidth="1"/>
    <col min="20" max="20" width="15.6640625" style="52" customWidth="1"/>
    <col min="21" max="21" width="30.109375" style="52" bestFit="1" customWidth="1"/>
    <col min="22" max="22" width="21.88671875" style="52" bestFit="1" customWidth="1"/>
    <col min="23" max="23" width="30.5546875" style="52" customWidth="1"/>
    <col min="24" max="24" width="29.44140625" style="52" customWidth="1"/>
    <col min="25" max="25" width="24.44140625" style="52" customWidth="1"/>
    <col min="26" max="26" width="26.88671875" style="52" customWidth="1"/>
    <col min="27" max="27" width="28.44140625" style="52" customWidth="1"/>
    <col min="28" max="28" width="26.33203125" style="52" customWidth="1"/>
    <col min="29" max="29" width="27.44140625" style="52" customWidth="1"/>
    <col min="30" max="30" width="23.109375" style="52" customWidth="1"/>
    <col min="31" max="31" width="15.33203125" style="52" customWidth="1"/>
    <col min="32" max="33" width="11.109375" style="52" customWidth="1"/>
    <col min="34" max="39" width="17.44140625" style="52" customWidth="1"/>
    <col min="40" max="40" width="21.44140625" style="52" customWidth="1"/>
    <col min="41" max="41" width="17.44140625" style="52" customWidth="1"/>
    <col min="42" max="42" width="25.44140625" style="52" customWidth="1"/>
    <col min="43" max="43" width="32" style="52" customWidth="1"/>
    <col min="44" max="44" width="38.6640625" style="52" customWidth="1"/>
    <col min="45" max="45" width="29.33203125" style="52" customWidth="1"/>
    <col min="46" max="46" width="32" style="52" customWidth="1"/>
    <col min="47" max="47" width="34.44140625" style="52" customWidth="1"/>
    <col min="48" max="48" width="25.44140625" style="52" customWidth="1"/>
    <col min="49" max="49" width="32" style="52" customWidth="1"/>
    <col min="50" max="50" width="34.44140625" style="52" customWidth="1"/>
    <col min="51" max="51" width="25.44140625" style="52" customWidth="1"/>
    <col min="52" max="52" width="32" style="52" customWidth="1"/>
    <col min="53" max="53" width="34.44140625" style="52" customWidth="1"/>
    <col min="54" max="54" width="25.44140625" style="52" customWidth="1"/>
    <col min="55" max="55" width="32" style="52" customWidth="1"/>
    <col min="56" max="56" width="34.44140625" style="52" customWidth="1"/>
    <col min="57" max="57" width="25.44140625" style="52" customWidth="1"/>
    <col min="58" max="58" width="32" style="52" customWidth="1"/>
    <col min="59" max="59" width="34.44140625" style="52" customWidth="1"/>
    <col min="60" max="60" width="25.44140625" style="52" customWidth="1"/>
    <col min="61" max="62" width="9.109375" style="52"/>
    <col min="63" max="63" width="32" style="52" customWidth="1"/>
    <col min="64" max="64" width="25.109375" style="52" customWidth="1"/>
    <col min="65" max="65" width="52.5546875" style="52" customWidth="1"/>
    <col min="66" max="66" width="15" style="52" customWidth="1"/>
    <col min="67" max="68" width="9.109375" style="52"/>
    <col min="69" max="69" width="28.33203125" style="52" customWidth="1"/>
    <col min="70" max="70" width="25.109375" style="52" customWidth="1"/>
    <col min="71" max="72" width="9.109375" style="52"/>
    <col min="73" max="73" width="32" style="52" customWidth="1"/>
    <col min="74" max="74" width="25.88671875" style="52" customWidth="1"/>
    <col min="75" max="75" width="17.44140625" style="52" customWidth="1"/>
    <col min="76" max="76" width="9.109375" style="52"/>
    <col min="77" max="77" width="25.88671875" style="52" customWidth="1"/>
    <col min="78" max="78" width="38" style="52" customWidth="1"/>
    <col min="79" max="79" width="42" style="52" customWidth="1"/>
    <col min="80" max="83" width="31.109375" style="52" customWidth="1"/>
    <col min="84" max="85" width="17.44140625" style="52" customWidth="1"/>
    <col min="86" max="86" width="11" style="52" customWidth="1"/>
    <col min="87" max="16384" width="9.109375" style="52"/>
  </cols>
  <sheetData>
    <row r="1" spans="1:101" ht="15.75" customHeight="1">
      <c r="A1" s="275" t="s">
        <v>207</v>
      </c>
      <c r="B1" s="285" t="str">
        <f>'PAINEL ENTRADA'!T1</f>
        <v>SÃO FRANCISCO</v>
      </c>
      <c r="C1" s="285"/>
      <c r="D1" s="285"/>
      <c r="E1" s="285"/>
      <c r="F1" s="285"/>
      <c r="G1" s="278">
        <f ca="1">TODAY()</f>
        <v>46294</v>
      </c>
      <c r="H1"/>
      <c r="I1" s="223" t="s">
        <v>60</v>
      </c>
      <c r="J1" s="2" t="s">
        <v>68</v>
      </c>
      <c r="K1"/>
      <c r="L1" s="223" t="s">
        <v>60</v>
      </c>
      <c r="M1" s="2" t="s">
        <v>68</v>
      </c>
      <c r="N1"/>
      <c r="O1" s="223" t="s">
        <v>60</v>
      </c>
      <c r="P1" s="2" t="s">
        <v>68</v>
      </c>
      <c r="Q1"/>
      <c r="R1" s="223" t="s">
        <v>60</v>
      </c>
      <c r="S1" s="2" t="s">
        <v>68</v>
      </c>
      <c r="T1"/>
      <c r="U1" s="223" t="s">
        <v>60</v>
      </c>
      <c r="V1" s="2" t="s">
        <v>68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</row>
    <row r="2" spans="1:101" ht="15.75" customHeight="1">
      <c r="A2" s="276"/>
      <c r="B2" s="286"/>
      <c r="C2" s="286"/>
      <c r="D2" s="286"/>
      <c r="E2" s="286"/>
      <c r="F2" s="286"/>
      <c r="G2" s="279"/>
      <c r="H2"/>
      <c r="I2" s="2"/>
      <c r="J2" s="2"/>
      <c r="K2"/>
      <c r="L2" s="2"/>
      <c r="M2" s="2"/>
      <c r="N2"/>
      <c r="O2" s="2"/>
      <c r="P2" s="2"/>
      <c r="Q2"/>
      <c r="R2" s="2"/>
      <c r="S2" s="2"/>
      <c r="T2"/>
      <c r="U2" s="2"/>
      <c r="V2" s="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1:101" ht="15.75" customHeight="1">
      <c r="A3" s="277"/>
      <c r="B3" s="287"/>
      <c r="C3" s="287"/>
      <c r="D3" s="287"/>
      <c r="E3" s="287"/>
      <c r="F3" s="287"/>
      <c r="G3" s="280"/>
      <c r="H3"/>
      <c r="I3" s="2" t="s">
        <v>208</v>
      </c>
      <c r="J3" s="2"/>
      <c r="K3"/>
      <c r="L3" s="2" t="s">
        <v>209</v>
      </c>
      <c r="M3"/>
      <c r="N3"/>
      <c r="O3" s="223" t="s">
        <v>203</v>
      </c>
      <c r="P3" s="2" t="s">
        <v>208</v>
      </c>
      <c r="Q3"/>
      <c r="R3" s="223" t="s">
        <v>203</v>
      </c>
      <c r="S3" s="2" t="s">
        <v>210</v>
      </c>
      <c r="T3"/>
      <c r="U3" s="223" t="s">
        <v>203</v>
      </c>
      <c r="V3" s="2" t="s">
        <v>208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1:101">
      <c r="C4" s="54"/>
      <c r="D4" s="54"/>
      <c r="E4" s="54"/>
      <c r="F4" s="54"/>
      <c r="G4" s="54"/>
      <c r="H4"/>
      <c r="I4" s="230">
        <v>954</v>
      </c>
      <c r="J4" s="2"/>
      <c r="K4"/>
      <c r="L4" s="230">
        <v>2457752.15</v>
      </c>
      <c r="M4"/>
      <c r="N4"/>
      <c r="O4" s="2" t="s">
        <v>66</v>
      </c>
      <c r="P4" s="230">
        <v>954</v>
      </c>
      <c r="Q4"/>
      <c r="R4" s="2" t="s">
        <v>66</v>
      </c>
      <c r="S4" s="56">
        <v>2547.1300854700853</v>
      </c>
      <c r="T4"/>
      <c r="U4" s="2" t="s">
        <v>67</v>
      </c>
      <c r="V4" s="230">
        <v>96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1:101" ht="21">
      <c r="A5" s="274" t="s">
        <v>211</v>
      </c>
      <c r="B5" s="274"/>
      <c r="C5"/>
      <c r="D5" s="274" t="s">
        <v>212</v>
      </c>
      <c r="E5" s="274"/>
      <c r="F5"/>
      <c r="G5"/>
      <c r="H5"/>
      <c r="I5"/>
      <c r="J5"/>
      <c r="K5"/>
      <c r="L5"/>
      <c r="M5"/>
      <c r="N5"/>
      <c r="O5" s="2" t="s">
        <v>206</v>
      </c>
      <c r="P5" s="230">
        <v>954</v>
      </c>
      <c r="Q5"/>
      <c r="R5" s="2" t="s">
        <v>206</v>
      </c>
      <c r="S5" s="56">
        <v>2547.1300854700853</v>
      </c>
      <c r="T5"/>
      <c r="U5" s="2" t="s">
        <v>70</v>
      </c>
      <c r="V5" s="230">
        <v>40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</row>
    <row r="6" spans="1:101">
      <c r="A6" s="281">
        <f>I4</f>
        <v>954</v>
      </c>
      <c r="B6" s="281"/>
      <c r="C6"/>
      <c r="D6" s="283">
        <f>L4</f>
        <v>2457752.15</v>
      </c>
      <c r="E6" s="283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s="2" t="s">
        <v>77</v>
      </c>
      <c r="V6" s="230">
        <v>54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</row>
    <row r="7" spans="1:101">
      <c r="A7" s="282"/>
      <c r="B7" s="282"/>
      <c r="C7"/>
      <c r="D7" s="284"/>
      <c r="E7" s="284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s="2" t="s">
        <v>78</v>
      </c>
      <c r="V7" s="230">
        <v>190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</row>
    <row r="8" spans="1:10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s="2" t="s">
        <v>79</v>
      </c>
      <c r="V8" s="230">
        <v>174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</row>
    <row r="9" spans="1:10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s="2" t="s">
        <v>72</v>
      </c>
      <c r="V9" s="230">
        <v>6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1:10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s="2" t="s">
        <v>73</v>
      </c>
      <c r="V10" s="230">
        <v>394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</row>
    <row r="11" spans="1:10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s="2" t="s">
        <v>206</v>
      </c>
      <c r="V11" s="230">
        <v>954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1:10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1:10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10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10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1:10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1:10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1:10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1:10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</row>
    <row r="21" spans="1:10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</row>
    <row r="22" spans="1:10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</row>
    <row r="23" spans="1:10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</row>
    <row r="24" spans="1:10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</row>
    <row r="25" spans="1:10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</row>
    <row r="26" spans="1:10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</row>
    <row r="27" spans="1:10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</row>
    <row r="28" spans="1:10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</row>
    <row r="29" spans="1:10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</row>
    <row r="30" spans="1:10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</row>
    <row r="31" spans="1:10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</row>
    <row r="32" spans="1:10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</row>
    <row r="33" spans="1:10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</row>
    <row r="34" spans="1:10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</row>
    <row r="35" spans="1:10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</row>
    <row r="36" spans="1:10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</row>
    <row r="37" spans="1:10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</row>
    <row r="38" spans="1:10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</row>
    <row r="39" spans="1:10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</row>
    <row r="40" spans="1:10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</row>
    <row r="41" spans="1:10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</row>
    <row r="42" spans="1:10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</row>
    <row r="43" spans="1:10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</row>
    <row r="44" spans="1:10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</row>
    <row r="45" spans="1:10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</row>
    <row r="46" spans="1:10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</row>
    <row r="47" spans="1:10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</row>
    <row r="48" spans="1:10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</row>
    <row r="49" spans="1:10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</row>
    <row r="50" spans="1:10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</row>
    <row r="51" spans="1:10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</row>
    <row r="52" spans="1:10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</row>
    <row r="53" spans="1:10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</row>
    <row r="54" spans="1:10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</row>
    <row r="55" spans="1:10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</row>
    <row r="56" spans="1:10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</row>
    <row r="57" spans="1:10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</row>
    <row r="58" spans="1:10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</row>
    <row r="59" spans="1:10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</row>
    <row r="60" spans="1:10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</row>
    <row r="61" spans="1:10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</row>
    <row r="62" spans="1:10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</row>
    <row r="63" spans="1:10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</row>
    <row r="64" spans="1:10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</row>
    <row r="65" spans="1:10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</row>
    <row r="66" spans="1:10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</row>
    <row r="67" spans="1:10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</row>
    <row r="68" spans="1:10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</row>
    <row r="69" spans="1:10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</row>
    <row r="70" spans="1:10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</row>
    <row r="71" spans="1:10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</row>
    <row r="72" spans="1:10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</row>
    <row r="73" spans="1:10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</row>
    <row r="74" spans="1:10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</row>
    <row r="75" spans="1:10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</row>
    <row r="76" spans="1:10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</row>
    <row r="77" spans="1:10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</row>
    <row r="78" spans="1:10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</row>
    <row r="79" spans="1:10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</row>
    <row r="80" spans="1:10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</row>
    <row r="81" spans="1:10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</row>
    <row r="82" spans="1:10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</row>
    <row r="83" spans="1:10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</row>
    <row r="84" spans="1:10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</row>
    <row r="85" spans="1:10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</row>
    <row r="86" spans="1:10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</row>
    <row r="87" spans="1:10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</row>
    <row r="88" spans="1:10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</row>
    <row r="89" spans="1:10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</row>
    <row r="90" spans="1:10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</row>
    <row r="91" spans="1:10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</row>
    <row r="92" spans="1:10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</row>
    <row r="93" spans="1:10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</row>
    <row r="94" spans="1:10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</row>
    <row r="95" spans="1:10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</row>
    <row r="96" spans="1:10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</row>
    <row r="97" spans="1:10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</row>
    <row r="98" spans="1:10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</row>
    <row r="99" spans="1:10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</row>
    <row r="100" spans="1:10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</row>
    <row r="101" spans="1:10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</row>
    <row r="102" spans="1:10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</row>
    <row r="103" spans="1:10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</row>
    <row r="104" spans="1:10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</row>
    <row r="105" spans="1:10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</row>
    <row r="106" spans="1:10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</row>
    <row r="107" spans="1:10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</row>
    <row r="108" spans="1:10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</row>
    <row r="109" spans="1:10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</row>
    <row r="110" spans="1:10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</row>
    <row r="111" spans="1:10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</row>
    <row r="112" spans="1:10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</row>
    <row r="113" spans="1:10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</row>
    <row r="114" spans="1:10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</row>
    <row r="115" spans="1:10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</row>
    <row r="116" spans="1:10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</row>
    <row r="117" spans="1:10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</row>
    <row r="118" spans="1:10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</row>
    <row r="119" spans="1:10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</row>
    <row r="120" spans="1:10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</row>
    <row r="121" spans="1:10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</row>
    <row r="122" spans="1:10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</row>
    <row r="123" spans="1:10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</row>
    <row r="124" spans="1:10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</row>
    <row r="125" spans="1:10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</row>
    <row r="126" spans="1:10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</row>
    <row r="127" spans="1:10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</row>
    <row r="128" spans="1:10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</row>
    <row r="129" spans="1:10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</row>
    <row r="130" spans="1:10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</row>
    <row r="131" spans="1:10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</row>
    <row r="132" spans="1:10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</row>
    <row r="133" spans="1:10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</row>
    <row r="134" spans="1:10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</row>
    <row r="135" spans="1:10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</row>
    <row r="136" spans="1:10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</row>
    <row r="137" spans="1:10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</row>
    <row r="138" spans="1:10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</row>
    <row r="139" spans="1:10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</row>
    <row r="140" spans="1:10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</row>
    <row r="141" spans="1:10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</row>
    <row r="142" spans="1:10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</row>
    <row r="143" spans="1:10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</row>
    <row r="144" spans="1:10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</row>
    <row r="145" spans="1:10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</row>
    <row r="146" spans="1:10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</row>
    <row r="147" spans="1:10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</row>
    <row r="148" spans="1:10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</row>
    <row r="149" spans="1:10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</row>
    <row r="150" spans="1:10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</row>
    <row r="151" spans="1:10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</row>
    <row r="152" spans="1:10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</row>
    <row r="153" spans="1:10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</row>
    <row r="154" spans="1:10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</row>
    <row r="155" spans="1:10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</row>
    <row r="156" spans="1:10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</row>
    <row r="157" spans="1:10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</row>
    <row r="158" spans="1:10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</row>
    <row r="159" spans="1:10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</row>
    <row r="160" spans="1:10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</row>
    <row r="161" spans="1:10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</row>
    <row r="162" spans="1:10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</row>
    <row r="163" spans="1:10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</row>
    <row r="164" spans="1:10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</row>
    <row r="165" spans="1:10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</row>
    <row r="166" spans="1:10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</row>
    <row r="167" spans="1:10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</row>
    <row r="168" spans="1:10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</row>
    <row r="169" spans="1:10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</row>
    <row r="170" spans="1:10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</row>
    <row r="171" spans="1:10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</row>
    <row r="172" spans="1:10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</row>
    <row r="173" spans="1:10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</row>
    <row r="174" spans="1:10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</row>
    <row r="175" spans="1:10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</row>
    <row r="176" spans="1:10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</row>
    <row r="177" spans="1:10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</row>
    <row r="178" spans="1:10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</row>
    <row r="179" spans="1:10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</row>
    <row r="180" spans="1:10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</row>
    <row r="181" spans="1:10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</row>
    <row r="182" spans="1:10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</row>
    <row r="183" spans="1:10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</row>
    <row r="184" spans="1:10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</row>
    <row r="185" spans="1:10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</row>
    <row r="186" spans="1:10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</row>
    <row r="187" spans="1:10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</row>
    <row r="188" spans="1:10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</row>
    <row r="189" spans="1:10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</row>
    <row r="190" spans="1:10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</row>
    <row r="191" spans="1:10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</row>
    <row r="192" spans="1:10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</row>
    <row r="193" spans="1:10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</row>
    <row r="194" spans="1:10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</row>
    <row r="195" spans="1:10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</row>
    <row r="196" spans="1:10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</row>
    <row r="197" spans="1:10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</row>
    <row r="198" spans="1:10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</row>
    <row r="199" spans="1:10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</row>
    <row r="200" spans="1:10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</row>
    <row r="201" spans="1:10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</row>
    <row r="202" spans="1:10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</row>
    <row r="203" spans="1:10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</row>
    <row r="204" spans="1:10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</row>
    <row r="205" spans="1:10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</row>
    <row r="206" spans="1:10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</row>
    <row r="207" spans="1:10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</row>
    <row r="208" spans="1:10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</row>
    <row r="209" spans="1:10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</row>
    <row r="210" spans="1:10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</row>
    <row r="211" spans="1:10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</row>
    <row r="212" spans="1:10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</row>
    <row r="213" spans="1:10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</row>
    <row r="214" spans="1:10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</row>
    <row r="215" spans="1:10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</row>
    <row r="216" spans="1:10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</row>
    <row r="217" spans="1:10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</row>
    <row r="218" spans="1:10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</row>
    <row r="219" spans="1:10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</row>
    <row r="220" spans="1:10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</row>
    <row r="221" spans="1:10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</row>
    <row r="222" spans="1:10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</row>
    <row r="223" spans="1:10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</row>
    <row r="224" spans="1:10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</row>
    <row r="225" spans="1:10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</row>
    <row r="226" spans="1:10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</row>
    <row r="227" spans="1:10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</row>
    <row r="228" spans="1:10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</row>
    <row r="229" spans="1:10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</row>
    <row r="230" spans="1:10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</row>
    <row r="231" spans="1:10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</row>
    <row r="232" spans="1:10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</row>
    <row r="233" spans="1:10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</row>
    <row r="234" spans="1:10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</row>
    <row r="235" spans="1:10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</row>
    <row r="236" spans="1:10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</row>
    <row r="237" spans="1:10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</row>
    <row r="238" spans="1:10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</row>
    <row r="239" spans="1:10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</row>
    <row r="240" spans="1:10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</row>
    <row r="241" spans="1:10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</row>
    <row r="242" spans="1:10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</row>
    <row r="243" spans="1:10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</row>
    <row r="244" spans="1:10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</row>
    <row r="245" spans="1:10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</row>
    <row r="246" spans="1:10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</row>
    <row r="247" spans="1:10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</row>
    <row r="248" spans="1:10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</row>
    <row r="249" spans="1:10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</row>
    <row r="250" spans="1:10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</row>
    <row r="251" spans="1:10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</row>
    <row r="252" spans="1:10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</row>
    <row r="253" spans="1:10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</row>
    <row r="254" spans="1:10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</row>
  </sheetData>
  <mergeCells count="7">
    <mergeCell ref="A5:B5"/>
    <mergeCell ref="D5:E5"/>
    <mergeCell ref="A1:A3"/>
    <mergeCell ref="G1:G3"/>
    <mergeCell ref="A6:B7"/>
    <mergeCell ref="D6:E7"/>
    <mergeCell ref="B1:F3"/>
  </mergeCells>
  <printOptions horizontalCentered="1" verticalCentered="1"/>
  <pageMargins left="0.25" right="0.25" top="0.75" bottom="0.75" header="0.3" footer="0.3"/>
  <pageSetup paperSize="9" scale="60" orientation="landscape" r:id="rId6"/>
  <rowBreaks count="4" manualBreakCount="4">
    <brk id="34" max="6" man="1"/>
    <brk id="64" max="6" man="1"/>
    <brk id="96" max="6" man="1"/>
    <brk id="130" max="6" man="1"/>
  </rowBreaks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CX274"/>
  <sheetViews>
    <sheetView view="pageBreakPreview" zoomScale="70" zoomScaleNormal="30" zoomScaleSheetLayoutView="70" workbookViewId="0">
      <selection activeCell="K18" sqref="K18"/>
    </sheetView>
  </sheetViews>
  <sheetFormatPr defaultColWidth="9.109375" defaultRowHeight="15.6"/>
  <cols>
    <col min="1" max="1" width="32" style="52" customWidth="1"/>
    <col min="2" max="2" width="27.33203125" style="52" customWidth="1"/>
    <col min="3" max="3" width="32" style="52" customWidth="1"/>
    <col min="4" max="4" width="34.44140625" style="52" customWidth="1"/>
    <col min="5" max="6" width="32" style="52" customWidth="1"/>
    <col min="7" max="7" width="36.6640625" style="52" customWidth="1"/>
    <col min="8" max="8" width="7.5546875" style="52" customWidth="1"/>
    <col min="9" max="9" width="20" style="53" bestFit="1" customWidth="1"/>
    <col min="10" max="10" width="17.109375" style="52" bestFit="1" customWidth="1"/>
    <col min="11" max="11" width="13.109375" style="52" customWidth="1"/>
    <col min="12" max="12" width="21.88671875" style="52" bestFit="1" customWidth="1"/>
    <col min="13" max="13" width="20" style="52" bestFit="1" customWidth="1"/>
    <col min="14" max="14" width="6.44140625" style="52" customWidth="1"/>
    <col min="15" max="15" width="21.88671875" style="52" bestFit="1" customWidth="1"/>
    <col min="16" max="16" width="20" style="52" bestFit="1" customWidth="1"/>
    <col min="17" max="17" width="34.44140625" style="52" customWidth="1"/>
    <col min="18" max="18" width="12.6640625" style="52" customWidth="1"/>
    <col min="19" max="19" width="34.44140625" style="52" customWidth="1"/>
    <col min="20" max="20" width="34.109375" style="52" customWidth="1"/>
    <col min="21" max="21" width="35.44140625" style="52" customWidth="1"/>
    <col min="22" max="22" width="27.33203125" style="52" customWidth="1"/>
    <col min="23" max="23" width="24.88671875" style="52" customWidth="1"/>
    <col min="24" max="24" width="30.5546875" style="52" customWidth="1"/>
    <col min="25" max="25" width="29.44140625" style="52" customWidth="1"/>
    <col min="26" max="26" width="24.44140625" style="52" customWidth="1"/>
    <col min="27" max="27" width="26.88671875" style="52" customWidth="1"/>
    <col min="28" max="28" width="28.44140625" style="52" customWidth="1"/>
    <col min="29" max="29" width="26.33203125" style="52" customWidth="1"/>
    <col min="30" max="30" width="27.44140625" style="52" customWidth="1"/>
    <col min="31" max="31" width="23.109375" style="52" customWidth="1"/>
    <col min="32" max="32" width="15.33203125" style="52" customWidth="1"/>
    <col min="33" max="34" width="11.109375" style="52" customWidth="1"/>
    <col min="35" max="40" width="17.44140625" style="52" customWidth="1"/>
    <col min="41" max="41" width="21.44140625" style="52" customWidth="1"/>
    <col min="42" max="42" width="17.44140625" style="52" customWidth="1"/>
    <col min="43" max="43" width="25.44140625" style="52" customWidth="1"/>
    <col min="44" max="44" width="32" style="52" customWidth="1"/>
    <col min="45" max="45" width="38.6640625" style="52" customWidth="1"/>
    <col min="46" max="46" width="29.33203125" style="52" customWidth="1"/>
    <col min="47" max="47" width="32" style="52" customWidth="1"/>
    <col min="48" max="48" width="34.44140625" style="52" customWidth="1"/>
    <col min="49" max="49" width="25.44140625" style="52" customWidth="1"/>
    <col min="50" max="50" width="32" style="52" customWidth="1"/>
    <col min="51" max="51" width="34.44140625" style="52" customWidth="1"/>
    <col min="52" max="52" width="25.44140625" style="52" customWidth="1"/>
    <col min="53" max="53" width="32" style="52" customWidth="1"/>
    <col min="54" max="54" width="34.44140625" style="52" customWidth="1"/>
    <col min="55" max="55" width="25.44140625" style="52" customWidth="1"/>
    <col min="56" max="56" width="32" style="52" customWidth="1"/>
    <col min="57" max="57" width="34.44140625" style="52" customWidth="1"/>
    <col min="58" max="58" width="25.44140625" style="52" customWidth="1"/>
    <col min="59" max="59" width="32" style="52" customWidth="1"/>
    <col min="60" max="60" width="34.44140625" style="52" customWidth="1"/>
    <col min="61" max="61" width="25.44140625" style="52" customWidth="1"/>
    <col min="62" max="63" width="9.109375" style="52"/>
    <col min="64" max="64" width="32" style="52" customWidth="1"/>
    <col min="65" max="65" width="25.109375" style="52" customWidth="1"/>
    <col min="66" max="66" width="52.5546875" style="52" customWidth="1"/>
    <col min="67" max="67" width="15" style="52" customWidth="1"/>
    <col min="68" max="69" width="9.109375" style="52"/>
    <col min="70" max="70" width="28.33203125" style="52" customWidth="1"/>
    <col min="71" max="71" width="25.109375" style="52" customWidth="1"/>
    <col min="72" max="73" width="9.109375" style="52"/>
    <col min="74" max="74" width="32" style="52" customWidth="1"/>
    <col min="75" max="75" width="25.88671875" style="52" customWidth="1"/>
    <col min="76" max="76" width="17.44140625" style="52" customWidth="1"/>
    <col min="77" max="77" width="9.109375" style="52"/>
    <col min="78" max="78" width="25.88671875" style="52" customWidth="1"/>
    <col min="79" max="79" width="38" style="52" customWidth="1"/>
    <col min="80" max="80" width="42" style="52" customWidth="1"/>
    <col min="81" max="84" width="31.109375" style="52" customWidth="1"/>
    <col min="85" max="86" width="17.44140625" style="52" customWidth="1"/>
    <col min="87" max="87" width="11" style="52" customWidth="1"/>
    <col min="88" max="16384" width="9.109375" style="52"/>
  </cols>
  <sheetData>
    <row r="1" spans="1:102" ht="15.75" customHeight="1">
      <c r="A1" s="275" t="s">
        <v>213</v>
      </c>
      <c r="B1" s="285" t="str">
        <f>'PAINEL ENTRADA'!T1</f>
        <v>SÃO FRANCISCO</v>
      </c>
      <c r="C1" s="285"/>
      <c r="D1" s="285"/>
      <c r="E1" s="285"/>
      <c r="F1" s="285"/>
      <c r="G1" s="278">
        <f ca="1">TODAY()</f>
        <v>46294</v>
      </c>
      <c r="H1"/>
      <c r="I1" s="223" t="s">
        <v>60</v>
      </c>
      <c r="J1" s="2" t="s">
        <v>68</v>
      </c>
      <c r="K1"/>
      <c r="L1" s="222" t="s">
        <v>60</v>
      </c>
      <c r="M1" s="7" t="s">
        <v>68</v>
      </c>
      <c r="N1"/>
      <c r="O1" s="223" t="s">
        <v>60</v>
      </c>
      <c r="P1" s="2" t="s">
        <v>68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</row>
    <row r="2" spans="1:102" ht="15.75" customHeight="1">
      <c r="A2" s="276"/>
      <c r="B2" s="286"/>
      <c r="C2" s="286"/>
      <c r="D2" s="286"/>
      <c r="E2" s="286"/>
      <c r="F2" s="286"/>
      <c r="G2" s="279"/>
      <c r="H2"/>
      <c r="I2" s="2"/>
      <c r="J2" s="2"/>
      <c r="K2"/>
      <c r="L2" s="7"/>
      <c r="M2" s="7"/>
      <c r="N2"/>
      <c r="O2" s="2"/>
      <c r="P2" s="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</row>
    <row r="3" spans="1:102" ht="15.75" customHeight="1">
      <c r="A3" s="277"/>
      <c r="B3" s="287"/>
      <c r="C3" s="287"/>
      <c r="D3" s="287"/>
      <c r="E3" s="287"/>
      <c r="F3" s="287"/>
      <c r="G3" s="280"/>
      <c r="H3"/>
      <c r="I3" s="2" t="s">
        <v>214</v>
      </c>
      <c r="J3" s="2"/>
      <c r="K3"/>
      <c r="L3" s="222" t="s">
        <v>203</v>
      </c>
      <c r="M3" s="7" t="s">
        <v>214</v>
      </c>
      <c r="N3"/>
      <c r="O3" s="223" t="s">
        <v>203</v>
      </c>
      <c r="P3" s="2" t="s">
        <v>214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</row>
    <row r="4" spans="1:102">
      <c r="A4" s="54"/>
      <c r="B4" s="54"/>
      <c r="C4" s="54"/>
      <c r="D4" s="54"/>
      <c r="E4" s="54"/>
      <c r="F4" s="54"/>
      <c r="G4" s="54"/>
      <c r="H4"/>
      <c r="I4" s="230">
        <v>1046907.7600000001</v>
      </c>
      <c r="J4" s="2"/>
      <c r="K4"/>
      <c r="L4" s="7" t="s">
        <v>103</v>
      </c>
      <c r="M4" s="8">
        <v>142323</v>
      </c>
      <c r="N4"/>
      <c r="O4" s="2" t="s">
        <v>67</v>
      </c>
      <c r="P4" s="56">
        <v>132051.39000000001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</row>
    <row r="5" spans="1:102" ht="21">
      <c r="A5" s="274" t="s">
        <v>215</v>
      </c>
      <c r="B5" s="274"/>
      <c r="C5"/>
      <c r="D5"/>
      <c r="E5"/>
      <c r="F5"/>
      <c r="G5"/>
      <c r="H5"/>
      <c r="I5"/>
      <c r="J5"/>
      <c r="K5"/>
      <c r="L5" s="7" t="s">
        <v>107</v>
      </c>
      <c r="M5" s="8">
        <v>11348.9</v>
      </c>
      <c r="N5"/>
      <c r="O5" s="2" t="s">
        <v>70</v>
      </c>
      <c r="P5" s="56">
        <v>40697.85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</row>
    <row r="6" spans="1:102">
      <c r="A6" s="283">
        <f>I4</f>
        <v>1046907.7600000001</v>
      </c>
      <c r="B6" s="283"/>
      <c r="C6"/>
      <c r="D6"/>
      <c r="E6"/>
      <c r="F6"/>
      <c r="G6"/>
      <c r="H6"/>
      <c r="I6"/>
      <c r="J6"/>
      <c r="K6"/>
      <c r="L6" s="7" t="s">
        <v>89</v>
      </c>
      <c r="M6" s="8">
        <v>172593.33999999997</v>
      </c>
      <c r="N6"/>
      <c r="O6" s="2" t="s">
        <v>76</v>
      </c>
      <c r="P6" s="56">
        <v>114842.68999999999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</row>
    <row r="7" spans="1:102">
      <c r="A7" s="284"/>
      <c r="B7" s="284"/>
      <c r="C7"/>
      <c r="D7"/>
      <c r="E7"/>
      <c r="F7"/>
      <c r="G7"/>
      <c r="H7"/>
      <c r="I7"/>
      <c r="J7"/>
      <c r="K7"/>
      <c r="L7" s="7" t="s">
        <v>216</v>
      </c>
      <c r="M7" s="8">
        <v>411132.63999999996</v>
      </c>
      <c r="N7"/>
      <c r="O7" s="2" t="s">
        <v>77</v>
      </c>
      <c r="P7" s="56">
        <v>262893.94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</row>
    <row r="8" spans="1:102">
      <c r="A8"/>
      <c r="B8"/>
      <c r="C8"/>
      <c r="D8"/>
      <c r="E8"/>
      <c r="F8"/>
      <c r="G8"/>
      <c r="H8"/>
      <c r="I8"/>
      <c r="J8"/>
      <c r="K8"/>
      <c r="L8" s="7" t="s">
        <v>97</v>
      </c>
      <c r="M8" s="8">
        <v>109794.93</v>
      </c>
      <c r="N8"/>
      <c r="O8" s="2" t="s">
        <v>78</v>
      </c>
      <c r="P8" s="56">
        <v>123000.22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</row>
    <row r="9" spans="1:102">
      <c r="A9"/>
      <c r="B9"/>
      <c r="C9"/>
      <c r="D9"/>
      <c r="E9"/>
      <c r="F9"/>
      <c r="G9"/>
      <c r="H9"/>
      <c r="I9"/>
      <c r="J9"/>
      <c r="K9"/>
      <c r="L9" s="7" t="s">
        <v>62</v>
      </c>
      <c r="M9" s="8">
        <v>2866.5</v>
      </c>
      <c r="N9"/>
      <c r="O9" s="2" t="s">
        <v>79</v>
      </c>
      <c r="P9" s="56">
        <v>98020.74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</row>
    <row r="10" spans="1:102">
      <c r="A10"/>
      <c r="B10"/>
      <c r="C10"/>
      <c r="D10"/>
      <c r="E10"/>
      <c r="F10"/>
      <c r="G10"/>
      <c r="H10"/>
      <c r="I10"/>
      <c r="J10"/>
      <c r="K10"/>
      <c r="L10" s="7" t="s">
        <v>111</v>
      </c>
      <c r="M10" s="8">
        <v>6330.77</v>
      </c>
      <c r="N10"/>
      <c r="O10" s="2" t="s">
        <v>69</v>
      </c>
      <c r="P10" s="56">
        <v>96004.040000000008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</row>
    <row r="11" spans="1:102">
      <c r="A11"/>
      <c r="B11"/>
      <c r="C11"/>
      <c r="D11"/>
      <c r="E11"/>
      <c r="F11"/>
      <c r="G11"/>
      <c r="H11"/>
      <c r="I11"/>
      <c r="J11"/>
      <c r="K11"/>
      <c r="L11" s="7" t="s">
        <v>118</v>
      </c>
      <c r="M11" s="8">
        <v>5262</v>
      </c>
      <c r="N11"/>
      <c r="O11" s="2" t="s">
        <v>71</v>
      </c>
      <c r="P11" s="56">
        <v>97382.76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</row>
    <row r="12" spans="1:102">
      <c r="A12"/>
      <c r="B12"/>
      <c r="C12"/>
      <c r="D12"/>
      <c r="E12"/>
      <c r="F12"/>
      <c r="G12"/>
      <c r="H12"/>
      <c r="I12"/>
      <c r="J12"/>
      <c r="K12"/>
      <c r="L12" s="7" t="s">
        <v>113</v>
      </c>
      <c r="M12" s="8">
        <v>27740.19</v>
      </c>
      <c r="N12"/>
      <c r="O12" s="2" t="s">
        <v>72</v>
      </c>
      <c r="P12" s="56">
        <v>82014.12999999999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</row>
    <row r="13" spans="1:102">
      <c r="A13"/>
      <c r="B13"/>
      <c r="C13"/>
      <c r="D13"/>
      <c r="E13"/>
      <c r="F13"/>
      <c r="G13"/>
      <c r="H13"/>
      <c r="I13"/>
      <c r="J13"/>
      <c r="K13"/>
      <c r="L13" s="7" t="s">
        <v>105</v>
      </c>
      <c r="M13" s="8">
        <v>20776.5</v>
      </c>
      <c r="N13"/>
      <c r="O13" s="2" t="s">
        <v>206</v>
      </c>
      <c r="P13" s="56">
        <v>1046907.76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</row>
    <row r="14" spans="1:102">
      <c r="A14"/>
      <c r="B14"/>
      <c r="C14"/>
      <c r="D14"/>
      <c r="E14"/>
      <c r="F14"/>
      <c r="G14"/>
      <c r="H14"/>
      <c r="I14"/>
      <c r="J14"/>
      <c r="K14"/>
      <c r="L14" s="7" t="s">
        <v>126</v>
      </c>
      <c r="M14" s="8">
        <v>136099.99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</row>
    <row r="15" spans="1:102">
      <c r="A15"/>
      <c r="B15"/>
      <c r="C15"/>
      <c r="D15"/>
      <c r="E15"/>
      <c r="F15"/>
      <c r="G15"/>
      <c r="H15"/>
      <c r="I15"/>
      <c r="J15"/>
      <c r="K15"/>
      <c r="L15" s="7" t="s">
        <v>138</v>
      </c>
      <c r="M15" s="8">
        <v>639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</row>
    <row r="16" spans="1:102">
      <c r="A16"/>
      <c r="B16"/>
      <c r="C16"/>
      <c r="D16"/>
      <c r="E16"/>
      <c r="F16"/>
      <c r="G16"/>
      <c r="H16"/>
      <c r="I16"/>
      <c r="J16"/>
      <c r="K16"/>
      <c r="L16" s="7" t="s">
        <v>206</v>
      </c>
      <c r="M16" s="8">
        <v>1046907.7599999998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</row>
    <row r="17" spans="1:10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</row>
    <row r="18" spans="1:10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</row>
    <row r="19" spans="1:10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</row>
    <row r="20" spans="1:10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</row>
    <row r="21" spans="1:10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</row>
    <row r="22" spans="1:10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</row>
    <row r="23" spans="1:10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</row>
    <row r="24" spans="1:10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</row>
    <row r="25" spans="1:10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</row>
    <row r="26" spans="1:10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</row>
    <row r="27" spans="1:10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</row>
    <row r="28" spans="1:10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</row>
    <row r="29" spans="1:10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</row>
    <row r="30" spans="1:10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</row>
    <row r="31" spans="1:10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</row>
    <row r="32" spans="1:10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</row>
    <row r="33" spans="1:10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</row>
    <row r="34" spans="1:10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</row>
    <row r="35" spans="1:10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</row>
    <row r="36" spans="1:10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</row>
    <row r="37" spans="1:10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</row>
    <row r="38" spans="1:10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</row>
    <row r="39" spans="1:10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</row>
    <row r="40" spans="1:10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</row>
    <row r="41" spans="1:10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</row>
    <row r="42" spans="1:10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</row>
    <row r="43" spans="1:10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</row>
    <row r="44" spans="1:10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</row>
    <row r="45" spans="1:10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</row>
    <row r="46" spans="1:10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</row>
    <row r="47" spans="1:10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</row>
    <row r="48" spans="1:10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</row>
    <row r="49" spans="1:10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</row>
    <row r="50" spans="1:10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</row>
    <row r="51" spans="1:10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</row>
    <row r="52" spans="1:10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</row>
    <row r="53" spans="1:10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</row>
    <row r="54" spans="1:10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</row>
    <row r="55" spans="1:10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</row>
    <row r="56" spans="1:10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</row>
    <row r="57" spans="1:10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</row>
    <row r="58" spans="1:10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</row>
    <row r="59" spans="1:10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</row>
    <row r="60" spans="1:10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</row>
    <row r="61" spans="1:10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</row>
    <row r="62" spans="1:10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</row>
    <row r="63" spans="1:10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</row>
    <row r="64" spans="1:10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</row>
    <row r="65" spans="1:10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</row>
    <row r="66" spans="1:10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</row>
    <row r="67" spans="1:10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</row>
    <row r="68" spans="1:10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</row>
    <row r="69" spans="1:10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</row>
    <row r="70" spans="1:10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</row>
    <row r="71" spans="1:10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</row>
    <row r="72" spans="1:10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</row>
    <row r="73" spans="1:10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</row>
    <row r="74" spans="1:10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</row>
    <row r="75" spans="1:10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</row>
    <row r="76" spans="1:10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</row>
    <row r="77" spans="1:10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</row>
    <row r="78" spans="1:10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</row>
    <row r="79" spans="1:10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</row>
    <row r="80" spans="1:10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</row>
    <row r="81" spans="1:10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</row>
    <row r="82" spans="1:10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</row>
    <row r="83" spans="1:10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</row>
    <row r="84" spans="1:10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</row>
    <row r="85" spans="1:10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</row>
    <row r="86" spans="1:10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</row>
    <row r="87" spans="1:10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</row>
    <row r="88" spans="1:10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</row>
    <row r="89" spans="1:10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</row>
    <row r="90" spans="1:10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</row>
    <row r="91" spans="1:10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</row>
    <row r="92" spans="1:10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</row>
    <row r="93" spans="1:10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</row>
    <row r="94" spans="1:10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</row>
    <row r="95" spans="1:10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</row>
    <row r="96" spans="1:10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</row>
    <row r="97" spans="1:10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</row>
    <row r="98" spans="1:10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</row>
    <row r="99" spans="1:10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</row>
    <row r="100" spans="1:10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</row>
    <row r="101" spans="1:10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</row>
    <row r="102" spans="1:10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</row>
    <row r="103" spans="1:10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</row>
    <row r="104" spans="1:10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</row>
    <row r="105" spans="1:10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</row>
    <row r="106" spans="1:10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</row>
    <row r="107" spans="1:10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</row>
    <row r="108" spans="1:10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</row>
    <row r="109" spans="1:10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</row>
    <row r="110" spans="1:10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</row>
    <row r="111" spans="1:10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</row>
    <row r="112" spans="1:10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</row>
    <row r="113" spans="1:10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</row>
    <row r="114" spans="1:10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</row>
    <row r="115" spans="1:10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</row>
    <row r="116" spans="1:10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</row>
    <row r="117" spans="1:10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</row>
    <row r="118" spans="1:10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</row>
    <row r="119" spans="1:10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</row>
    <row r="120" spans="1:10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</row>
    <row r="121" spans="1:10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</row>
    <row r="122" spans="1:10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</row>
    <row r="123" spans="1:10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</row>
    <row r="124" spans="1:10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</row>
    <row r="125" spans="1:10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</row>
    <row r="126" spans="1:10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</row>
    <row r="127" spans="1:10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</row>
    <row r="128" spans="1:10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</row>
    <row r="129" spans="1:10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</row>
    <row r="130" spans="1:10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</row>
    <row r="131" spans="1:10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</row>
    <row r="132" spans="1:10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</row>
    <row r="133" spans="1:10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</row>
    <row r="134" spans="1:10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</row>
    <row r="135" spans="1:10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</row>
    <row r="136" spans="1:10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</row>
    <row r="137" spans="1:10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</row>
    <row r="138" spans="1:10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</row>
    <row r="139" spans="1:10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</row>
    <row r="140" spans="1:10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</row>
    <row r="141" spans="1:10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</row>
    <row r="142" spans="1:10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</row>
    <row r="143" spans="1:10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</row>
    <row r="144" spans="1:10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</row>
    <row r="145" spans="1:10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</row>
    <row r="146" spans="1:10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</row>
    <row r="147" spans="1:10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</row>
    <row r="148" spans="1:10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</row>
    <row r="149" spans="1:10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</row>
    <row r="150" spans="1:10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</row>
    <row r="151" spans="1:10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</row>
    <row r="152" spans="1:10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</row>
    <row r="153" spans="1:10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</row>
    <row r="154" spans="1:10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</row>
    <row r="155" spans="1:10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</row>
    <row r="156" spans="1:10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</row>
    <row r="157" spans="1:10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</row>
    <row r="158" spans="1:10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</row>
    <row r="159" spans="1:10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</row>
    <row r="160" spans="1:10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</row>
    <row r="161" spans="1:10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</row>
    <row r="162" spans="1:10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</row>
    <row r="163" spans="1:10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</row>
    <row r="164" spans="1:10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</row>
    <row r="165" spans="1:10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</row>
    <row r="166" spans="1:10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</row>
    <row r="167" spans="1:10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</row>
    <row r="168" spans="1:10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</row>
    <row r="169" spans="1:10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</row>
    <row r="170" spans="1:10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</row>
    <row r="171" spans="1:10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</row>
    <row r="172" spans="1:10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</row>
    <row r="173" spans="1:10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</row>
    <row r="174" spans="1:10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</row>
    <row r="175" spans="1:10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</row>
    <row r="176" spans="1:10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</row>
    <row r="177" spans="1:10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</row>
    <row r="178" spans="1:10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</row>
    <row r="179" spans="1:10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</row>
    <row r="180" spans="1:10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</row>
    <row r="181" spans="1:10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</row>
    <row r="182" spans="1:10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</row>
    <row r="183" spans="1:10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</row>
    <row r="184" spans="1:10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</row>
    <row r="185" spans="1:10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</row>
    <row r="186" spans="1:10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</row>
    <row r="187" spans="1:10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</row>
    <row r="188" spans="1:10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</row>
    <row r="189" spans="1:10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</row>
    <row r="190" spans="1:10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</row>
    <row r="191" spans="1:10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</row>
    <row r="192" spans="1:10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</row>
    <row r="193" spans="1:10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</row>
    <row r="194" spans="1:10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</row>
    <row r="195" spans="1:10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</row>
    <row r="196" spans="1:10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</row>
    <row r="197" spans="1:10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</row>
    <row r="198" spans="1:10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</row>
    <row r="199" spans="1:10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</row>
    <row r="200" spans="1:10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</row>
    <row r="201" spans="1:10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</row>
    <row r="202" spans="1:10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</row>
    <row r="203" spans="1:10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</row>
    <row r="204" spans="1:10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</row>
    <row r="205" spans="1:10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</row>
    <row r="206" spans="1:10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</row>
    <row r="207" spans="1:10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</row>
    <row r="208" spans="1:10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</row>
    <row r="209" spans="1:10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</row>
    <row r="210" spans="1:10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</row>
    <row r="211" spans="1:10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</row>
    <row r="212" spans="1:10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</row>
    <row r="213" spans="1:10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</row>
    <row r="214" spans="1:10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</row>
    <row r="215" spans="1:10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</row>
    <row r="216" spans="1:10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</row>
    <row r="217" spans="1:10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</row>
    <row r="218" spans="1:10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</row>
    <row r="219" spans="1:10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</row>
    <row r="220" spans="1:10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</row>
    <row r="221" spans="1:10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</row>
    <row r="222" spans="1:10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</row>
    <row r="223" spans="1:10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</row>
    <row r="224" spans="1:10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</row>
    <row r="225" spans="1:10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</row>
    <row r="226" spans="1:10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</row>
    <row r="227" spans="1:10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</row>
    <row r="228" spans="1:10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</row>
    <row r="229" spans="1:10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</row>
    <row r="230" spans="1:10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</row>
    <row r="231" spans="1:10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</row>
    <row r="232" spans="1:10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</row>
    <row r="233" spans="1:10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</row>
    <row r="234" spans="1:10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</row>
    <row r="235" spans="1:10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</row>
    <row r="236" spans="1:10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</row>
    <row r="237" spans="1:10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</row>
    <row r="238" spans="1:10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</row>
    <row r="239" spans="1:10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</row>
    <row r="240" spans="1:10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</row>
    <row r="241" spans="1:10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</row>
    <row r="242" spans="1:10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</row>
    <row r="243" spans="1:10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</row>
    <row r="244" spans="1:10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</row>
    <row r="245" spans="1:10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</row>
    <row r="246" spans="1:10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</row>
    <row r="247" spans="1:10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</row>
    <row r="248" spans="1:10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</row>
    <row r="249" spans="1:10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</row>
    <row r="250" spans="1:10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</row>
    <row r="251" spans="1:10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</row>
    <row r="252" spans="1:10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</row>
    <row r="253" spans="1:10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</row>
    <row r="254" spans="1:10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</row>
    <row r="255" spans="1:102">
      <c r="I255"/>
    </row>
    <row r="256" spans="1:102">
      <c r="I256"/>
    </row>
    <row r="257" spans="9:9">
      <c r="I257"/>
    </row>
    <row r="258" spans="9:9">
      <c r="I258"/>
    </row>
    <row r="259" spans="9:9">
      <c r="I259"/>
    </row>
    <row r="260" spans="9:9">
      <c r="I260"/>
    </row>
    <row r="261" spans="9:9">
      <c r="I261"/>
    </row>
    <row r="262" spans="9:9">
      <c r="I262"/>
    </row>
    <row r="263" spans="9:9">
      <c r="I263"/>
    </row>
    <row r="264" spans="9:9">
      <c r="I264"/>
    </row>
    <row r="265" spans="9:9">
      <c r="I265"/>
    </row>
    <row r="266" spans="9:9">
      <c r="I266"/>
    </row>
    <row r="267" spans="9:9">
      <c r="I267"/>
    </row>
    <row r="268" spans="9:9">
      <c r="I268"/>
    </row>
    <row r="269" spans="9:9">
      <c r="I269"/>
    </row>
    <row r="270" spans="9:9">
      <c r="I270"/>
    </row>
    <row r="271" spans="9:9">
      <c r="I271"/>
    </row>
    <row r="272" spans="9:9">
      <c r="I272"/>
    </row>
    <row r="273" spans="9:9">
      <c r="I273"/>
    </row>
    <row r="274" spans="9:9">
      <c r="I274"/>
    </row>
  </sheetData>
  <mergeCells count="5">
    <mergeCell ref="A5:B5"/>
    <mergeCell ref="A1:A3"/>
    <mergeCell ref="G1:G3"/>
    <mergeCell ref="B1:F3"/>
    <mergeCell ref="A6:B7"/>
  </mergeCells>
  <printOptions horizontalCentered="1" verticalCentered="1"/>
  <pageMargins left="0.511811023622047" right="0.511811023622047" top="0.78740157480314998" bottom="0.78740157480314998" header="0.31496062992126" footer="0.31496062992126"/>
  <pageSetup paperSize="9" scale="60" orientation="landscape" r:id="rId4"/>
  <rowBreaks count="4" manualBreakCount="4">
    <brk id="36" max="6" man="1"/>
    <brk id="64" max="6" man="1"/>
    <brk id="96" max="6" man="1"/>
    <brk id="130" max="6" man="1"/>
  </rowBrea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CX254"/>
  <sheetViews>
    <sheetView view="pageBreakPreview" zoomScale="40" zoomScaleNormal="60" workbookViewId="0">
      <selection activeCell="I14" sqref="I14"/>
    </sheetView>
  </sheetViews>
  <sheetFormatPr defaultColWidth="9.109375" defaultRowHeight="15.6"/>
  <cols>
    <col min="1" max="1" width="32" style="52" customWidth="1"/>
    <col min="2" max="2" width="27.33203125" style="52" customWidth="1"/>
    <col min="3" max="3" width="32" style="52" customWidth="1"/>
    <col min="4" max="4" width="34.44140625" style="52" customWidth="1"/>
    <col min="5" max="6" width="32" style="52" customWidth="1"/>
    <col min="7" max="7" width="36.6640625" style="52" customWidth="1"/>
    <col min="8" max="8" width="7.5546875" style="52" customWidth="1"/>
    <col min="9" max="9" width="43.21875" style="53" bestFit="1" customWidth="1"/>
    <col min="10" max="10" width="17.33203125" style="52" bestFit="1" customWidth="1"/>
    <col min="11" max="11" width="32" style="52" customWidth="1"/>
    <col min="12" max="12" width="27.6640625" style="52" bestFit="1" customWidth="1"/>
    <col min="13" max="13" width="16.5546875" style="52" bestFit="1" customWidth="1"/>
    <col min="14" max="15" width="6.44140625" style="52" customWidth="1"/>
    <col min="16" max="16" width="27.6640625" style="52" bestFit="1" customWidth="1"/>
    <col min="17" max="17" width="17.33203125" style="52" bestFit="1" customWidth="1"/>
    <col min="18" max="18" width="12.6640625" style="52" customWidth="1"/>
    <col min="19" max="19" width="34.44140625" style="52" customWidth="1"/>
    <col min="20" max="20" width="34.109375" style="52" customWidth="1"/>
    <col min="21" max="21" width="35.44140625" style="52" customWidth="1"/>
    <col min="22" max="22" width="27.33203125" style="52" customWidth="1"/>
    <col min="23" max="23" width="24.88671875" style="52" customWidth="1"/>
    <col min="24" max="24" width="30.5546875" style="52" customWidth="1"/>
    <col min="25" max="25" width="29.44140625" style="52" customWidth="1"/>
    <col min="26" max="26" width="24.44140625" style="52" customWidth="1"/>
    <col min="27" max="27" width="26.88671875" style="52" customWidth="1"/>
    <col min="28" max="28" width="28.44140625" style="52" customWidth="1"/>
    <col min="29" max="29" width="26.33203125" style="52" customWidth="1"/>
    <col min="30" max="30" width="27.44140625" style="52" customWidth="1"/>
    <col min="31" max="31" width="23.109375" style="52" customWidth="1"/>
    <col min="32" max="32" width="15.33203125" style="52" customWidth="1"/>
    <col min="33" max="34" width="11.109375" style="52" customWidth="1"/>
    <col min="35" max="40" width="17.44140625" style="52" customWidth="1"/>
    <col min="41" max="41" width="21.44140625" style="52" customWidth="1"/>
    <col min="42" max="42" width="17.44140625" style="52" customWidth="1"/>
    <col min="43" max="43" width="25.44140625" style="52" customWidth="1"/>
    <col min="44" max="44" width="32" style="52" customWidth="1"/>
    <col min="45" max="45" width="38.6640625" style="52" customWidth="1"/>
    <col min="46" max="46" width="29.33203125" style="52" customWidth="1"/>
    <col min="47" max="47" width="32" style="52" customWidth="1"/>
    <col min="48" max="48" width="34.44140625" style="52" customWidth="1"/>
    <col min="49" max="49" width="25.44140625" style="52" customWidth="1"/>
    <col min="50" max="50" width="32" style="52" customWidth="1"/>
    <col min="51" max="51" width="34.44140625" style="52" customWidth="1"/>
    <col min="52" max="52" width="25.44140625" style="52" customWidth="1"/>
    <col min="53" max="53" width="32" style="52" customWidth="1"/>
    <col min="54" max="54" width="34.44140625" style="52" customWidth="1"/>
    <col min="55" max="55" width="25.44140625" style="52" customWidth="1"/>
    <col min="56" max="56" width="32" style="52" customWidth="1"/>
    <col min="57" max="57" width="34.44140625" style="52" customWidth="1"/>
    <col min="58" max="58" width="25.44140625" style="52" customWidth="1"/>
    <col min="59" max="59" width="32" style="52" customWidth="1"/>
    <col min="60" max="60" width="34.44140625" style="52" customWidth="1"/>
    <col min="61" max="61" width="25.44140625" style="52" customWidth="1"/>
    <col min="62" max="63" width="9.109375" style="52"/>
    <col min="64" max="64" width="32" style="52" customWidth="1"/>
    <col min="65" max="65" width="25.109375" style="52" customWidth="1"/>
    <col min="66" max="66" width="52.5546875" style="52" customWidth="1"/>
    <col min="67" max="67" width="15" style="52" customWidth="1"/>
    <col min="68" max="69" width="9.109375" style="52"/>
    <col min="70" max="70" width="28.33203125" style="52" customWidth="1"/>
    <col min="71" max="71" width="25.109375" style="52" customWidth="1"/>
    <col min="72" max="73" width="9.109375" style="52"/>
    <col min="74" max="74" width="32" style="52" customWidth="1"/>
    <col min="75" max="75" width="25.88671875" style="52" customWidth="1"/>
    <col min="76" max="76" width="17.44140625" style="52" customWidth="1"/>
    <col min="77" max="77" width="9.109375" style="52"/>
    <col min="78" max="78" width="25.88671875" style="52" customWidth="1"/>
    <col min="79" max="79" width="38" style="52" customWidth="1"/>
    <col min="80" max="80" width="42" style="52" customWidth="1"/>
    <col min="81" max="84" width="31.109375" style="52" customWidth="1"/>
    <col min="85" max="86" width="17.44140625" style="52" customWidth="1"/>
    <col min="87" max="87" width="11" style="52" customWidth="1"/>
    <col min="88" max="16384" width="9.109375" style="52"/>
  </cols>
  <sheetData>
    <row r="1" spans="1:102" ht="15.75" customHeight="1">
      <c r="A1" s="275" t="s">
        <v>217</v>
      </c>
      <c r="B1" s="285" t="str">
        <f>'PAINEL ENTRADA'!T1</f>
        <v>SÃO FRANCISCO</v>
      </c>
      <c r="C1" s="285"/>
      <c r="D1" s="285"/>
      <c r="E1" s="285"/>
      <c r="F1" s="285"/>
      <c r="G1" s="278">
        <f ca="1">TODAY()</f>
        <v>46294</v>
      </c>
      <c r="H1"/>
      <c r="I1" s="221" t="s">
        <v>58</v>
      </c>
      <c r="J1" t="s">
        <v>218</v>
      </c>
      <c r="K1"/>
      <c r="L1" s="221" t="s">
        <v>60</v>
      </c>
      <c r="M1" t="s">
        <v>68</v>
      </c>
      <c r="N1"/>
      <c r="O1"/>
      <c r="P1" s="221" t="s">
        <v>58</v>
      </c>
      <c r="Q1" t="s">
        <v>218</v>
      </c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</row>
    <row r="2" spans="1:102" ht="15.75" customHeight="1">
      <c r="A2" s="276"/>
      <c r="B2" s="286"/>
      <c r="C2" s="286"/>
      <c r="D2" s="286"/>
      <c r="E2" s="286"/>
      <c r="F2" s="286"/>
      <c r="G2" s="279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</row>
    <row r="3" spans="1:102" ht="15.75" customHeight="1">
      <c r="A3" s="277"/>
      <c r="B3" s="287"/>
      <c r="C3" s="287"/>
      <c r="D3" s="287"/>
      <c r="E3" s="287"/>
      <c r="F3" s="287"/>
      <c r="G3" s="280"/>
      <c r="H3"/>
      <c r="I3" t="s">
        <v>219</v>
      </c>
      <c r="J3"/>
      <c r="K3"/>
      <c r="L3" t="s">
        <v>214</v>
      </c>
      <c r="M3"/>
      <c r="N3"/>
      <c r="O3"/>
      <c r="P3" t="s">
        <v>214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</row>
    <row r="4" spans="1:102">
      <c r="A4" s="54"/>
      <c r="B4" s="54"/>
      <c r="C4" s="54"/>
      <c r="D4" s="54"/>
      <c r="E4" s="54"/>
      <c r="F4" s="54"/>
      <c r="G4" s="54"/>
      <c r="H4"/>
      <c r="I4" s="229"/>
      <c r="J4"/>
      <c r="K4"/>
      <c r="L4" s="229">
        <v>1046907.7600000001</v>
      </c>
      <c r="M4"/>
      <c r="N4"/>
      <c r="O4"/>
      <c r="P4" s="55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</row>
    <row r="5" spans="1:102" ht="21">
      <c r="A5" s="274" t="s">
        <v>220</v>
      </c>
      <c r="B5" s="274"/>
      <c r="C5"/>
      <c r="D5" s="274" t="s">
        <v>221</v>
      </c>
      <c r="E5" s="274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</row>
    <row r="6" spans="1:102">
      <c r="A6" s="283">
        <f>P4</f>
        <v>0</v>
      </c>
      <c r="B6" s="283"/>
      <c r="C6"/>
      <c r="D6" s="283">
        <f>L4</f>
        <v>1046907.7600000001</v>
      </c>
      <c r="E6" s="283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</row>
    <row r="7" spans="1:102">
      <c r="A7" s="284"/>
      <c r="B7" s="284"/>
      <c r="C7"/>
      <c r="D7" s="284"/>
      <c r="E7" s="284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</row>
    <row r="8" spans="1:10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</row>
    <row r="9" spans="1:102" ht="21">
      <c r="A9" s="274" t="s">
        <v>222</v>
      </c>
      <c r="B9" s="274"/>
      <c r="C9"/>
      <c r="D9" s="274" t="s">
        <v>223</v>
      </c>
      <c r="E9" s="274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</row>
    <row r="10" spans="1:102">
      <c r="A10" s="283">
        <f>I11</f>
        <v>0</v>
      </c>
      <c r="B10" s="283"/>
      <c r="C10"/>
      <c r="D10" s="283">
        <f>I4</f>
        <v>0</v>
      </c>
      <c r="E10" s="283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</row>
    <row r="11" spans="1:102">
      <c r="A11" s="284"/>
      <c r="B11" s="284"/>
      <c r="C11"/>
      <c r="D11" s="284"/>
      <c r="E11" s="284"/>
      <c r="F11"/>
      <c r="G11"/>
      <c r="H11"/>
      <c r="I11" s="2">
        <f>SUM(I12:I30)</f>
        <v>0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</row>
    <row r="12" spans="1:102">
      <c r="A12"/>
      <c r="B12"/>
      <c r="C12"/>
      <c r="D12"/>
      <c r="E12"/>
      <c r="F12"/>
      <c r="G12"/>
      <c r="H12"/>
      <c r="I12" s="2">
        <v>0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</row>
    <row r="13" spans="1:102" ht="21">
      <c r="A13" s="274" t="s">
        <v>224</v>
      </c>
      <c r="B13" s="274"/>
      <c r="C13"/>
      <c r="D13"/>
      <c r="E13"/>
      <c r="F13"/>
      <c r="G13"/>
      <c r="H13"/>
      <c r="I13" s="2">
        <v>0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</row>
    <row r="14" spans="1:102">
      <c r="A14" s="283">
        <f>A6-D6-A10-D10</f>
        <v>-1046907.7600000001</v>
      </c>
      <c r="B14" s="283"/>
      <c r="C14"/>
      <c r="D14"/>
      <c r="E14"/>
      <c r="F14"/>
      <c r="G14"/>
      <c r="H14"/>
      <c r="I14" s="2">
        <v>0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</row>
    <row r="15" spans="1:102">
      <c r="A15" s="284"/>
      <c r="B15" s="284"/>
      <c r="C15"/>
      <c r="D15"/>
      <c r="E15"/>
      <c r="F15"/>
      <c r="G15"/>
      <c r="H15"/>
      <c r="I15" s="2">
        <v>0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</row>
    <row r="16" spans="1:102">
      <c r="A16"/>
      <c r="B16"/>
      <c r="C16"/>
      <c r="D16"/>
      <c r="E16"/>
      <c r="F16"/>
      <c r="G16"/>
      <c r="H16"/>
      <c r="I16" s="2">
        <v>0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</row>
    <row r="17" spans="1:102">
      <c r="A17"/>
      <c r="B17"/>
      <c r="C17"/>
      <c r="D17"/>
      <c r="E17"/>
      <c r="F17"/>
      <c r="G17"/>
      <c r="H17"/>
      <c r="I17" s="2">
        <v>0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</row>
    <row r="18" spans="1:102">
      <c r="A18"/>
      <c r="B18"/>
      <c r="C18"/>
      <c r="D18"/>
      <c r="E18"/>
      <c r="F18"/>
      <c r="G18"/>
      <c r="H18"/>
      <c r="I18" s="2">
        <v>0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</row>
    <row r="19" spans="1:102">
      <c r="A19"/>
      <c r="B19"/>
      <c r="C19"/>
      <c r="D19"/>
      <c r="E19"/>
      <c r="F19"/>
      <c r="G19"/>
      <c r="H19"/>
      <c r="I19" s="2">
        <v>0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</row>
    <row r="20" spans="1:102">
      <c r="A20"/>
      <c r="B20"/>
      <c r="C20"/>
      <c r="D20"/>
      <c r="E20"/>
      <c r="F20"/>
      <c r="G20"/>
      <c r="H20"/>
      <c r="I20" s="2">
        <v>0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</row>
    <row r="21" spans="1:102">
      <c r="A21"/>
      <c r="B21"/>
      <c r="C21"/>
      <c r="D21"/>
      <c r="E21"/>
      <c r="F21"/>
      <c r="G21"/>
      <c r="H21"/>
      <c r="I21" s="2">
        <v>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</row>
    <row r="22" spans="1:102">
      <c r="A22"/>
      <c r="B22"/>
      <c r="C22"/>
      <c r="D22"/>
      <c r="E22"/>
      <c r="F22"/>
      <c r="G22"/>
      <c r="H22"/>
      <c r="I22" s="2">
        <v>0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</row>
    <row r="23" spans="1:102">
      <c r="A23"/>
      <c r="B23"/>
      <c r="C23"/>
      <c r="D23"/>
      <c r="E23"/>
      <c r="F23"/>
      <c r="G23"/>
      <c r="H23"/>
      <c r="I23" s="2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</row>
    <row r="24" spans="1:102">
      <c r="A24"/>
      <c r="B24"/>
      <c r="C24"/>
      <c r="D24"/>
      <c r="E24"/>
      <c r="F24"/>
      <c r="G24"/>
      <c r="H24"/>
      <c r="I24" s="2"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</row>
    <row r="25" spans="1:102">
      <c r="A25"/>
      <c r="B25"/>
      <c r="C25"/>
      <c r="D25"/>
      <c r="E25"/>
      <c r="F25"/>
      <c r="G25"/>
      <c r="H25"/>
      <c r="I25" s="2"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</row>
    <row r="26" spans="1:102">
      <c r="A26"/>
      <c r="B26"/>
      <c r="C26"/>
      <c r="D26"/>
      <c r="E26"/>
      <c r="F26"/>
      <c r="G26"/>
      <c r="H26"/>
      <c r="I26" s="2">
        <v>0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</row>
    <row r="27" spans="1:102">
      <c r="A27"/>
      <c r="B27"/>
      <c r="C27"/>
      <c r="D27"/>
      <c r="E27"/>
      <c r="F27"/>
      <c r="G27"/>
      <c r="H27"/>
      <c r="I27" s="2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</row>
    <row r="28" spans="1:102">
      <c r="A28"/>
      <c r="B28"/>
      <c r="C28"/>
      <c r="D28"/>
      <c r="E28"/>
      <c r="F28"/>
      <c r="G28"/>
      <c r="H28"/>
      <c r="I28" s="2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</row>
    <row r="29" spans="1:102">
      <c r="A29"/>
      <c r="B29"/>
      <c r="C29"/>
      <c r="D29"/>
      <c r="E29"/>
      <c r="F29"/>
      <c r="G29"/>
      <c r="H29"/>
      <c r="I29" s="2">
        <v>0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</row>
    <row r="30" spans="1:102">
      <c r="A30"/>
      <c r="B30"/>
      <c r="C30"/>
      <c r="D30"/>
      <c r="E30"/>
      <c r="F30"/>
      <c r="G30"/>
      <c r="H30"/>
      <c r="I30" s="2">
        <v>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</row>
    <row r="31" spans="1:102">
      <c r="A31"/>
      <c r="B31"/>
      <c r="C31"/>
      <c r="D31"/>
      <c r="E31"/>
      <c r="F31"/>
      <c r="G31"/>
      <c r="H31"/>
      <c r="I31" s="2">
        <v>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</row>
    <row r="32" spans="1:102">
      <c r="A32"/>
      <c r="B32"/>
      <c r="C32"/>
      <c r="D32"/>
      <c r="E32"/>
      <c r="F32"/>
      <c r="G32"/>
      <c r="H32"/>
      <c r="I32" s="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</row>
    <row r="33" spans="1:102">
      <c r="A33"/>
      <c r="B33"/>
      <c r="C33"/>
      <c r="D33"/>
      <c r="E33"/>
      <c r="F33"/>
      <c r="G33"/>
      <c r="H33"/>
      <c r="I33" s="2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</row>
    <row r="34" spans="1:102">
      <c r="A34"/>
      <c r="B34"/>
      <c r="C34"/>
      <c r="D34"/>
      <c r="E34"/>
      <c r="F34"/>
      <c r="G34"/>
      <c r="H34"/>
      <c r="I34" s="2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</row>
    <row r="35" spans="1:102">
      <c r="A35"/>
      <c r="B35"/>
      <c r="C35"/>
      <c r="D35"/>
      <c r="E35"/>
      <c r="F35"/>
      <c r="G35"/>
      <c r="H35"/>
      <c r="I35" s="2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</row>
    <row r="36" spans="1:102">
      <c r="A36"/>
      <c r="B36"/>
      <c r="C36"/>
      <c r="D36"/>
      <c r="E36"/>
      <c r="F36"/>
      <c r="G36"/>
      <c r="H36"/>
      <c r="I36" s="2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</row>
    <row r="37" spans="1:102">
      <c r="A37"/>
      <c r="B37"/>
      <c r="C37"/>
      <c r="D37"/>
      <c r="E37"/>
      <c r="F37"/>
      <c r="G37"/>
      <c r="H37"/>
      <c r="I37" s="2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</row>
    <row r="38" spans="1:102">
      <c r="A38"/>
      <c r="B38"/>
      <c r="C38"/>
      <c r="D38"/>
      <c r="E38"/>
      <c r="F38"/>
      <c r="G38"/>
      <c r="H38"/>
      <c r="I38" s="2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</row>
    <row r="39" spans="1:102">
      <c r="A39"/>
      <c r="B39"/>
      <c r="C39"/>
      <c r="D39"/>
      <c r="E39"/>
      <c r="F39"/>
      <c r="G39"/>
      <c r="H39"/>
      <c r="I39" s="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</row>
    <row r="40" spans="1:10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</row>
    <row r="41" spans="1:10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</row>
    <row r="42" spans="1:10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</row>
    <row r="43" spans="1:10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</row>
    <row r="44" spans="1:10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</row>
    <row r="45" spans="1:10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</row>
    <row r="46" spans="1:10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</row>
    <row r="47" spans="1:10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</row>
    <row r="48" spans="1:10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</row>
    <row r="49" spans="1:10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</row>
    <row r="50" spans="1:10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</row>
    <row r="51" spans="1:10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</row>
    <row r="52" spans="1:10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</row>
    <row r="53" spans="1:10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</row>
    <row r="54" spans="1:10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</row>
    <row r="55" spans="1:10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</row>
    <row r="56" spans="1:10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</row>
    <row r="57" spans="1:10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</row>
    <row r="58" spans="1:10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</row>
    <row r="59" spans="1:10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</row>
    <row r="60" spans="1:10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</row>
    <row r="61" spans="1:10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</row>
    <row r="62" spans="1:10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</row>
    <row r="63" spans="1:10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</row>
    <row r="64" spans="1:10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</row>
    <row r="65" spans="1:10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</row>
    <row r="66" spans="1:10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</row>
    <row r="67" spans="1:10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</row>
    <row r="68" spans="1:10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</row>
    <row r="69" spans="1:10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</row>
    <row r="70" spans="1:10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</row>
    <row r="71" spans="1:10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</row>
    <row r="72" spans="1:10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</row>
    <row r="73" spans="1:10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</row>
    <row r="74" spans="1:10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</row>
    <row r="75" spans="1:10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</row>
    <row r="76" spans="1:10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</row>
    <row r="77" spans="1:10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</row>
    <row r="78" spans="1:10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</row>
    <row r="79" spans="1:10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</row>
    <row r="80" spans="1:10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</row>
    <row r="81" spans="1:10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</row>
    <row r="82" spans="1:10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</row>
    <row r="83" spans="1:10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</row>
    <row r="84" spans="1:10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</row>
    <row r="85" spans="1:10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</row>
    <row r="86" spans="1:10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</row>
    <row r="87" spans="1:10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</row>
    <row r="88" spans="1:10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</row>
    <row r="89" spans="1:10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</row>
    <row r="90" spans="1:10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</row>
    <row r="91" spans="1:10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</row>
    <row r="92" spans="1:10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</row>
    <row r="93" spans="1:10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</row>
    <row r="94" spans="1:10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</row>
    <row r="95" spans="1:10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</row>
    <row r="96" spans="1:10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</row>
    <row r="97" spans="1:10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</row>
    <row r="98" spans="1:10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</row>
    <row r="99" spans="1:10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</row>
    <row r="100" spans="1:10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</row>
    <row r="101" spans="1:10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</row>
    <row r="102" spans="1:10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</row>
    <row r="103" spans="1:10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</row>
    <row r="104" spans="1:10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</row>
    <row r="105" spans="1:10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</row>
    <row r="106" spans="1:10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</row>
    <row r="107" spans="1:10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</row>
    <row r="108" spans="1:10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</row>
    <row r="109" spans="1:10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</row>
    <row r="110" spans="1:10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</row>
    <row r="111" spans="1:10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</row>
    <row r="112" spans="1:10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</row>
    <row r="113" spans="1:10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</row>
    <row r="114" spans="1:10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</row>
    <row r="115" spans="1:10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</row>
    <row r="116" spans="1:10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</row>
    <row r="117" spans="1:10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</row>
    <row r="118" spans="1:10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</row>
    <row r="119" spans="1:10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</row>
    <row r="120" spans="1:10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</row>
    <row r="121" spans="1:10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</row>
    <row r="122" spans="1:10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</row>
    <row r="123" spans="1:10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</row>
    <row r="124" spans="1:10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</row>
    <row r="125" spans="1:10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</row>
    <row r="126" spans="1:10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</row>
    <row r="127" spans="1:10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</row>
    <row r="128" spans="1:10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</row>
    <row r="129" spans="1:10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</row>
    <row r="130" spans="1:10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</row>
    <row r="131" spans="1:10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</row>
    <row r="132" spans="1:10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</row>
    <row r="133" spans="1:10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</row>
    <row r="134" spans="1:10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</row>
    <row r="135" spans="1:10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</row>
    <row r="136" spans="1:10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</row>
    <row r="137" spans="1:10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</row>
    <row r="138" spans="1:10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</row>
    <row r="139" spans="1:10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</row>
    <row r="140" spans="1:10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</row>
    <row r="141" spans="1:10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</row>
    <row r="142" spans="1:10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</row>
    <row r="143" spans="1:10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</row>
    <row r="144" spans="1:10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</row>
    <row r="145" spans="1:10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</row>
    <row r="146" spans="1:10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</row>
    <row r="147" spans="1:10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</row>
    <row r="148" spans="1:10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</row>
    <row r="149" spans="1:10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</row>
    <row r="150" spans="1:10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</row>
    <row r="151" spans="1:10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</row>
    <row r="152" spans="1:10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</row>
    <row r="153" spans="1:10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</row>
    <row r="154" spans="1:10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</row>
    <row r="155" spans="1:10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</row>
    <row r="156" spans="1:10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</row>
    <row r="157" spans="1:10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</row>
    <row r="158" spans="1:10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</row>
    <row r="159" spans="1:10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</row>
    <row r="160" spans="1:10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</row>
    <row r="161" spans="1:10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</row>
    <row r="162" spans="1:10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</row>
    <row r="163" spans="1:10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</row>
    <row r="164" spans="1:10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</row>
    <row r="165" spans="1:10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</row>
    <row r="166" spans="1:10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</row>
    <row r="167" spans="1:10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</row>
    <row r="168" spans="1:10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</row>
    <row r="169" spans="1:10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</row>
    <row r="170" spans="1:10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</row>
    <row r="171" spans="1:10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</row>
    <row r="172" spans="1:10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</row>
    <row r="173" spans="1:10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</row>
    <row r="174" spans="1:10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</row>
    <row r="175" spans="1:10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</row>
    <row r="176" spans="1:10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</row>
    <row r="177" spans="1:10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</row>
    <row r="178" spans="1:10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</row>
    <row r="179" spans="1:10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</row>
    <row r="180" spans="1:10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</row>
    <row r="181" spans="1:10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</row>
    <row r="182" spans="1:10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</row>
    <row r="183" spans="1:10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</row>
    <row r="184" spans="1:10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</row>
    <row r="185" spans="1:10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</row>
    <row r="186" spans="1:10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</row>
    <row r="187" spans="1:10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</row>
    <row r="188" spans="1:10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</row>
    <row r="189" spans="1:10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</row>
    <row r="190" spans="1:10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</row>
    <row r="191" spans="1:10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</row>
    <row r="192" spans="1:10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</row>
    <row r="193" spans="1:10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</row>
    <row r="194" spans="1:10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</row>
    <row r="195" spans="1:10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</row>
    <row r="196" spans="1:10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</row>
    <row r="197" spans="1:10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</row>
    <row r="198" spans="1:10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</row>
    <row r="199" spans="1:10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</row>
    <row r="200" spans="1:10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</row>
    <row r="201" spans="1:10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</row>
    <row r="202" spans="1:10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</row>
    <row r="203" spans="1:10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</row>
    <row r="204" spans="1:10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</row>
    <row r="205" spans="1:10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</row>
    <row r="206" spans="1:10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</row>
    <row r="207" spans="1:10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</row>
    <row r="208" spans="1:10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</row>
    <row r="209" spans="1:10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</row>
    <row r="210" spans="1:10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</row>
    <row r="211" spans="1:10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</row>
    <row r="212" spans="1:10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</row>
    <row r="213" spans="1:10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</row>
    <row r="214" spans="1:10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</row>
    <row r="215" spans="1:10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</row>
    <row r="216" spans="1:10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</row>
    <row r="217" spans="1:10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</row>
    <row r="218" spans="1:10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</row>
    <row r="219" spans="1:10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</row>
    <row r="220" spans="1:10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</row>
    <row r="221" spans="1:10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</row>
    <row r="222" spans="1:10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</row>
    <row r="223" spans="1:10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</row>
    <row r="224" spans="1:10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</row>
    <row r="225" spans="1:10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</row>
    <row r="226" spans="1:10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</row>
    <row r="227" spans="1:10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</row>
    <row r="228" spans="1:10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</row>
    <row r="229" spans="1:10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</row>
    <row r="230" spans="1:10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</row>
    <row r="231" spans="1:10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</row>
    <row r="232" spans="1:10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</row>
    <row r="233" spans="1:10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</row>
    <row r="234" spans="1:10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</row>
    <row r="235" spans="1:10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</row>
    <row r="236" spans="1:10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</row>
    <row r="237" spans="1:10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</row>
    <row r="238" spans="1:10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</row>
    <row r="239" spans="1:10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</row>
    <row r="240" spans="1:10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</row>
    <row r="241" spans="1:10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</row>
    <row r="242" spans="1:10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</row>
    <row r="243" spans="1:10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</row>
    <row r="244" spans="1:10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</row>
    <row r="245" spans="1:10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</row>
    <row r="246" spans="1:10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</row>
    <row r="247" spans="1:10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</row>
    <row r="248" spans="1:10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</row>
    <row r="249" spans="1:10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</row>
    <row r="250" spans="1:10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</row>
    <row r="251" spans="1:10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</row>
    <row r="252" spans="1:10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</row>
    <row r="253" spans="1:10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</row>
    <row r="254" spans="1:10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</row>
  </sheetData>
  <mergeCells count="13">
    <mergeCell ref="A1:A3"/>
    <mergeCell ref="G1:G3"/>
    <mergeCell ref="A14:B15"/>
    <mergeCell ref="A10:B11"/>
    <mergeCell ref="D10:E11"/>
    <mergeCell ref="B1:F3"/>
    <mergeCell ref="A6:B7"/>
    <mergeCell ref="D6:E7"/>
    <mergeCell ref="A5:B5"/>
    <mergeCell ref="D5:E5"/>
    <mergeCell ref="A9:B9"/>
    <mergeCell ref="D9:E9"/>
    <mergeCell ref="A13:B13"/>
  </mergeCells>
  <printOptions horizontalCentered="1" verticalCentered="1"/>
  <pageMargins left="0.511811023622047" right="0.511811023622047" top="0.78740157480314998" bottom="0.78740157480314998" header="0.31496062992126" footer="0.31496062992126"/>
  <pageSetup paperSize="9" scale="60" orientation="landscape" r:id="rId4"/>
  <rowBreaks count="4" manualBreakCount="4">
    <brk id="34" max="6" man="1"/>
    <brk id="64" max="6" man="1"/>
    <brk id="96" max="6" man="1"/>
    <brk id="130" max="6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  <pageSetUpPr fitToPage="1"/>
  </sheetPr>
  <dimension ref="A1:P166"/>
  <sheetViews>
    <sheetView topLeftCell="D1" workbookViewId="0">
      <selection activeCell="N13" sqref="N13:O16"/>
    </sheetView>
  </sheetViews>
  <sheetFormatPr defaultColWidth="9" defaultRowHeight="14.4"/>
  <cols>
    <col min="1" max="1" width="17.5546875" style="2" customWidth="1"/>
    <col min="2" max="2" width="15.109375" style="2" customWidth="1"/>
    <col min="3" max="3" width="17" style="4" customWidth="1"/>
    <col min="4" max="4" width="13.88671875" style="5" customWidth="1"/>
    <col min="5" max="5" width="12" style="2" customWidth="1"/>
    <col min="6" max="6" width="17.88671875" style="2" customWidth="1"/>
    <col min="7" max="7" width="18.88671875" style="2" customWidth="1"/>
    <col min="8" max="8" width="17.44140625" style="2" customWidth="1"/>
    <col min="9" max="9" width="4" style="6" customWidth="1"/>
    <col min="10" max="10" width="12.5546875" style="7" customWidth="1"/>
    <col min="11" max="11" width="15.44140625" style="8" customWidth="1"/>
    <col min="12" max="12" width="24.109375" style="7" customWidth="1"/>
    <col min="13" max="13" width="3.6640625" customWidth="1"/>
    <col min="14" max="14" width="12.6640625" customWidth="1"/>
    <col min="15" max="15" width="17.44140625" style="2" customWidth="1"/>
    <col min="16" max="16" width="17.33203125" style="7" customWidth="1"/>
  </cols>
  <sheetData>
    <row r="1" spans="1:16" ht="15" customHeight="1">
      <c r="A1" s="288" t="s">
        <v>225</v>
      </c>
      <c r="B1" s="289"/>
      <c r="C1" s="289"/>
      <c r="D1" s="289"/>
      <c r="E1" s="289"/>
      <c r="F1" s="289"/>
      <c r="G1" s="289"/>
      <c r="H1" s="289"/>
      <c r="I1" s="28"/>
      <c r="J1" s="292" t="s">
        <v>226</v>
      </c>
      <c r="K1" s="293"/>
      <c r="L1" s="294"/>
      <c r="M1" s="29"/>
      <c r="N1" s="293" t="s">
        <v>227</v>
      </c>
      <c r="O1" s="293"/>
      <c r="P1" s="294"/>
    </row>
    <row r="2" spans="1:16" ht="15" customHeight="1">
      <c r="A2" s="290"/>
      <c r="B2" s="291"/>
      <c r="C2" s="291"/>
      <c r="D2" s="291"/>
      <c r="E2" s="291"/>
      <c r="F2" s="291"/>
      <c r="G2" s="291"/>
      <c r="H2" s="291"/>
      <c r="I2" s="30"/>
      <c r="J2" s="295"/>
      <c r="K2" s="296"/>
      <c r="L2" s="297"/>
      <c r="M2" s="31"/>
      <c r="N2" s="296"/>
      <c r="O2" s="296"/>
      <c r="P2" s="297"/>
    </row>
    <row r="3" spans="1:16" ht="15" customHeight="1">
      <c r="A3" s="290"/>
      <c r="B3" s="291"/>
      <c r="C3" s="291"/>
      <c r="D3" s="291"/>
      <c r="E3" s="291"/>
      <c r="F3" s="291"/>
      <c r="G3" s="291"/>
      <c r="H3" s="291"/>
      <c r="I3" s="30"/>
      <c r="J3" s="295"/>
      <c r="K3" s="296"/>
      <c r="L3" s="297"/>
      <c r="M3" s="31"/>
      <c r="N3" s="296"/>
      <c r="O3" s="296"/>
      <c r="P3" s="297"/>
    </row>
    <row r="4" spans="1:16" ht="18" customHeight="1">
      <c r="A4" s="9" t="s">
        <v>35</v>
      </c>
      <c r="B4" s="10" t="s">
        <v>228</v>
      </c>
      <c r="C4" s="10" t="s">
        <v>229</v>
      </c>
      <c r="D4" s="300" t="s">
        <v>230</v>
      </c>
      <c r="E4" s="300"/>
      <c r="F4" s="10" t="s">
        <v>231</v>
      </c>
      <c r="G4" s="10" t="s">
        <v>232</v>
      </c>
      <c r="H4" s="11" t="s">
        <v>233</v>
      </c>
      <c r="I4" s="30"/>
      <c r="J4" s="301" t="s">
        <v>234</v>
      </c>
      <c r="K4" s="302"/>
      <c r="L4" s="34">
        <f>SUMIF(L13:L1048576,L13,K13:K1048576)</f>
        <v>0</v>
      </c>
      <c r="M4" s="31"/>
      <c r="N4" s="299" t="s">
        <v>235</v>
      </c>
      <c r="O4" s="299"/>
      <c r="P4" s="36">
        <f>SUMIF(P13:P1048576,N4,O13:O1048576)</f>
        <v>0</v>
      </c>
    </row>
    <row r="5" spans="1:16" ht="18">
      <c r="A5" s="12">
        <f>SUM(B13:B1048576)</f>
        <v>0</v>
      </c>
      <c r="B5" s="13">
        <f>SUM(C13:C1048576)</f>
        <v>0</v>
      </c>
      <c r="C5" s="14" t="e">
        <f>SUM(B5/A5/2/15)</f>
        <v>#DIV/0!</v>
      </c>
      <c r="D5" s="303">
        <f>SUM(F13:F1048576)</f>
        <v>0</v>
      </c>
      <c r="E5" s="303"/>
      <c r="F5" s="15">
        <f>IFERROR(SUM(D5/A5),0)</f>
        <v>0</v>
      </c>
      <c r="G5" s="16">
        <f>SUM(B5/2/15)</f>
        <v>0</v>
      </c>
      <c r="H5" s="15">
        <f>IFERROR(SUM(D5/G5),0)</f>
        <v>0</v>
      </c>
      <c r="I5" s="30"/>
      <c r="J5" s="301" t="s">
        <v>236</v>
      </c>
      <c r="K5" s="302"/>
      <c r="L5" s="34">
        <f>SUMIF(L13:L1048576,J5,K13:K1048576)</f>
        <v>0</v>
      </c>
      <c r="M5" s="31"/>
      <c r="N5" s="299" t="s">
        <v>236</v>
      </c>
      <c r="O5" s="299"/>
      <c r="P5" s="36">
        <f>SUMIF(P13:P1048576,N5,O13:O1048576)</f>
        <v>0</v>
      </c>
    </row>
    <row r="6" spans="1:16" ht="18">
      <c r="A6" s="17"/>
      <c r="B6" s="18"/>
      <c r="C6" s="18"/>
      <c r="D6" s="18"/>
      <c r="E6" s="18"/>
      <c r="F6" s="18"/>
      <c r="G6" s="18"/>
      <c r="H6" s="18"/>
      <c r="I6" s="30"/>
      <c r="J6" s="32"/>
      <c r="K6" s="33"/>
      <c r="L6" s="34"/>
      <c r="M6" s="31"/>
      <c r="N6" s="35"/>
      <c r="O6" s="35"/>
      <c r="P6" s="37"/>
    </row>
    <row r="7" spans="1:16" ht="15.6">
      <c r="A7" s="19"/>
      <c r="B7" s="20"/>
      <c r="C7" s="20"/>
      <c r="D7" s="20"/>
      <c r="E7" s="20"/>
      <c r="F7" s="20"/>
      <c r="G7" s="20"/>
      <c r="H7" s="20"/>
      <c r="I7" s="38"/>
      <c r="J7" s="39"/>
      <c r="K7" s="40"/>
      <c r="L7" s="41"/>
      <c r="M7" s="19"/>
      <c r="N7" s="42"/>
      <c r="O7" s="42"/>
      <c r="P7" s="43"/>
    </row>
    <row r="8" spans="1:16">
      <c r="A8"/>
      <c r="B8"/>
      <c r="C8"/>
      <c r="D8"/>
      <c r="E8"/>
      <c r="F8"/>
      <c r="G8"/>
      <c r="H8"/>
      <c r="I8"/>
      <c r="J8"/>
      <c r="K8"/>
      <c r="L8"/>
      <c r="O8"/>
      <c r="P8"/>
    </row>
    <row r="9" spans="1:16">
      <c r="A9"/>
      <c r="B9"/>
      <c r="C9"/>
      <c r="D9"/>
      <c r="E9"/>
      <c r="F9"/>
      <c r="G9"/>
      <c r="H9"/>
      <c r="I9"/>
      <c r="J9"/>
      <c r="K9"/>
      <c r="L9"/>
      <c r="O9"/>
      <c r="P9"/>
    </row>
    <row r="10" spans="1:16">
      <c r="A10" s="298" t="s">
        <v>237</v>
      </c>
      <c r="B10" s="298"/>
      <c r="C10" s="298"/>
      <c r="D10" s="298"/>
      <c r="E10" s="298"/>
      <c r="F10" s="298"/>
      <c r="G10" s="298"/>
      <c r="H10" s="298"/>
      <c r="I10"/>
      <c r="J10" s="296" t="s">
        <v>238</v>
      </c>
      <c r="K10" s="296"/>
      <c r="L10" s="296"/>
      <c r="N10" s="299" t="s">
        <v>239</v>
      </c>
      <c r="O10" s="299"/>
      <c r="P10" s="299"/>
    </row>
    <row r="11" spans="1:16">
      <c r="A11" s="298"/>
      <c r="B11" s="298"/>
      <c r="C11" s="298"/>
      <c r="D11" s="298"/>
      <c r="E11" s="298"/>
      <c r="F11" s="298"/>
      <c r="G11" s="298"/>
      <c r="H11" s="298"/>
      <c r="I11"/>
      <c r="J11" s="296"/>
      <c r="K11" s="296"/>
      <c r="L11" s="296"/>
      <c r="N11" s="299"/>
      <c r="O11" s="299"/>
      <c r="P11" s="299"/>
    </row>
    <row r="12" spans="1:16" ht="15.6">
      <c r="A12" s="21" t="s">
        <v>31</v>
      </c>
      <c r="B12" s="21" t="s">
        <v>35</v>
      </c>
      <c r="C12" s="21" t="s">
        <v>228</v>
      </c>
      <c r="D12" s="21" t="s">
        <v>240</v>
      </c>
      <c r="E12" s="21" t="s">
        <v>241</v>
      </c>
      <c r="F12" s="21" t="s">
        <v>242</v>
      </c>
      <c r="G12" s="22" t="s">
        <v>231</v>
      </c>
      <c r="H12" s="21" t="s">
        <v>243</v>
      </c>
      <c r="I12" s="44" t="s">
        <v>244</v>
      </c>
      <c r="J12" s="21" t="s">
        <v>31</v>
      </c>
      <c r="K12" s="21" t="s">
        <v>245</v>
      </c>
      <c r="L12" s="45" t="s">
        <v>197</v>
      </c>
      <c r="N12" s="21" t="s">
        <v>31</v>
      </c>
      <c r="O12" s="21" t="s">
        <v>35</v>
      </c>
      <c r="P12" s="21" t="s">
        <v>197</v>
      </c>
    </row>
    <row r="13" spans="1:16">
      <c r="A13" s="23"/>
      <c r="B13" s="24"/>
      <c r="C13" s="25"/>
      <c r="D13" s="26">
        <f>IFERROR(SUM(C13/B13)/2/15,0)</f>
        <v>0</v>
      </c>
      <c r="E13" s="24"/>
      <c r="F13" s="27"/>
      <c r="G13" s="27">
        <f>IFERROR(SUM(F13/B13),0)</f>
        <v>0</v>
      </c>
      <c r="H13" s="27">
        <f>IFERROR(SUM(F13/I13),0)</f>
        <v>0</v>
      </c>
      <c r="I13" s="46">
        <f>SUM(C13/2/15)</f>
        <v>0</v>
      </c>
      <c r="J13" s="47"/>
      <c r="K13" s="48"/>
      <c r="L13" s="49" t="s">
        <v>234</v>
      </c>
      <c r="N13" s="50"/>
      <c r="O13" s="24"/>
      <c r="P13" s="49" t="s">
        <v>235</v>
      </c>
    </row>
    <row r="14" spans="1:16">
      <c r="A14" s="23"/>
      <c r="B14" s="24"/>
      <c r="C14" s="25"/>
      <c r="D14" s="26">
        <f t="shared" ref="D14:D77" si="0">IFERROR(SUM(C14/B14)/2/15,0)</f>
        <v>0</v>
      </c>
      <c r="E14" s="24"/>
      <c r="F14" s="27"/>
      <c r="G14" s="27">
        <f t="shared" ref="G14:G77" si="1">IFERROR(SUM(F14/B14),0)</f>
        <v>0</v>
      </c>
      <c r="H14" s="27">
        <f t="shared" ref="H14:H77" si="2">IFERROR(SUM(F14/I14),0)</f>
        <v>0</v>
      </c>
      <c r="I14" s="46">
        <f t="shared" ref="I14:I77" si="3">SUM(C14/2/15)</f>
        <v>0</v>
      </c>
      <c r="J14" s="47"/>
      <c r="K14" s="48"/>
      <c r="L14" s="49" t="s">
        <v>234</v>
      </c>
      <c r="N14" s="51"/>
      <c r="O14" s="24"/>
      <c r="P14" s="49" t="s">
        <v>236</v>
      </c>
    </row>
    <row r="15" spans="1:16">
      <c r="A15" s="23"/>
      <c r="B15" s="24"/>
      <c r="C15" s="25"/>
      <c r="D15" s="26">
        <f t="shared" si="0"/>
        <v>0</v>
      </c>
      <c r="E15" s="24"/>
      <c r="F15" s="27"/>
      <c r="G15" s="27">
        <f t="shared" si="1"/>
        <v>0</v>
      </c>
      <c r="H15" s="27">
        <f t="shared" si="2"/>
        <v>0</v>
      </c>
      <c r="I15" s="46">
        <f t="shared" si="3"/>
        <v>0</v>
      </c>
      <c r="J15" s="47"/>
      <c r="K15" s="48"/>
      <c r="L15" s="49" t="s">
        <v>234</v>
      </c>
      <c r="N15" s="51"/>
      <c r="O15" s="24"/>
      <c r="P15" s="49" t="s">
        <v>236</v>
      </c>
    </row>
    <row r="16" spans="1:16">
      <c r="A16" s="23"/>
      <c r="B16" s="24"/>
      <c r="C16" s="25"/>
      <c r="D16" s="26">
        <f t="shared" si="0"/>
        <v>0</v>
      </c>
      <c r="E16" s="24"/>
      <c r="F16" s="27"/>
      <c r="G16" s="27">
        <f t="shared" si="1"/>
        <v>0</v>
      </c>
      <c r="H16" s="27">
        <f t="shared" si="2"/>
        <v>0</v>
      </c>
      <c r="I16" s="46">
        <f t="shared" si="3"/>
        <v>0</v>
      </c>
      <c r="J16" s="47"/>
      <c r="K16" s="48"/>
      <c r="L16" s="49" t="s">
        <v>234</v>
      </c>
      <c r="N16" s="51"/>
      <c r="O16" s="24"/>
      <c r="P16" s="49" t="s">
        <v>236</v>
      </c>
    </row>
    <row r="17" spans="1:16">
      <c r="A17" s="23"/>
      <c r="B17" s="24"/>
      <c r="C17" s="25"/>
      <c r="D17" s="26">
        <f t="shared" si="0"/>
        <v>0</v>
      </c>
      <c r="E17" s="24"/>
      <c r="F17" s="27"/>
      <c r="G17" s="27">
        <f t="shared" si="1"/>
        <v>0</v>
      </c>
      <c r="H17" s="27">
        <f t="shared" si="2"/>
        <v>0</v>
      </c>
      <c r="I17" s="46">
        <f t="shared" si="3"/>
        <v>0</v>
      </c>
      <c r="J17" s="49"/>
      <c r="K17" s="48"/>
      <c r="L17" s="49" t="s">
        <v>236</v>
      </c>
      <c r="N17" s="51"/>
      <c r="O17" s="24"/>
      <c r="P17" s="49"/>
    </row>
    <row r="18" spans="1:16">
      <c r="A18" s="23"/>
      <c r="B18" s="24"/>
      <c r="C18" s="25"/>
      <c r="D18" s="26">
        <f t="shared" si="0"/>
        <v>0</v>
      </c>
      <c r="E18" s="24"/>
      <c r="F18" s="27"/>
      <c r="G18" s="27">
        <f t="shared" si="1"/>
        <v>0</v>
      </c>
      <c r="H18" s="27">
        <f t="shared" si="2"/>
        <v>0</v>
      </c>
      <c r="I18" s="46">
        <f t="shared" si="3"/>
        <v>0</v>
      </c>
      <c r="J18" s="49"/>
      <c r="K18" s="48"/>
      <c r="L18" s="49" t="s">
        <v>236</v>
      </c>
      <c r="N18" s="51"/>
      <c r="O18" s="24"/>
      <c r="P18" s="49"/>
    </row>
    <row r="19" spans="1:16">
      <c r="A19" s="23"/>
      <c r="B19" s="24"/>
      <c r="C19" s="25"/>
      <c r="D19" s="26">
        <f t="shared" si="0"/>
        <v>0</v>
      </c>
      <c r="E19" s="24"/>
      <c r="F19" s="27"/>
      <c r="G19" s="27">
        <f t="shared" si="1"/>
        <v>0</v>
      </c>
      <c r="H19" s="27">
        <f t="shared" si="2"/>
        <v>0</v>
      </c>
      <c r="I19" s="46">
        <f t="shared" si="3"/>
        <v>0</v>
      </c>
      <c r="J19" s="49"/>
      <c r="K19" s="48"/>
      <c r="L19" s="49" t="s">
        <v>236</v>
      </c>
      <c r="N19" s="51"/>
      <c r="O19" s="24"/>
      <c r="P19" s="49"/>
    </row>
    <row r="20" spans="1:16">
      <c r="A20" s="24"/>
      <c r="B20" s="24"/>
      <c r="C20" s="25"/>
      <c r="D20" s="26">
        <f t="shared" si="0"/>
        <v>0</v>
      </c>
      <c r="E20" s="24"/>
      <c r="F20" s="27"/>
      <c r="G20" s="27">
        <f t="shared" si="1"/>
        <v>0</v>
      </c>
      <c r="H20" s="27">
        <f t="shared" si="2"/>
        <v>0</v>
      </c>
      <c r="I20" s="46">
        <f t="shared" si="3"/>
        <v>0</v>
      </c>
      <c r="J20" s="49"/>
      <c r="K20" s="48"/>
      <c r="L20" s="49"/>
      <c r="N20" s="51"/>
      <c r="O20" s="24"/>
      <c r="P20" s="49"/>
    </row>
    <row r="21" spans="1:16">
      <c r="A21" s="24"/>
      <c r="B21" s="24"/>
      <c r="C21" s="25"/>
      <c r="D21" s="26">
        <f t="shared" si="0"/>
        <v>0</v>
      </c>
      <c r="E21" s="24"/>
      <c r="F21" s="27"/>
      <c r="G21" s="27">
        <f t="shared" si="1"/>
        <v>0</v>
      </c>
      <c r="H21" s="27">
        <f t="shared" si="2"/>
        <v>0</v>
      </c>
      <c r="I21" s="46">
        <f t="shared" si="3"/>
        <v>0</v>
      </c>
      <c r="J21" s="49"/>
      <c r="K21" s="48"/>
      <c r="L21" s="49"/>
      <c r="N21" s="51"/>
      <c r="O21" s="24"/>
      <c r="P21" s="49"/>
    </row>
    <row r="22" spans="1:16">
      <c r="A22" s="24"/>
      <c r="B22" s="24"/>
      <c r="C22" s="25"/>
      <c r="D22" s="26">
        <f t="shared" si="0"/>
        <v>0</v>
      </c>
      <c r="E22" s="24"/>
      <c r="F22" s="27"/>
      <c r="G22" s="27">
        <f t="shared" si="1"/>
        <v>0</v>
      </c>
      <c r="H22" s="27">
        <f t="shared" si="2"/>
        <v>0</v>
      </c>
      <c r="I22" s="46">
        <f t="shared" si="3"/>
        <v>0</v>
      </c>
      <c r="J22" s="49"/>
      <c r="K22" s="48"/>
      <c r="L22" s="49"/>
      <c r="N22" s="51"/>
      <c r="O22" s="24"/>
      <c r="P22" s="49"/>
    </row>
    <row r="23" spans="1:16">
      <c r="A23" s="24"/>
      <c r="B23" s="24"/>
      <c r="C23" s="25"/>
      <c r="D23" s="26">
        <f t="shared" si="0"/>
        <v>0</v>
      </c>
      <c r="E23" s="24"/>
      <c r="F23" s="24"/>
      <c r="G23" s="27">
        <f t="shared" si="1"/>
        <v>0</v>
      </c>
      <c r="H23" s="27">
        <f t="shared" si="2"/>
        <v>0</v>
      </c>
      <c r="I23" s="46">
        <f t="shared" si="3"/>
        <v>0</v>
      </c>
      <c r="J23" s="49"/>
      <c r="K23" s="48"/>
      <c r="L23" s="49"/>
      <c r="N23" s="51"/>
      <c r="O23" s="24"/>
      <c r="P23" s="49"/>
    </row>
    <row r="24" spans="1:16">
      <c r="A24" s="24"/>
      <c r="B24" s="24"/>
      <c r="C24" s="25"/>
      <c r="D24" s="26">
        <f t="shared" si="0"/>
        <v>0</v>
      </c>
      <c r="E24" s="24"/>
      <c r="F24" s="24"/>
      <c r="G24" s="27">
        <f t="shared" si="1"/>
        <v>0</v>
      </c>
      <c r="H24" s="27">
        <f t="shared" si="2"/>
        <v>0</v>
      </c>
      <c r="I24" s="46">
        <f t="shared" si="3"/>
        <v>0</v>
      </c>
      <c r="J24" s="49"/>
      <c r="K24" s="48"/>
      <c r="L24" s="49"/>
      <c r="N24" s="51"/>
      <c r="O24" s="24"/>
      <c r="P24" s="49"/>
    </row>
    <row r="25" spans="1:16">
      <c r="A25" s="24"/>
      <c r="B25" s="24"/>
      <c r="C25" s="25"/>
      <c r="D25" s="26">
        <f t="shared" si="0"/>
        <v>0</v>
      </c>
      <c r="E25" s="24"/>
      <c r="F25" s="24"/>
      <c r="G25" s="27">
        <f t="shared" si="1"/>
        <v>0</v>
      </c>
      <c r="H25" s="27">
        <f t="shared" si="2"/>
        <v>0</v>
      </c>
      <c r="I25" s="46">
        <f t="shared" si="3"/>
        <v>0</v>
      </c>
      <c r="J25" s="49"/>
      <c r="K25" s="48"/>
      <c r="L25" s="49"/>
      <c r="N25" s="51"/>
      <c r="O25" s="24"/>
      <c r="P25" s="49"/>
    </row>
    <row r="26" spans="1:16">
      <c r="A26" s="24"/>
      <c r="B26" s="24"/>
      <c r="C26" s="25"/>
      <c r="D26" s="26">
        <f t="shared" si="0"/>
        <v>0</v>
      </c>
      <c r="E26" s="24"/>
      <c r="F26" s="24"/>
      <c r="G26" s="27">
        <f t="shared" si="1"/>
        <v>0</v>
      </c>
      <c r="H26" s="27">
        <f t="shared" si="2"/>
        <v>0</v>
      </c>
      <c r="I26" s="46">
        <f t="shared" si="3"/>
        <v>0</v>
      </c>
      <c r="J26" s="49"/>
      <c r="K26" s="48"/>
      <c r="L26" s="49"/>
      <c r="N26" s="51"/>
      <c r="O26" s="24"/>
      <c r="P26" s="49"/>
    </row>
    <row r="27" spans="1:16">
      <c r="A27" s="24"/>
      <c r="B27" s="24"/>
      <c r="C27" s="25"/>
      <c r="D27" s="26">
        <f t="shared" si="0"/>
        <v>0</v>
      </c>
      <c r="E27" s="24"/>
      <c r="F27" s="24"/>
      <c r="G27" s="27">
        <f t="shared" si="1"/>
        <v>0</v>
      </c>
      <c r="H27" s="27">
        <f t="shared" si="2"/>
        <v>0</v>
      </c>
      <c r="I27" s="46">
        <f t="shared" si="3"/>
        <v>0</v>
      </c>
      <c r="J27" s="49"/>
      <c r="K27" s="48"/>
      <c r="L27" s="49"/>
      <c r="N27" s="51"/>
      <c r="O27" s="24"/>
      <c r="P27" s="49"/>
    </row>
    <row r="28" spans="1:16">
      <c r="A28" s="24"/>
      <c r="B28" s="24"/>
      <c r="C28" s="25"/>
      <c r="D28" s="26">
        <f t="shared" si="0"/>
        <v>0</v>
      </c>
      <c r="E28" s="24"/>
      <c r="F28" s="24"/>
      <c r="G28" s="27">
        <f t="shared" si="1"/>
        <v>0</v>
      </c>
      <c r="H28" s="27">
        <f t="shared" si="2"/>
        <v>0</v>
      </c>
      <c r="I28" s="46">
        <f t="shared" si="3"/>
        <v>0</v>
      </c>
      <c r="J28" s="49"/>
      <c r="K28" s="48"/>
      <c r="L28" s="49"/>
      <c r="N28" s="51"/>
      <c r="O28" s="24"/>
      <c r="P28" s="49"/>
    </row>
    <row r="29" spans="1:16">
      <c r="A29" s="24"/>
      <c r="B29" s="24"/>
      <c r="C29" s="25"/>
      <c r="D29" s="26">
        <f t="shared" si="0"/>
        <v>0</v>
      </c>
      <c r="E29" s="24"/>
      <c r="F29" s="24"/>
      <c r="G29" s="27">
        <f t="shared" si="1"/>
        <v>0</v>
      </c>
      <c r="H29" s="27">
        <f t="shared" si="2"/>
        <v>0</v>
      </c>
      <c r="I29" s="46">
        <f t="shared" si="3"/>
        <v>0</v>
      </c>
      <c r="J29" s="49"/>
      <c r="K29" s="48"/>
      <c r="L29" s="49"/>
      <c r="N29" s="51"/>
      <c r="O29" s="24"/>
      <c r="P29" s="49"/>
    </row>
    <row r="30" spans="1:16">
      <c r="A30" s="24"/>
      <c r="B30" s="24"/>
      <c r="C30" s="25"/>
      <c r="D30" s="26">
        <f t="shared" si="0"/>
        <v>0</v>
      </c>
      <c r="E30" s="24"/>
      <c r="F30" s="24"/>
      <c r="G30" s="27">
        <f t="shared" si="1"/>
        <v>0</v>
      </c>
      <c r="H30" s="27">
        <f t="shared" si="2"/>
        <v>0</v>
      </c>
      <c r="I30" s="46">
        <f t="shared" si="3"/>
        <v>0</v>
      </c>
      <c r="J30" s="49"/>
      <c r="K30" s="48"/>
      <c r="L30" s="49"/>
      <c r="N30" s="51"/>
      <c r="O30" s="24"/>
      <c r="P30" s="49"/>
    </row>
    <row r="31" spans="1:16">
      <c r="A31" s="24"/>
      <c r="B31" s="24"/>
      <c r="C31" s="25"/>
      <c r="D31" s="26">
        <f t="shared" si="0"/>
        <v>0</v>
      </c>
      <c r="E31" s="24"/>
      <c r="F31" s="24"/>
      <c r="G31" s="27">
        <f t="shared" si="1"/>
        <v>0</v>
      </c>
      <c r="H31" s="27">
        <f t="shared" si="2"/>
        <v>0</v>
      </c>
      <c r="I31" s="46">
        <f t="shared" si="3"/>
        <v>0</v>
      </c>
      <c r="J31" s="49"/>
      <c r="K31" s="48"/>
      <c r="L31" s="49"/>
      <c r="N31" s="51"/>
      <c r="O31" s="24"/>
      <c r="P31" s="49"/>
    </row>
    <row r="32" spans="1:16">
      <c r="A32" s="24"/>
      <c r="B32" s="24"/>
      <c r="C32" s="25"/>
      <c r="D32" s="26">
        <f t="shared" si="0"/>
        <v>0</v>
      </c>
      <c r="E32" s="24"/>
      <c r="F32" s="24"/>
      <c r="G32" s="27">
        <f t="shared" si="1"/>
        <v>0</v>
      </c>
      <c r="H32" s="27">
        <f t="shared" si="2"/>
        <v>0</v>
      </c>
      <c r="I32" s="46">
        <f t="shared" si="3"/>
        <v>0</v>
      </c>
      <c r="J32" s="49"/>
      <c r="K32" s="48"/>
      <c r="L32" s="49"/>
      <c r="N32" s="51"/>
      <c r="O32" s="24"/>
      <c r="P32" s="49"/>
    </row>
    <row r="33" spans="1:16">
      <c r="A33" s="24"/>
      <c r="B33" s="24"/>
      <c r="C33" s="25"/>
      <c r="D33" s="26">
        <f t="shared" si="0"/>
        <v>0</v>
      </c>
      <c r="E33" s="24"/>
      <c r="F33" s="24"/>
      <c r="G33" s="27">
        <f t="shared" si="1"/>
        <v>0</v>
      </c>
      <c r="H33" s="27">
        <f t="shared" si="2"/>
        <v>0</v>
      </c>
      <c r="I33" s="46">
        <f t="shared" si="3"/>
        <v>0</v>
      </c>
      <c r="J33" s="49"/>
      <c r="K33" s="48"/>
      <c r="L33" s="49"/>
      <c r="N33" s="51"/>
      <c r="O33" s="24"/>
      <c r="P33" s="49"/>
    </row>
    <row r="34" spans="1:16">
      <c r="A34" s="24"/>
      <c r="B34" s="24"/>
      <c r="C34" s="25"/>
      <c r="D34" s="26">
        <f t="shared" si="0"/>
        <v>0</v>
      </c>
      <c r="E34" s="24"/>
      <c r="F34" s="24"/>
      <c r="G34" s="27">
        <f t="shared" si="1"/>
        <v>0</v>
      </c>
      <c r="H34" s="27">
        <f t="shared" si="2"/>
        <v>0</v>
      </c>
      <c r="I34" s="46">
        <f t="shared" si="3"/>
        <v>0</v>
      </c>
      <c r="J34" s="49"/>
      <c r="K34" s="48"/>
      <c r="L34" s="49"/>
      <c r="N34" s="51"/>
      <c r="O34" s="24"/>
      <c r="P34" s="49"/>
    </row>
    <row r="35" spans="1:16">
      <c r="A35" s="24"/>
      <c r="B35" s="24"/>
      <c r="C35" s="25"/>
      <c r="D35" s="26">
        <f t="shared" si="0"/>
        <v>0</v>
      </c>
      <c r="E35" s="24"/>
      <c r="F35" s="24"/>
      <c r="G35" s="27">
        <f t="shared" si="1"/>
        <v>0</v>
      </c>
      <c r="H35" s="27">
        <f t="shared" si="2"/>
        <v>0</v>
      </c>
      <c r="I35" s="46">
        <f t="shared" si="3"/>
        <v>0</v>
      </c>
      <c r="J35" s="49"/>
      <c r="K35" s="48"/>
      <c r="L35" s="49"/>
      <c r="N35" s="51"/>
      <c r="O35" s="24"/>
      <c r="P35" s="49"/>
    </row>
    <row r="36" spans="1:16">
      <c r="A36" s="24"/>
      <c r="B36" s="24"/>
      <c r="C36" s="25"/>
      <c r="D36" s="26">
        <f t="shared" si="0"/>
        <v>0</v>
      </c>
      <c r="E36" s="24"/>
      <c r="F36" s="24"/>
      <c r="G36" s="27">
        <f t="shared" si="1"/>
        <v>0</v>
      </c>
      <c r="H36" s="27">
        <f t="shared" si="2"/>
        <v>0</v>
      </c>
      <c r="I36" s="46">
        <f t="shared" si="3"/>
        <v>0</v>
      </c>
      <c r="J36" s="49"/>
      <c r="K36" s="48"/>
      <c r="L36" s="49"/>
      <c r="N36" s="51"/>
      <c r="O36" s="24"/>
      <c r="P36" s="49"/>
    </row>
    <row r="37" spans="1:16">
      <c r="A37" s="24"/>
      <c r="B37" s="24"/>
      <c r="C37" s="25"/>
      <c r="D37" s="26">
        <f t="shared" si="0"/>
        <v>0</v>
      </c>
      <c r="E37" s="24"/>
      <c r="F37" s="24"/>
      <c r="G37" s="27">
        <f t="shared" si="1"/>
        <v>0</v>
      </c>
      <c r="H37" s="27">
        <f t="shared" si="2"/>
        <v>0</v>
      </c>
      <c r="I37" s="46">
        <f t="shared" si="3"/>
        <v>0</v>
      </c>
      <c r="J37" s="49"/>
      <c r="K37" s="48"/>
      <c r="L37" s="49"/>
      <c r="N37" s="51"/>
      <c r="O37" s="24"/>
      <c r="P37" s="49"/>
    </row>
    <row r="38" spans="1:16">
      <c r="A38" s="24"/>
      <c r="B38" s="24"/>
      <c r="C38" s="25"/>
      <c r="D38" s="26">
        <f t="shared" si="0"/>
        <v>0</v>
      </c>
      <c r="E38" s="24"/>
      <c r="F38" s="24"/>
      <c r="G38" s="27">
        <f t="shared" si="1"/>
        <v>0</v>
      </c>
      <c r="H38" s="27">
        <f t="shared" si="2"/>
        <v>0</v>
      </c>
      <c r="I38" s="46">
        <f t="shared" si="3"/>
        <v>0</v>
      </c>
      <c r="J38" s="49"/>
      <c r="K38" s="48"/>
      <c r="L38" s="49"/>
      <c r="N38" s="51"/>
      <c r="O38" s="24"/>
      <c r="P38" s="49"/>
    </row>
    <row r="39" spans="1:16">
      <c r="A39" s="24"/>
      <c r="B39" s="24"/>
      <c r="C39" s="25"/>
      <c r="D39" s="26">
        <f t="shared" si="0"/>
        <v>0</v>
      </c>
      <c r="E39" s="24"/>
      <c r="F39" s="24"/>
      <c r="G39" s="27">
        <f t="shared" si="1"/>
        <v>0</v>
      </c>
      <c r="H39" s="27">
        <f t="shared" si="2"/>
        <v>0</v>
      </c>
      <c r="I39" s="46">
        <f t="shared" si="3"/>
        <v>0</v>
      </c>
      <c r="J39" s="49"/>
      <c r="K39" s="48"/>
      <c r="L39" s="49"/>
      <c r="N39" s="51"/>
      <c r="O39" s="24"/>
      <c r="P39" s="49"/>
    </row>
    <row r="40" spans="1:16">
      <c r="A40" s="24"/>
      <c r="B40" s="24"/>
      <c r="C40" s="25"/>
      <c r="D40" s="26">
        <f t="shared" si="0"/>
        <v>0</v>
      </c>
      <c r="E40" s="24"/>
      <c r="F40" s="24"/>
      <c r="G40" s="27">
        <f t="shared" si="1"/>
        <v>0</v>
      </c>
      <c r="H40" s="27">
        <f t="shared" si="2"/>
        <v>0</v>
      </c>
      <c r="I40" s="46">
        <f t="shared" si="3"/>
        <v>0</v>
      </c>
      <c r="J40" s="49"/>
      <c r="K40" s="48"/>
      <c r="L40" s="49"/>
      <c r="N40" s="51"/>
      <c r="O40" s="24"/>
      <c r="P40" s="49"/>
    </row>
    <row r="41" spans="1:16">
      <c r="A41" s="24"/>
      <c r="B41" s="24"/>
      <c r="C41" s="25"/>
      <c r="D41" s="26">
        <f t="shared" si="0"/>
        <v>0</v>
      </c>
      <c r="E41" s="24"/>
      <c r="F41" s="24"/>
      <c r="G41" s="27">
        <f t="shared" si="1"/>
        <v>0</v>
      </c>
      <c r="H41" s="27">
        <f t="shared" si="2"/>
        <v>0</v>
      </c>
      <c r="I41" s="46">
        <f t="shared" si="3"/>
        <v>0</v>
      </c>
      <c r="J41" s="49"/>
      <c r="K41" s="48"/>
      <c r="L41" s="49"/>
      <c r="N41" s="51"/>
      <c r="O41" s="24"/>
      <c r="P41" s="49"/>
    </row>
    <row r="42" spans="1:16">
      <c r="A42" s="24"/>
      <c r="B42" s="24"/>
      <c r="C42" s="25"/>
      <c r="D42" s="26">
        <f t="shared" si="0"/>
        <v>0</v>
      </c>
      <c r="E42" s="24"/>
      <c r="F42" s="24"/>
      <c r="G42" s="27">
        <f t="shared" si="1"/>
        <v>0</v>
      </c>
      <c r="H42" s="27">
        <f t="shared" si="2"/>
        <v>0</v>
      </c>
      <c r="I42" s="46">
        <f t="shared" si="3"/>
        <v>0</v>
      </c>
      <c r="J42" s="49"/>
      <c r="K42" s="48"/>
      <c r="L42" s="49"/>
      <c r="N42" s="51"/>
      <c r="O42" s="24"/>
      <c r="P42" s="49"/>
    </row>
    <row r="43" spans="1:16">
      <c r="A43" s="24"/>
      <c r="B43" s="24"/>
      <c r="C43" s="25"/>
      <c r="D43" s="26">
        <f t="shared" si="0"/>
        <v>0</v>
      </c>
      <c r="E43" s="24"/>
      <c r="F43" s="24"/>
      <c r="G43" s="27">
        <f t="shared" si="1"/>
        <v>0</v>
      </c>
      <c r="H43" s="27">
        <f t="shared" si="2"/>
        <v>0</v>
      </c>
      <c r="I43" s="46">
        <f t="shared" si="3"/>
        <v>0</v>
      </c>
      <c r="J43" s="49"/>
      <c r="K43" s="48"/>
      <c r="L43" s="49"/>
      <c r="N43" s="51"/>
      <c r="O43" s="24"/>
      <c r="P43" s="49"/>
    </row>
    <row r="44" spans="1:16">
      <c r="A44" s="24"/>
      <c r="B44" s="24"/>
      <c r="C44" s="25"/>
      <c r="D44" s="26">
        <f t="shared" si="0"/>
        <v>0</v>
      </c>
      <c r="E44" s="24"/>
      <c r="F44" s="24"/>
      <c r="G44" s="27">
        <f t="shared" si="1"/>
        <v>0</v>
      </c>
      <c r="H44" s="27">
        <f t="shared" si="2"/>
        <v>0</v>
      </c>
      <c r="I44" s="46">
        <f t="shared" si="3"/>
        <v>0</v>
      </c>
      <c r="J44" s="49"/>
      <c r="K44" s="48"/>
      <c r="L44" s="49"/>
      <c r="N44" s="51"/>
      <c r="O44" s="24"/>
      <c r="P44" s="49"/>
    </row>
    <row r="45" spans="1:16">
      <c r="A45" s="24"/>
      <c r="B45" s="24"/>
      <c r="C45" s="25"/>
      <c r="D45" s="26">
        <f t="shared" si="0"/>
        <v>0</v>
      </c>
      <c r="E45" s="24"/>
      <c r="F45" s="24"/>
      <c r="G45" s="27">
        <f t="shared" si="1"/>
        <v>0</v>
      </c>
      <c r="H45" s="27">
        <f t="shared" si="2"/>
        <v>0</v>
      </c>
      <c r="I45" s="46">
        <f t="shared" si="3"/>
        <v>0</v>
      </c>
      <c r="J45" s="49"/>
      <c r="K45" s="48"/>
      <c r="L45" s="49"/>
      <c r="N45" s="51"/>
      <c r="O45" s="24"/>
      <c r="P45" s="49"/>
    </row>
    <row r="46" spans="1:16">
      <c r="A46" s="24"/>
      <c r="B46" s="24"/>
      <c r="C46" s="25"/>
      <c r="D46" s="26">
        <f t="shared" si="0"/>
        <v>0</v>
      </c>
      <c r="E46" s="24"/>
      <c r="F46" s="24"/>
      <c r="G46" s="27">
        <f t="shared" si="1"/>
        <v>0</v>
      </c>
      <c r="H46" s="27">
        <f t="shared" si="2"/>
        <v>0</v>
      </c>
      <c r="I46" s="46">
        <f t="shared" si="3"/>
        <v>0</v>
      </c>
      <c r="J46" s="49"/>
      <c r="K46" s="48"/>
      <c r="L46" s="49"/>
      <c r="N46" s="51"/>
      <c r="O46" s="24"/>
      <c r="P46" s="49"/>
    </row>
    <row r="47" spans="1:16">
      <c r="A47" s="24"/>
      <c r="B47" s="24"/>
      <c r="C47" s="25"/>
      <c r="D47" s="26">
        <f t="shared" si="0"/>
        <v>0</v>
      </c>
      <c r="E47" s="24"/>
      <c r="F47" s="24"/>
      <c r="G47" s="27">
        <f t="shared" si="1"/>
        <v>0</v>
      </c>
      <c r="H47" s="27">
        <f t="shared" si="2"/>
        <v>0</v>
      </c>
      <c r="I47" s="46">
        <f t="shared" si="3"/>
        <v>0</v>
      </c>
      <c r="J47" s="49"/>
      <c r="K47" s="48"/>
      <c r="L47" s="49"/>
      <c r="N47" s="51"/>
      <c r="O47" s="24"/>
      <c r="P47" s="49"/>
    </row>
    <row r="48" spans="1:16">
      <c r="A48" s="24"/>
      <c r="B48" s="24"/>
      <c r="C48" s="25"/>
      <c r="D48" s="26">
        <f t="shared" si="0"/>
        <v>0</v>
      </c>
      <c r="E48" s="24"/>
      <c r="F48" s="24"/>
      <c r="G48" s="27">
        <f t="shared" si="1"/>
        <v>0</v>
      </c>
      <c r="H48" s="27">
        <f t="shared" si="2"/>
        <v>0</v>
      </c>
      <c r="I48" s="46">
        <f t="shared" si="3"/>
        <v>0</v>
      </c>
      <c r="J48" s="49"/>
      <c r="K48" s="48"/>
      <c r="L48" s="49"/>
      <c r="N48" s="51"/>
      <c r="O48" s="24"/>
      <c r="P48" s="49"/>
    </row>
    <row r="49" spans="1:16">
      <c r="A49" s="24"/>
      <c r="B49" s="24"/>
      <c r="C49" s="25"/>
      <c r="D49" s="26">
        <f t="shared" si="0"/>
        <v>0</v>
      </c>
      <c r="E49" s="24"/>
      <c r="F49" s="24"/>
      <c r="G49" s="27">
        <f t="shared" si="1"/>
        <v>0</v>
      </c>
      <c r="H49" s="27">
        <f t="shared" si="2"/>
        <v>0</v>
      </c>
      <c r="I49" s="46">
        <f t="shared" si="3"/>
        <v>0</v>
      </c>
      <c r="J49" s="49"/>
      <c r="K49" s="48"/>
      <c r="L49" s="49"/>
      <c r="N49" s="51"/>
      <c r="O49" s="24"/>
      <c r="P49" s="49"/>
    </row>
    <row r="50" spans="1:16">
      <c r="A50" s="24"/>
      <c r="B50" s="24"/>
      <c r="C50" s="25"/>
      <c r="D50" s="26">
        <f t="shared" si="0"/>
        <v>0</v>
      </c>
      <c r="E50" s="24"/>
      <c r="F50" s="24"/>
      <c r="G50" s="27">
        <f t="shared" si="1"/>
        <v>0</v>
      </c>
      <c r="H50" s="27">
        <f t="shared" si="2"/>
        <v>0</v>
      </c>
      <c r="I50" s="46">
        <f t="shared" si="3"/>
        <v>0</v>
      </c>
      <c r="J50" s="49"/>
      <c r="K50" s="48"/>
      <c r="L50" s="49"/>
      <c r="N50" s="51"/>
      <c r="O50" s="24"/>
      <c r="P50" s="49"/>
    </row>
    <row r="51" spans="1:16">
      <c r="A51" s="24"/>
      <c r="B51" s="24"/>
      <c r="C51" s="25"/>
      <c r="D51" s="26">
        <f t="shared" si="0"/>
        <v>0</v>
      </c>
      <c r="E51" s="24"/>
      <c r="F51" s="24"/>
      <c r="G51" s="27">
        <f t="shared" si="1"/>
        <v>0</v>
      </c>
      <c r="H51" s="27">
        <f t="shared" si="2"/>
        <v>0</v>
      </c>
      <c r="I51" s="46">
        <f t="shared" si="3"/>
        <v>0</v>
      </c>
      <c r="J51" s="49"/>
      <c r="K51" s="48"/>
      <c r="L51" s="49"/>
      <c r="N51" s="51"/>
      <c r="O51" s="24"/>
      <c r="P51" s="49"/>
    </row>
    <row r="52" spans="1:16">
      <c r="A52" s="24"/>
      <c r="B52" s="24"/>
      <c r="C52" s="25"/>
      <c r="D52" s="26">
        <f t="shared" si="0"/>
        <v>0</v>
      </c>
      <c r="E52" s="24"/>
      <c r="F52" s="24"/>
      <c r="G52" s="27">
        <f t="shared" si="1"/>
        <v>0</v>
      </c>
      <c r="H52" s="27">
        <f t="shared" si="2"/>
        <v>0</v>
      </c>
      <c r="I52" s="46">
        <f t="shared" si="3"/>
        <v>0</v>
      </c>
      <c r="J52" s="49"/>
      <c r="K52" s="48"/>
      <c r="L52" s="49"/>
      <c r="N52" s="51"/>
      <c r="O52" s="24"/>
      <c r="P52" s="49"/>
    </row>
    <row r="53" spans="1:16">
      <c r="A53" s="24"/>
      <c r="B53" s="24"/>
      <c r="C53" s="25"/>
      <c r="D53" s="26">
        <f t="shared" si="0"/>
        <v>0</v>
      </c>
      <c r="E53" s="24"/>
      <c r="F53" s="24"/>
      <c r="G53" s="27">
        <f t="shared" si="1"/>
        <v>0</v>
      </c>
      <c r="H53" s="27">
        <f t="shared" si="2"/>
        <v>0</v>
      </c>
      <c r="I53" s="46">
        <f t="shared" si="3"/>
        <v>0</v>
      </c>
      <c r="J53" s="49"/>
      <c r="K53" s="48"/>
      <c r="L53" s="49"/>
      <c r="N53" s="51"/>
      <c r="O53" s="24"/>
      <c r="P53" s="49"/>
    </row>
    <row r="54" spans="1:16">
      <c r="A54" s="24"/>
      <c r="B54" s="24"/>
      <c r="C54" s="25"/>
      <c r="D54" s="26">
        <f t="shared" si="0"/>
        <v>0</v>
      </c>
      <c r="E54" s="24"/>
      <c r="F54" s="24"/>
      <c r="G54" s="27">
        <f t="shared" si="1"/>
        <v>0</v>
      </c>
      <c r="H54" s="27">
        <f t="shared" si="2"/>
        <v>0</v>
      </c>
      <c r="I54" s="46">
        <f t="shared" si="3"/>
        <v>0</v>
      </c>
      <c r="J54" s="49"/>
      <c r="K54" s="48"/>
      <c r="L54" s="49"/>
      <c r="N54" s="51"/>
      <c r="O54" s="24"/>
      <c r="P54" s="49"/>
    </row>
    <row r="55" spans="1:16">
      <c r="A55" s="24"/>
      <c r="B55" s="24"/>
      <c r="C55" s="25"/>
      <c r="D55" s="26">
        <f t="shared" si="0"/>
        <v>0</v>
      </c>
      <c r="E55" s="24"/>
      <c r="F55" s="24"/>
      <c r="G55" s="27">
        <f t="shared" si="1"/>
        <v>0</v>
      </c>
      <c r="H55" s="27">
        <f t="shared" si="2"/>
        <v>0</v>
      </c>
      <c r="I55" s="46">
        <f t="shared" si="3"/>
        <v>0</v>
      </c>
      <c r="J55" s="49"/>
      <c r="K55" s="48"/>
      <c r="L55" s="49"/>
      <c r="N55" s="51"/>
      <c r="O55" s="24"/>
      <c r="P55" s="49"/>
    </row>
    <row r="56" spans="1:16">
      <c r="A56" s="24"/>
      <c r="B56" s="24"/>
      <c r="C56" s="25"/>
      <c r="D56" s="26">
        <f t="shared" si="0"/>
        <v>0</v>
      </c>
      <c r="E56" s="24"/>
      <c r="F56" s="24"/>
      <c r="G56" s="27">
        <f t="shared" si="1"/>
        <v>0</v>
      </c>
      <c r="H56" s="27">
        <f t="shared" si="2"/>
        <v>0</v>
      </c>
      <c r="I56" s="46">
        <f t="shared" si="3"/>
        <v>0</v>
      </c>
      <c r="J56" s="49"/>
      <c r="K56" s="48"/>
      <c r="L56" s="49"/>
      <c r="N56" s="51"/>
      <c r="O56" s="24"/>
      <c r="P56" s="49"/>
    </row>
    <row r="57" spans="1:16">
      <c r="A57" s="24"/>
      <c r="B57" s="24"/>
      <c r="C57" s="25"/>
      <c r="D57" s="26">
        <f t="shared" si="0"/>
        <v>0</v>
      </c>
      <c r="E57" s="24"/>
      <c r="F57" s="24"/>
      <c r="G57" s="27">
        <f t="shared" si="1"/>
        <v>0</v>
      </c>
      <c r="H57" s="27">
        <f t="shared" si="2"/>
        <v>0</v>
      </c>
      <c r="I57" s="46">
        <f t="shared" si="3"/>
        <v>0</v>
      </c>
      <c r="J57" s="49"/>
      <c r="K57" s="48"/>
      <c r="L57" s="49"/>
      <c r="N57" s="51"/>
      <c r="O57" s="24"/>
      <c r="P57" s="49"/>
    </row>
    <row r="58" spans="1:16">
      <c r="A58" s="24"/>
      <c r="B58" s="24"/>
      <c r="C58" s="25"/>
      <c r="D58" s="26">
        <f t="shared" si="0"/>
        <v>0</v>
      </c>
      <c r="E58" s="24"/>
      <c r="F58" s="24"/>
      <c r="G58" s="27">
        <f t="shared" si="1"/>
        <v>0</v>
      </c>
      <c r="H58" s="27">
        <f t="shared" si="2"/>
        <v>0</v>
      </c>
      <c r="I58" s="46">
        <f t="shared" si="3"/>
        <v>0</v>
      </c>
      <c r="J58" s="49"/>
      <c r="K58" s="48"/>
      <c r="L58" s="49"/>
      <c r="N58" s="51"/>
      <c r="O58" s="24"/>
      <c r="P58" s="49"/>
    </row>
    <row r="59" spans="1:16">
      <c r="A59" s="24"/>
      <c r="B59" s="24"/>
      <c r="C59" s="25"/>
      <c r="D59" s="26">
        <f t="shared" si="0"/>
        <v>0</v>
      </c>
      <c r="E59" s="24"/>
      <c r="F59" s="24"/>
      <c r="G59" s="27">
        <f t="shared" si="1"/>
        <v>0</v>
      </c>
      <c r="H59" s="27">
        <f t="shared" si="2"/>
        <v>0</v>
      </c>
      <c r="I59" s="46">
        <f t="shared" si="3"/>
        <v>0</v>
      </c>
      <c r="J59" s="49"/>
      <c r="K59" s="48"/>
      <c r="L59" s="49"/>
      <c r="N59" s="51"/>
      <c r="O59" s="24"/>
      <c r="P59" s="49"/>
    </row>
    <row r="60" spans="1:16">
      <c r="A60" s="24"/>
      <c r="B60" s="24"/>
      <c r="C60" s="25"/>
      <c r="D60" s="26">
        <f t="shared" si="0"/>
        <v>0</v>
      </c>
      <c r="E60" s="24"/>
      <c r="F60" s="24"/>
      <c r="G60" s="27">
        <f t="shared" si="1"/>
        <v>0</v>
      </c>
      <c r="H60" s="27">
        <f t="shared" si="2"/>
        <v>0</v>
      </c>
      <c r="I60" s="46">
        <f t="shared" si="3"/>
        <v>0</v>
      </c>
      <c r="J60" s="49"/>
      <c r="K60" s="48"/>
      <c r="L60" s="49"/>
      <c r="N60" s="51"/>
      <c r="O60" s="24"/>
      <c r="P60" s="49"/>
    </row>
    <row r="61" spans="1:16">
      <c r="A61" s="24"/>
      <c r="B61" s="24"/>
      <c r="C61" s="25"/>
      <c r="D61" s="26">
        <f t="shared" si="0"/>
        <v>0</v>
      </c>
      <c r="E61" s="24"/>
      <c r="F61" s="24"/>
      <c r="G61" s="27">
        <f t="shared" si="1"/>
        <v>0</v>
      </c>
      <c r="H61" s="27">
        <f t="shared" si="2"/>
        <v>0</v>
      </c>
      <c r="I61" s="46">
        <f t="shared" si="3"/>
        <v>0</v>
      </c>
      <c r="J61" s="49"/>
      <c r="K61" s="48"/>
      <c r="L61" s="49"/>
      <c r="N61" s="51"/>
      <c r="O61" s="24"/>
      <c r="P61" s="49"/>
    </row>
    <row r="62" spans="1:16">
      <c r="A62" s="24"/>
      <c r="B62" s="24"/>
      <c r="C62" s="25"/>
      <c r="D62" s="26">
        <f t="shared" si="0"/>
        <v>0</v>
      </c>
      <c r="E62" s="24"/>
      <c r="F62" s="24"/>
      <c r="G62" s="27">
        <f t="shared" si="1"/>
        <v>0</v>
      </c>
      <c r="H62" s="27">
        <f t="shared" si="2"/>
        <v>0</v>
      </c>
      <c r="I62" s="46">
        <f t="shared" si="3"/>
        <v>0</v>
      </c>
      <c r="J62" s="49"/>
      <c r="K62" s="48"/>
      <c r="L62" s="49"/>
      <c r="N62" s="51"/>
      <c r="O62" s="24"/>
      <c r="P62" s="49"/>
    </row>
    <row r="63" spans="1:16">
      <c r="A63" s="24"/>
      <c r="B63" s="24"/>
      <c r="C63" s="25"/>
      <c r="D63" s="26">
        <f t="shared" si="0"/>
        <v>0</v>
      </c>
      <c r="E63" s="24"/>
      <c r="F63" s="24"/>
      <c r="G63" s="27">
        <f t="shared" si="1"/>
        <v>0</v>
      </c>
      <c r="H63" s="27">
        <f t="shared" si="2"/>
        <v>0</v>
      </c>
      <c r="I63" s="46">
        <f t="shared" si="3"/>
        <v>0</v>
      </c>
      <c r="J63" s="49"/>
      <c r="K63" s="48"/>
      <c r="L63" s="49"/>
      <c r="N63" s="51"/>
      <c r="O63" s="24"/>
      <c r="P63" s="49"/>
    </row>
    <row r="64" spans="1:16">
      <c r="A64" s="24"/>
      <c r="B64" s="24"/>
      <c r="C64" s="25"/>
      <c r="D64" s="26">
        <f t="shared" si="0"/>
        <v>0</v>
      </c>
      <c r="E64" s="24"/>
      <c r="F64" s="24"/>
      <c r="G64" s="27">
        <f t="shared" si="1"/>
        <v>0</v>
      </c>
      <c r="H64" s="27">
        <f t="shared" si="2"/>
        <v>0</v>
      </c>
      <c r="I64" s="46">
        <f t="shared" si="3"/>
        <v>0</v>
      </c>
      <c r="J64" s="49"/>
      <c r="K64" s="48"/>
      <c r="L64" s="49"/>
      <c r="N64" s="51"/>
      <c r="O64" s="24"/>
      <c r="P64" s="49"/>
    </row>
    <row r="65" spans="1:16">
      <c r="A65" s="24"/>
      <c r="B65" s="24"/>
      <c r="C65" s="25"/>
      <c r="D65" s="26">
        <f t="shared" si="0"/>
        <v>0</v>
      </c>
      <c r="E65" s="24"/>
      <c r="F65" s="24"/>
      <c r="G65" s="27">
        <f t="shared" si="1"/>
        <v>0</v>
      </c>
      <c r="H65" s="27">
        <f t="shared" si="2"/>
        <v>0</v>
      </c>
      <c r="I65" s="46">
        <f t="shared" si="3"/>
        <v>0</v>
      </c>
      <c r="J65" s="49"/>
      <c r="K65" s="48"/>
      <c r="L65" s="49"/>
      <c r="N65" s="51"/>
      <c r="O65" s="24"/>
      <c r="P65" s="49"/>
    </row>
    <row r="66" spans="1:16">
      <c r="A66" s="24"/>
      <c r="B66" s="24"/>
      <c r="C66" s="25"/>
      <c r="D66" s="26">
        <f t="shared" si="0"/>
        <v>0</v>
      </c>
      <c r="E66" s="24"/>
      <c r="F66" s="24"/>
      <c r="G66" s="27">
        <f t="shared" si="1"/>
        <v>0</v>
      </c>
      <c r="H66" s="27">
        <f t="shared" si="2"/>
        <v>0</v>
      </c>
      <c r="I66" s="46">
        <f t="shared" si="3"/>
        <v>0</v>
      </c>
      <c r="J66" s="49"/>
      <c r="K66" s="48"/>
      <c r="L66" s="49"/>
      <c r="N66" s="51"/>
      <c r="O66" s="24"/>
      <c r="P66" s="49"/>
    </row>
    <row r="67" spans="1:16">
      <c r="A67" s="24"/>
      <c r="B67" s="24"/>
      <c r="C67" s="25"/>
      <c r="D67" s="26">
        <f t="shared" si="0"/>
        <v>0</v>
      </c>
      <c r="E67" s="24"/>
      <c r="F67" s="24"/>
      <c r="G67" s="27">
        <f t="shared" si="1"/>
        <v>0</v>
      </c>
      <c r="H67" s="27">
        <f t="shared" si="2"/>
        <v>0</v>
      </c>
      <c r="I67" s="46">
        <f t="shared" si="3"/>
        <v>0</v>
      </c>
      <c r="J67" s="49"/>
      <c r="K67" s="48"/>
      <c r="L67" s="49"/>
      <c r="N67" s="51"/>
      <c r="O67" s="24"/>
      <c r="P67" s="49"/>
    </row>
    <row r="68" spans="1:16">
      <c r="A68" s="24"/>
      <c r="B68" s="24"/>
      <c r="C68" s="25"/>
      <c r="D68" s="26">
        <f t="shared" si="0"/>
        <v>0</v>
      </c>
      <c r="E68" s="24"/>
      <c r="F68" s="24"/>
      <c r="G68" s="27">
        <f t="shared" si="1"/>
        <v>0</v>
      </c>
      <c r="H68" s="27">
        <f t="shared" si="2"/>
        <v>0</v>
      </c>
      <c r="I68" s="46">
        <f t="shared" si="3"/>
        <v>0</v>
      </c>
      <c r="J68" s="49"/>
      <c r="K68" s="48"/>
      <c r="L68" s="49"/>
      <c r="N68" s="51"/>
      <c r="O68" s="24"/>
      <c r="P68" s="49"/>
    </row>
    <row r="69" spans="1:16">
      <c r="A69" s="24"/>
      <c r="B69" s="24"/>
      <c r="C69" s="25"/>
      <c r="D69" s="26">
        <f t="shared" si="0"/>
        <v>0</v>
      </c>
      <c r="E69" s="24"/>
      <c r="F69" s="24"/>
      <c r="G69" s="27">
        <f t="shared" si="1"/>
        <v>0</v>
      </c>
      <c r="H69" s="27">
        <f t="shared" si="2"/>
        <v>0</v>
      </c>
      <c r="I69" s="46">
        <f t="shared" si="3"/>
        <v>0</v>
      </c>
      <c r="J69" s="49"/>
      <c r="K69" s="48"/>
      <c r="L69" s="49"/>
      <c r="N69" s="51"/>
      <c r="O69" s="24"/>
      <c r="P69" s="49"/>
    </row>
    <row r="70" spans="1:16">
      <c r="A70" s="24"/>
      <c r="B70" s="24"/>
      <c r="C70" s="25"/>
      <c r="D70" s="26">
        <f t="shared" si="0"/>
        <v>0</v>
      </c>
      <c r="E70" s="24"/>
      <c r="F70" s="24"/>
      <c r="G70" s="27">
        <f t="shared" si="1"/>
        <v>0</v>
      </c>
      <c r="H70" s="27">
        <f t="shared" si="2"/>
        <v>0</v>
      </c>
      <c r="I70" s="46">
        <f t="shared" si="3"/>
        <v>0</v>
      </c>
      <c r="J70" s="49"/>
      <c r="K70" s="48"/>
      <c r="L70" s="49"/>
      <c r="N70" s="51"/>
      <c r="O70" s="24"/>
      <c r="P70" s="49"/>
    </row>
    <row r="71" spans="1:16">
      <c r="A71" s="24"/>
      <c r="B71" s="24"/>
      <c r="C71" s="25"/>
      <c r="D71" s="26">
        <f t="shared" si="0"/>
        <v>0</v>
      </c>
      <c r="E71" s="24"/>
      <c r="F71" s="24"/>
      <c r="G71" s="27">
        <f t="shared" si="1"/>
        <v>0</v>
      </c>
      <c r="H71" s="27">
        <f t="shared" si="2"/>
        <v>0</v>
      </c>
      <c r="I71" s="46">
        <f t="shared" si="3"/>
        <v>0</v>
      </c>
      <c r="J71" s="49"/>
      <c r="K71" s="48"/>
      <c r="L71" s="49"/>
      <c r="N71" s="51"/>
      <c r="O71" s="24"/>
      <c r="P71" s="49"/>
    </row>
    <row r="72" spans="1:16">
      <c r="A72" s="24"/>
      <c r="B72" s="24"/>
      <c r="C72" s="25"/>
      <c r="D72" s="26">
        <f t="shared" si="0"/>
        <v>0</v>
      </c>
      <c r="E72" s="24"/>
      <c r="F72" s="24"/>
      <c r="G72" s="27">
        <f t="shared" si="1"/>
        <v>0</v>
      </c>
      <c r="H72" s="27">
        <f t="shared" si="2"/>
        <v>0</v>
      </c>
      <c r="I72" s="46">
        <f t="shared" si="3"/>
        <v>0</v>
      </c>
      <c r="J72" s="49"/>
      <c r="K72" s="48"/>
      <c r="L72" s="49"/>
      <c r="N72" s="51"/>
      <c r="O72" s="24"/>
      <c r="P72" s="49"/>
    </row>
    <row r="73" spans="1:16">
      <c r="A73" s="24"/>
      <c r="B73" s="24"/>
      <c r="C73" s="25"/>
      <c r="D73" s="26">
        <f t="shared" si="0"/>
        <v>0</v>
      </c>
      <c r="E73" s="24"/>
      <c r="F73" s="24"/>
      <c r="G73" s="27">
        <f t="shared" si="1"/>
        <v>0</v>
      </c>
      <c r="H73" s="27">
        <f t="shared" si="2"/>
        <v>0</v>
      </c>
      <c r="I73" s="46">
        <f t="shared" si="3"/>
        <v>0</v>
      </c>
      <c r="J73" s="49"/>
      <c r="K73" s="48"/>
      <c r="L73" s="49"/>
      <c r="N73" s="51"/>
      <c r="O73" s="24"/>
      <c r="P73" s="49"/>
    </row>
    <row r="74" spans="1:16">
      <c r="A74" s="24"/>
      <c r="B74" s="24"/>
      <c r="C74" s="25"/>
      <c r="D74" s="26">
        <f t="shared" si="0"/>
        <v>0</v>
      </c>
      <c r="E74" s="24"/>
      <c r="F74" s="24"/>
      <c r="G74" s="27">
        <f t="shared" si="1"/>
        <v>0</v>
      </c>
      <c r="H74" s="27">
        <f t="shared" si="2"/>
        <v>0</v>
      </c>
      <c r="I74" s="46">
        <f t="shared" si="3"/>
        <v>0</v>
      </c>
      <c r="J74" s="49"/>
      <c r="K74" s="48"/>
      <c r="L74" s="49"/>
      <c r="N74" s="51"/>
      <c r="O74" s="24"/>
      <c r="P74" s="49"/>
    </row>
    <row r="75" spans="1:16">
      <c r="A75" s="24"/>
      <c r="B75" s="24"/>
      <c r="C75" s="25"/>
      <c r="D75" s="26">
        <f t="shared" si="0"/>
        <v>0</v>
      </c>
      <c r="E75" s="24"/>
      <c r="F75" s="24"/>
      <c r="G75" s="27">
        <f t="shared" si="1"/>
        <v>0</v>
      </c>
      <c r="H75" s="27">
        <f t="shared" si="2"/>
        <v>0</v>
      </c>
      <c r="I75" s="46">
        <f t="shared" si="3"/>
        <v>0</v>
      </c>
      <c r="J75" s="49"/>
      <c r="K75" s="48"/>
      <c r="L75" s="49"/>
      <c r="N75" s="51"/>
      <c r="O75" s="24"/>
      <c r="P75" s="49"/>
    </row>
    <row r="76" spans="1:16">
      <c r="A76" s="24"/>
      <c r="B76" s="24"/>
      <c r="C76" s="25"/>
      <c r="D76" s="26">
        <f t="shared" si="0"/>
        <v>0</v>
      </c>
      <c r="E76" s="24"/>
      <c r="F76" s="24"/>
      <c r="G76" s="27">
        <f t="shared" si="1"/>
        <v>0</v>
      </c>
      <c r="H76" s="27">
        <f t="shared" si="2"/>
        <v>0</v>
      </c>
      <c r="I76" s="46">
        <f t="shared" si="3"/>
        <v>0</v>
      </c>
      <c r="J76" s="49"/>
      <c r="K76" s="48"/>
      <c r="L76" s="49"/>
      <c r="N76" s="51"/>
      <c r="O76" s="24"/>
      <c r="P76" s="49"/>
    </row>
    <row r="77" spans="1:16">
      <c r="A77" s="24"/>
      <c r="B77" s="24"/>
      <c r="C77" s="25"/>
      <c r="D77" s="26">
        <f t="shared" si="0"/>
        <v>0</v>
      </c>
      <c r="E77" s="24"/>
      <c r="F77" s="24"/>
      <c r="G77" s="27">
        <f t="shared" si="1"/>
        <v>0</v>
      </c>
      <c r="H77" s="27">
        <f t="shared" si="2"/>
        <v>0</v>
      </c>
      <c r="I77" s="46">
        <f t="shared" si="3"/>
        <v>0</v>
      </c>
      <c r="J77" s="49"/>
      <c r="K77" s="48"/>
      <c r="L77" s="49"/>
      <c r="N77" s="51"/>
      <c r="O77" s="24"/>
      <c r="P77" s="49"/>
    </row>
    <row r="78" spans="1:16">
      <c r="A78" s="24"/>
      <c r="B78" s="24"/>
      <c r="C78" s="25"/>
      <c r="D78" s="26">
        <f t="shared" ref="D78:D141" si="4">IFERROR(SUM(C78/B78)/2/15,0)</f>
        <v>0</v>
      </c>
      <c r="E78" s="24"/>
      <c r="F78" s="24"/>
      <c r="G78" s="27">
        <f t="shared" ref="G78:G141" si="5">IFERROR(SUM(F78/B78),0)</f>
        <v>0</v>
      </c>
      <c r="H78" s="27">
        <f t="shared" ref="H78:H141" si="6">IFERROR(SUM(F78/I78),0)</f>
        <v>0</v>
      </c>
      <c r="I78" s="46">
        <f t="shared" ref="I78:I141" si="7">SUM(C78/2/15)</f>
        <v>0</v>
      </c>
      <c r="J78" s="49"/>
      <c r="K78" s="48"/>
      <c r="L78" s="49"/>
      <c r="N78" s="51"/>
      <c r="O78" s="24"/>
      <c r="P78" s="49"/>
    </row>
    <row r="79" spans="1:16">
      <c r="A79" s="24"/>
      <c r="B79" s="24"/>
      <c r="C79" s="25"/>
      <c r="D79" s="26">
        <f t="shared" si="4"/>
        <v>0</v>
      </c>
      <c r="E79" s="24"/>
      <c r="F79" s="24"/>
      <c r="G79" s="27">
        <f t="shared" si="5"/>
        <v>0</v>
      </c>
      <c r="H79" s="27">
        <f t="shared" si="6"/>
        <v>0</v>
      </c>
      <c r="I79" s="46">
        <f t="shared" si="7"/>
        <v>0</v>
      </c>
      <c r="J79" s="49"/>
      <c r="K79" s="48"/>
      <c r="L79" s="49"/>
      <c r="N79" s="51"/>
      <c r="O79" s="24"/>
      <c r="P79" s="49"/>
    </row>
    <row r="80" spans="1:16">
      <c r="A80" s="24"/>
      <c r="B80" s="24"/>
      <c r="C80" s="25"/>
      <c r="D80" s="26">
        <f t="shared" si="4"/>
        <v>0</v>
      </c>
      <c r="E80" s="24"/>
      <c r="F80" s="24"/>
      <c r="G80" s="27">
        <f t="shared" si="5"/>
        <v>0</v>
      </c>
      <c r="H80" s="27">
        <f t="shared" si="6"/>
        <v>0</v>
      </c>
      <c r="I80" s="46">
        <f t="shared" si="7"/>
        <v>0</v>
      </c>
      <c r="J80" s="49"/>
      <c r="K80" s="48"/>
      <c r="L80" s="49"/>
      <c r="N80" s="51"/>
      <c r="O80" s="24"/>
      <c r="P80" s="49"/>
    </row>
    <row r="81" spans="1:16">
      <c r="A81" s="24"/>
      <c r="B81" s="24"/>
      <c r="C81" s="25"/>
      <c r="D81" s="26">
        <f t="shared" si="4"/>
        <v>0</v>
      </c>
      <c r="E81" s="24"/>
      <c r="F81" s="24"/>
      <c r="G81" s="27">
        <f t="shared" si="5"/>
        <v>0</v>
      </c>
      <c r="H81" s="27">
        <f t="shared" si="6"/>
        <v>0</v>
      </c>
      <c r="I81" s="46">
        <f t="shared" si="7"/>
        <v>0</v>
      </c>
      <c r="J81" s="49"/>
      <c r="K81" s="48"/>
      <c r="L81" s="49"/>
      <c r="N81" s="51"/>
      <c r="O81" s="24"/>
      <c r="P81" s="49"/>
    </row>
    <row r="82" spans="1:16">
      <c r="A82" s="24"/>
      <c r="B82" s="24"/>
      <c r="C82" s="25"/>
      <c r="D82" s="26">
        <f t="shared" si="4"/>
        <v>0</v>
      </c>
      <c r="E82" s="24"/>
      <c r="F82" s="24"/>
      <c r="G82" s="27">
        <f t="shared" si="5"/>
        <v>0</v>
      </c>
      <c r="H82" s="27">
        <f t="shared" si="6"/>
        <v>0</v>
      </c>
      <c r="I82" s="46">
        <f t="shared" si="7"/>
        <v>0</v>
      </c>
      <c r="J82" s="49"/>
      <c r="K82" s="48"/>
      <c r="L82" s="49"/>
      <c r="N82" s="51"/>
      <c r="O82" s="24"/>
      <c r="P82" s="49"/>
    </row>
    <row r="83" spans="1:16">
      <c r="A83" s="24"/>
      <c r="B83" s="24"/>
      <c r="C83" s="25"/>
      <c r="D83" s="26">
        <f t="shared" si="4"/>
        <v>0</v>
      </c>
      <c r="E83" s="24"/>
      <c r="F83" s="24"/>
      <c r="G83" s="27">
        <f t="shared" si="5"/>
        <v>0</v>
      </c>
      <c r="H83" s="27">
        <f t="shared" si="6"/>
        <v>0</v>
      </c>
      <c r="I83" s="46">
        <f t="shared" si="7"/>
        <v>0</v>
      </c>
      <c r="J83" s="49"/>
      <c r="K83" s="48"/>
      <c r="L83" s="49"/>
      <c r="N83" s="51"/>
      <c r="O83" s="24"/>
      <c r="P83" s="49"/>
    </row>
    <row r="84" spans="1:16">
      <c r="A84" s="24"/>
      <c r="B84" s="24"/>
      <c r="C84" s="25"/>
      <c r="D84" s="26">
        <f t="shared" si="4"/>
        <v>0</v>
      </c>
      <c r="E84" s="24"/>
      <c r="F84" s="24"/>
      <c r="G84" s="27">
        <f t="shared" si="5"/>
        <v>0</v>
      </c>
      <c r="H84" s="27">
        <f t="shared" si="6"/>
        <v>0</v>
      </c>
      <c r="I84" s="46">
        <f t="shared" si="7"/>
        <v>0</v>
      </c>
      <c r="J84" s="49"/>
      <c r="K84" s="48"/>
      <c r="L84" s="49"/>
      <c r="N84" s="51"/>
      <c r="O84" s="24"/>
      <c r="P84" s="49"/>
    </row>
    <row r="85" spans="1:16">
      <c r="A85" s="24"/>
      <c r="B85" s="24"/>
      <c r="C85" s="25"/>
      <c r="D85" s="26">
        <f t="shared" si="4"/>
        <v>0</v>
      </c>
      <c r="E85" s="24"/>
      <c r="F85" s="24"/>
      <c r="G85" s="27">
        <f t="shared" si="5"/>
        <v>0</v>
      </c>
      <c r="H85" s="27">
        <f t="shared" si="6"/>
        <v>0</v>
      </c>
      <c r="I85" s="46">
        <f t="shared" si="7"/>
        <v>0</v>
      </c>
      <c r="J85" s="49"/>
      <c r="K85" s="48"/>
      <c r="L85" s="49"/>
      <c r="N85" s="51"/>
      <c r="O85" s="24"/>
      <c r="P85" s="49"/>
    </row>
    <row r="86" spans="1:16">
      <c r="A86" s="24"/>
      <c r="B86" s="24"/>
      <c r="C86" s="25"/>
      <c r="D86" s="26">
        <f t="shared" si="4"/>
        <v>0</v>
      </c>
      <c r="E86" s="24"/>
      <c r="F86" s="24"/>
      <c r="G86" s="27">
        <f t="shared" si="5"/>
        <v>0</v>
      </c>
      <c r="H86" s="27">
        <f t="shared" si="6"/>
        <v>0</v>
      </c>
      <c r="I86" s="46">
        <f t="shared" si="7"/>
        <v>0</v>
      </c>
      <c r="J86" s="49"/>
      <c r="K86" s="48"/>
      <c r="L86" s="49"/>
      <c r="N86" s="51"/>
      <c r="O86" s="24"/>
      <c r="P86" s="49"/>
    </row>
    <row r="87" spans="1:16">
      <c r="A87" s="24"/>
      <c r="B87" s="24"/>
      <c r="C87" s="25"/>
      <c r="D87" s="26">
        <f t="shared" si="4"/>
        <v>0</v>
      </c>
      <c r="E87" s="24"/>
      <c r="F87" s="24"/>
      <c r="G87" s="27">
        <f t="shared" si="5"/>
        <v>0</v>
      </c>
      <c r="H87" s="27">
        <f t="shared" si="6"/>
        <v>0</v>
      </c>
      <c r="I87" s="46">
        <f t="shared" si="7"/>
        <v>0</v>
      </c>
      <c r="J87" s="49"/>
      <c r="K87" s="48"/>
      <c r="L87" s="49"/>
      <c r="N87" s="51"/>
      <c r="O87" s="24"/>
      <c r="P87" s="49"/>
    </row>
    <row r="88" spans="1:16">
      <c r="A88" s="24"/>
      <c r="B88" s="24"/>
      <c r="C88" s="25"/>
      <c r="D88" s="26">
        <f t="shared" si="4"/>
        <v>0</v>
      </c>
      <c r="E88" s="24"/>
      <c r="F88" s="24"/>
      <c r="G88" s="27">
        <f t="shared" si="5"/>
        <v>0</v>
      </c>
      <c r="H88" s="27">
        <f t="shared" si="6"/>
        <v>0</v>
      </c>
      <c r="I88" s="46">
        <f t="shared" si="7"/>
        <v>0</v>
      </c>
      <c r="J88" s="49"/>
      <c r="K88" s="48"/>
      <c r="L88" s="49"/>
      <c r="N88" s="51"/>
      <c r="O88" s="24"/>
      <c r="P88" s="49"/>
    </row>
    <row r="89" spans="1:16">
      <c r="A89" s="24"/>
      <c r="B89" s="24"/>
      <c r="C89" s="25"/>
      <c r="D89" s="26">
        <f t="shared" si="4"/>
        <v>0</v>
      </c>
      <c r="E89" s="24"/>
      <c r="F89" s="24"/>
      <c r="G89" s="27">
        <f t="shared" si="5"/>
        <v>0</v>
      </c>
      <c r="H89" s="27">
        <f t="shared" si="6"/>
        <v>0</v>
      </c>
      <c r="I89" s="46">
        <f t="shared" si="7"/>
        <v>0</v>
      </c>
      <c r="J89" s="49"/>
      <c r="K89" s="48"/>
      <c r="L89" s="49"/>
      <c r="N89" s="51"/>
      <c r="O89" s="24"/>
      <c r="P89" s="49"/>
    </row>
    <row r="90" spans="1:16">
      <c r="A90" s="24"/>
      <c r="B90" s="24"/>
      <c r="C90" s="25"/>
      <c r="D90" s="26">
        <f t="shared" si="4"/>
        <v>0</v>
      </c>
      <c r="E90" s="24"/>
      <c r="F90" s="24"/>
      <c r="G90" s="27">
        <f t="shared" si="5"/>
        <v>0</v>
      </c>
      <c r="H90" s="27">
        <f t="shared" si="6"/>
        <v>0</v>
      </c>
      <c r="I90" s="46">
        <f t="shared" si="7"/>
        <v>0</v>
      </c>
      <c r="J90" s="49"/>
      <c r="K90" s="48"/>
      <c r="L90" s="49"/>
      <c r="N90" s="51"/>
      <c r="O90" s="24"/>
      <c r="P90" s="49"/>
    </row>
    <row r="91" spans="1:16">
      <c r="A91" s="24"/>
      <c r="B91" s="24"/>
      <c r="C91" s="25"/>
      <c r="D91" s="26">
        <f t="shared" si="4"/>
        <v>0</v>
      </c>
      <c r="E91" s="24"/>
      <c r="F91" s="24"/>
      <c r="G91" s="27">
        <f t="shared" si="5"/>
        <v>0</v>
      </c>
      <c r="H91" s="27">
        <f t="shared" si="6"/>
        <v>0</v>
      </c>
      <c r="I91" s="46">
        <f t="shared" si="7"/>
        <v>0</v>
      </c>
      <c r="J91" s="49"/>
      <c r="K91" s="48"/>
      <c r="L91" s="49"/>
      <c r="N91" s="51"/>
      <c r="O91" s="24"/>
      <c r="P91" s="49"/>
    </row>
    <row r="92" spans="1:16">
      <c r="A92" s="24"/>
      <c r="B92" s="24"/>
      <c r="C92" s="25"/>
      <c r="D92" s="26">
        <f t="shared" si="4"/>
        <v>0</v>
      </c>
      <c r="E92" s="24"/>
      <c r="F92" s="24"/>
      <c r="G92" s="27">
        <f t="shared" si="5"/>
        <v>0</v>
      </c>
      <c r="H92" s="27">
        <f t="shared" si="6"/>
        <v>0</v>
      </c>
      <c r="I92" s="46">
        <f t="shared" si="7"/>
        <v>0</v>
      </c>
      <c r="J92" s="49"/>
      <c r="K92" s="48"/>
      <c r="L92" s="49"/>
      <c r="N92" s="51"/>
      <c r="O92" s="24"/>
      <c r="P92" s="49"/>
    </row>
    <row r="93" spans="1:16">
      <c r="A93" s="24"/>
      <c r="B93" s="24"/>
      <c r="C93" s="25"/>
      <c r="D93" s="26">
        <f t="shared" si="4"/>
        <v>0</v>
      </c>
      <c r="E93" s="24"/>
      <c r="F93" s="24"/>
      <c r="G93" s="27">
        <f t="shared" si="5"/>
        <v>0</v>
      </c>
      <c r="H93" s="27">
        <f t="shared" si="6"/>
        <v>0</v>
      </c>
      <c r="I93" s="46">
        <f t="shared" si="7"/>
        <v>0</v>
      </c>
      <c r="J93" s="49"/>
      <c r="K93" s="48"/>
      <c r="L93" s="49"/>
      <c r="N93" s="51"/>
      <c r="O93" s="24"/>
      <c r="P93" s="49"/>
    </row>
    <row r="94" spans="1:16">
      <c r="A94" s="24"/>
      <c r="B94" s="24"/>
      <c r="C94" s="25"/>
      <c r="D94" s="26">
        <f t="shared" si="4"/>
        <v>0</v>
      </c>
      <c r="E94" s="24"/>
      <c r="F94" s="24"/>
      <c r="G94" s="27">
        <f t="shared" si="5"/>
        <v>0</v>
      </c>
      <c r="H94" s="27">
        <f t="shared" si="6"/>
        <v>0</v>
      </c>
      <c r="I94" s="46">
        <f t="shared" si="7"/>
        <v>0</v>
      </c>
      <c r="J94" s="49"/>
      <c r="K94" s="48"/>
      <c r="L94" s="49"/>
      <c r="N94" s="51"/>
      <c r="O94" s="24"/>
      <c r="P94" s="49"/>
    </row>
    <row r="95" spans="1:16">
      <c r="A95" s="24"/>
      <c r="B95" s="24"/>
      <c r="C95" s="25"/>
      <c r="D95" s="26">
        <f t="shared" si="4"/>
        <v>0</v>
      </c>
      <c r="E95" s="24"/>
      <c r="F95" s="24"/>
      <c r="G95" s="27">
        <f t="shared" si="5"/>
        <v>0</v>
      </c>
      <c r="H95" s="27">
        <f t="shared" si="6"/>
        <v>0</v>
      </c>
      <c r="I95" s="46">
        <f t="shared" si="7"/>
        <v>0</v>
      </c>
      <c r="J95" s="49"/>
      <c r="K95" s="48"/>
      <c r="L95" s="49"/>
      <c r="N95" s="51"/>
      <c r="O95" s="24"/>
      <c r="P95" s="49"/>
    </row>
    <row r="96" spans="1:16">
      <c r="A96" s="24"/>
      <c r="B96" s="24"/>
      <c r="C96" s="25"/>
      <c r="D96" s="26">
        <f t="shared" si="4"/>
        <v>0</v>
      </c>
      <c r="E96" s="24"/>
      <c r="F96" s="24"/>
      <c r="G96" s="27">
        <f t="shared" si="5"/>
        <v>0</v>
      </c>
      <c r="H96" s="27">
        <f t="shared" si="6"/>
        <v>0</v>
      </c>
      <c r="I96" s="46">
        <f t="shared" si="7"/>
        <v>0</v>
      </c>
      <c r="J96" s="49"/>
      <c r="K96" s="48"/>
      <c r="L96" s="49"/>
      <c r="N96" s="51"/>
      <c r="O96" s="24"/>
      <c r="P96" s="49"/>
    </row>
    <row r="97" spans="1:16">
      <c r="A97" s="24"/>
      <c r="B97" s="24"/>
      <c r="C97" s="25"/>
      <c r="D97" s="26">
        <f t="shared" si="4"/>
        <v>0</v>
      </c>
      <c r="E97" s="24"/>
      <c r="F97" s="24"/>
      <c r="G97" s="27">
        <f t="shared" si="5"/>
        <v>0</v>
      </c>
      <c r="H97" s="27">
        <f t="shared" si="6"/>
        <v>0</v>
      </c>
      <c r="I97" s="46">
        <f t="shared" si="7"/>
        <v>0</v>
      </c>
      <c r="J97" s="49"/>
      <c r="K97" s="48"/>
      <c r="L97" s="49"/>
      <c r="N97" s="51"/>
      <c r="O97" s="24"/>
      <c r="P97" s="49"/>
    </row>
    <row r="98" spans="1:16">
      <c r="A98" s="24"/>
      <c r="B98" s="24"/>
      <c r="C98" s="25"/>
      <c r="D98" s="26">
        <f t="shared" si="4"/>
        <v>0</v>
      </c>
      <c r="E98" s="24"/>
      <c r="F98" s="24"/>
      <c r="G98" s="27">
        <f t="shared" si="5"/>
        <v>0</v>
      </c>
      <c r="H98" s="27">
        <f t="shared" si="6"/>
        <v>0</v>
      </c>
      <c r="I98" s="46">
        <f t="shared" si="7"/>
        <v>0</v>
      </c>
      <c r="J98" s="49"/>
      <c r="K98" s="48"/>
      <c r="L98" s="49"/>
      <c r="N98" s="51"/>
      <c r="O98" s="24"/>
      <c r="P98" s="49"/>
    </row>
    <row r="99" spans="1:16">
      <c r="A99" s="24"/>
      <c r="B99" s="24"/>
      <c r="C99" s="25"/>
      <c r="D99" s="26">
        <f t="shared" si="4"/>
        <v>0</v>
      </c>
      <c r="E99" s="24"/>
      <c r="F99" s="24"/>
      <c r="G99" s="27">
        <f t="shared" si="5"/>
        <v>0</v>
      </c>
      <c r="H99" s="27">
        <f t="shared" si="6"/>
        <v>0</v>
      </c>
      <c r="I99" s="46">
        <f t="shared" si="7"/>
        <v>0</v>
      </c>
      <c r="J99" s="49"/>
      <c r="K99" s="48"/>
      <c r="L99" s="49"/>
      <c r="N99" s="51"/>
      <c r="O99" s="24"/>
      <c r="P99" s="49"/>
    </row>
    <row r="100" spans="1:16">
      <c r="A100" s="24"/>
      <c r="B100" s="24"/>
      <c r="C100" s="25"/>
      <c r="D100" s="26">
        <f t="shared" si="4"/>
        <v>0</v>
      </c>
      <c r="E100" s="24"/>
      <c r="F100" s="24"/>
      <c r="G100" s="27">
        <f t="shared" si="5"/>
        <v>0</v>
      </c>
      <c r="H100" s="27">
        <f t="shared" si="6"/>
        <v>0</v>
      </c>
      <c r="I100" s="46">
        <f t="shared" si="7"/>
        <v>0</v>
      </c>
      <c r="J100" s="49"/>
      <c r="K100" s="48"/>
      <c r="L100" s="49"/>
      <c r="N100" s="51"/>
      <c r="O100" s="24"/>
      <c r="P100" s="49"/>
    </row>
    <row r="101" spans="1:16">
      <c r="A101" s="24"/>
      <c r="B101" s="24"/>
      <c r="C101" s="25"/>
      <c r="D101" s="26">
        <f t="shared" si="4"/>
        <v>0</v>
      </c>
      <c r="E101" s="24"/>
      <c r="F101" s="24"/>
      <c r="G101" s="27">
        <f t="shared" si="5"/>
        <v>0</v>
      </c>
      <c r="H101" s="27">
        <f t="shared" si="6"/>
        <v>0</v>
      </c>
      <c r="I101" s="46">
        <f t="shared" si="7"/>
        <v>0</v>
      </c>
      <c r="J101" s="49"/>
      <c r="K101" s="48"/>
      <c r="L101" s="49"/>
      <c r="N101" s="51"/>
      <c r="O101" s="24"/>
      <c r="P101" s="49"/>
    </row>
    <row r="102" spans="1:16">
      <c r="A102" s="24"/>
      <c r="B102" s="24"/>
      <c r="C102" s="25"/>
      <c r="D102" s="26">
        <f t="shared" si="4"/>
        <v>0</v>
      </c>
      <c r="E102" s="24"/>
      <c r="F102" s="24"/>
      <c r="G102" s="27">
        <f t="shared" si="5"/>
        <v>0</v>
      </c>
      <c r="H102" s="27">
        <f t="shared" si="6"/>
        <v>0</v>
      </c>
      <c r="I102" s="46">
        <f t="shared" si="7"/>
        <v>0</v>
      </c>
      <c r="J102" s="49"/>
      <c r="K102" s="48"/>
      <c r="L102" s="49"/>
      <c r="N102" s="51"/>
      <c r="O102" s="24"/>
      <c r="P102" s="49"/>
    </row>
    <row r="103" spans="1:16">
      <c r="A103" s="24"/>
      <c r="B103" s="24"/>
      <c r="C103" s="25"/>
      <c r="D103" s="26">
        <f t="shared" si="4"/>
        <v>0</v>
      </c>
      <c r="E103" s="24"/>
      <c r="F103" s="24"/>
      <c r="G103" s="27">
        <f t="shared" si="5"/>
        <v>0</v>
      </c>
      <c r="H103" s="27">
        <f t="shared" si="6"/>
        <v>0</v>
      </c>
      <c r="I103" s="46">
        <f t="shared" si="7"/>
        <v>0</v>
      </c>
      <c r="J103" s="49"/>
      <c r="K103" s="48"/>
      <c r="L103" s="49"/>
      <c r="N103" s="51"/>
      <c r="O103" s="24"/>
      <c r="P103" s="49"/>
    </row>
    <row r="104" spans="1:16">
      <c r="A104" s="24"/>
      <c r="B104" s="24"/>
      <c r="C104" s="25"/>
      <c r="D104" s="26">
        <f t="shared" si="4"/>
        <v>0</v>
      </c>
      <c r="E104" s="24"/>
      <c r="F104" s="24"/>
      <c r="G104" s="27">
        <f t="shared" si="5"/>
        <v>0</v>
      </c>
      <c r="H104" s="27">
        <f t="shared" si="6"/>
        <v>0</v>
      </c>
      <c r="I104" s="46">
        <f t="shared" si="7"/>
        <v>0</v>
      </c>
      <c r="J104" s="49"/>
      <c r="K104" s="48"/>
      <c r="L104" s="49"/>
      <c r="N104" s="51"/>
      <c r="O104" s="24"/>
      <c r="P104" s="49"/>
    </row>
    <row r="105" spans="1:16">
      <c r="A105" s="24"/>
      <c r="B105" s="24"/>
      <c r="C105" s="25"/>
      <c r="D105" s="26">
        <f t="shared" si="4"/>
        <v>0</v>
      </c>
      <c r="E105" s="24"/>
      <c r="F105" s="24"/>
      <c r="G105" s="27">
        <f t="shared" si="5"/>
        <v>0</v>
      </c>
      <c r="H105" s="27">
        <f t="shared" si="6"/>
        <v>0</v>
      </c>
      <c r="I105" s="46">
        <f t="shared" si="7"/>
        <v>0</v>
      </c>
      <c r="J105" s="49"/>
      <c r="K105" s="48"/>
      <c r="L105" s="49"/>
      <c r="N105" s="51"/>
      <c r="O105" s="24"/>
      <c r="P105" s="49"/>
    </row>
    <row r="106" spans="1:16">
      <c r="A106" s="24"/>
      <c r="B106" s="24"/>
      <c r="C106" s="25"/>
      <c r="D106" s="26">
        <f t="shared" si="4"/>
        <v>0</v>
      </c>
      <c r="E106" s="24"/>
      <c r="F106" s="24"/>
      <c r="G106" s="27">
        <f t="shared" si="5"/>
        <v>0</v>
      </c>
      <c r="H106" s="27">
        <f t="shared" si="6"/>
        <v>0</v>
      </c>
      <c r="I106" s="46">
        <f t="shared" si="7"/>
        <v>0</v>
      </c>
      <c r="J106" s="49"/>
      <c r="K106" s="48"/>
      <c r="L106" s="49"/>
      <c r="N106" s="51"/>
      <c r="O106" s="24"/>
      <c r="P106" s="49"/>
    </row>
    <row r="107" spans="1:16">
      <c r="A107" s="24"/>
      <c r="B107" s="24"/>
      <c r="C107" s="25"/>
      <c r="D107" s="26">
        <f t="shared" si="4"/>
        <v>0</v>
      </c>
      <c r="E107" s="24"/>
      <c r="F107" s="24"/>
      <c r="G107" s="27">
        <f t="shared" si="5"/>
        <v>0</v>
      </c>
      <c r="H107" s="27">
        <f t="shared" si="6"/>
        <v>0</v>
      </c>
      <c r="I107" s="46">
        <f t="shared" si="7"/>
        <v>0</v>
      </c>
      <c r="J107" s="49"/>
      <c r="K107" s="48"/>
      <c r="L107" s="49"/>
      <c r="N107" s="51"/>
      <c r="O107" s="24"/>
      <c r="P107" s="49"/>
    </row>
    <row r="108" spans="1:16">
      <c r="A108" s="24"/>
      <c r="B108" s="24"/>
      <c r="C108" s="25"/>
      <c r="D108" s="26">
        <f t="shared" si="4"/>
        <v>0</v>
      </c>
      <c r="E108" s="24"/>
      <c r="F108" s="24"/>
      <c r="G108" s="27">
        <f t="shared" si="5"/>
        <v>0</v>
      </c>
      <c r="H108" s="27">
        <f t="shared" si="6"/>
        <v>0</v>
      </c>
      <c r="I108" s="46">
        <f t="shared" si="7"/>
        <v>0</v>
      </c>
      <c r="J108" s="49"/>
      <c r="K108" s="48"/>
      <c r="L108" s="49"/>
      <c r="N108" s="51"/>
      <c r="O108" s="24"/>
      <c r="P108" s="49"/>
    </row>
    <row r="109" spans="1:16">
      <c r="A109" s="24"/>
      <c r="B109" s="24"/>
      <c r="C109" s="25"/>
      <c r="D109" s="26">
        <f t="shared" si="4"/>
        <v>0</v>
      </c>
      <c r="E109" s="24"/>
      <c r="F109" s="24"/>
      <c r="G109" s="27">
        <f t="shared" si="5"/>
        <v>0</v>
      </c>
      <c r="H109" s="27">
        <f t="shared" si="6"/>
        <v>0</v>
      </c>
      <c r="I109" s="46">
        <f t="shared" si="7"/>
        <v>0</v>
      </c>
      <c r="J109" s="49"/>
      <c r="K109" s="48"/>
      <c r="L109" s="49"/>
      <c r="N109" s="51"/>
      <c r="O109" s="24"/>
      <c r="P109" s="49"/>
    </row>
    <row r="110" spans="1:16">
      <c r="A110" s="24"/>
      <c r="B110" s="24"/>
      <c r="C110" s="25"/>
      <c r="D110" s="26">
        <f t="shared" si="4"/>
        <v>0</v>
      </c>
      <c r="E110" s="24"/>
      <c r="F110" s="24"/>
      <c r="G110" s="27">
        <f t="shared" si="5"/>
        <v>0</v>
      </c>
      <c r="H110" s="27">
        <f t="shared" si="6"/>
        <v>0</v>
      </c>
      <c r="I110" s="46">
        <f t="shared" si="7"/>
        <v>0</v>
      </c>
      <c r="J110" s="49"/>
      <c r="K110" s="48"/>
      <c r="L110" s="49"/>
      <c r="N110" s="51"/>
      <c r="O110" s="24"/>
      <c r="P110" s="49"/>
    </row>
    <row r="111" spans="1:16">
      <c r="A111" s="24"/>
      <c r="B111" s="24"/>
      <c r="C111" s="25"/>
      <c r="D111" s="26">
        <f t="shared" si="4"/>
        <v>0</v>
      </c>
      <c r="E111" s="24"/>
      <c r="F111" s="24"/>
      <c r="G111" s="27">
        <f t="shared" si="5"/>
        <v>0</v>
      </c>
      <c r="H111" s="27">
        <f t="shared" si="6"/>
        <v>0</v>
      </c>
      <c r="I111" s="46">
        <f t="shared" si="7"/>
        <v>0</v>
      </c>
      <c r="J111" s="49"/>
      <c r="K111" s="48"/>
      <c r="L111" s="49"/>
      <c r="N111" s="51"/>
      <c r="O111" s="24"/>
      <c r="P111" s="49"/>
    </row>
    <row r="112" spans="1:16">
      <c r="A112" s="24"/>
      <c r="B112" s="24"/>
      <c r="C112" s="25"/>
      <c r="D112" s="26">
        <f t="shared" si="4"/>
        <v>0</v>
      </c>
      <c r="E112" s="24"/>
      <c r="F112" s="24"/>
      <c r="G112" s="27">
        <f t="shared" si="5"/>
        <v>0</v>
      </c>
      <c r="H112" s="27">
        <f t="shared" si="6"/>
        <v>0</v>
      </c>
      <c r="I112" s="46">
        <f t="shared" si="7"/>
        <v>0</v>
      </c>
      <c r="J112" s="49"/>
      <c r="K112" s="48"/>
      <c r="L112" s="49"/>
      <c r="N112" s="51"/>
      <c r="O112" s="24"/>
      <c r="P112" s="49"/>
    </row>
    <row r="113" spans="1:16">
      <c r="A113" s="24"/>
      <c r="B113" s="24"/>
      <c r="C113" s="25"/>
      <c r="D113" s="26">
        <f t="shared" si="4"/>
        <v>0</v>
      </c>
      <c r="E113" s="24"/>
      <c r="F113" s="24"/>
      <c r="G113" s="27">
        <f t="shared" si="5"/>
        <v>0</v>
      </c>
      <c r="H113" s="27">
        <f t="shared" si="6"/>
        <v>0</v>
      </c>
      <c r="I113" s="46">
        <f t="shared" si="7"/>
        <v>0</v>
      </c>
      <c r="J113" s="49"/>
      <c r="K113" s="48"/>
      <c r="L113" s="49"/>
      <c r="N113" s="51"/>
      <c r="O113" s="24"/>
      <c r="P113" s="49"/>
    </row>
    <row r="114" spans="1:16">
      <c r="A114" s="24"/>
      <c r="B114" s="24"/>
      <c r="C114" s="25"/>
      <c r="D114" s="26">
        <f t="shared" si="4"/>
        <v>0</v>
      </c>
      <c r="E114" s="24"/>
      <c r="F114" s="24"/>
      <c r="G114" s="27">
        <f t="shared" si="5"/>
        <v>0</v>
      </c>
      <c r="H114" s="27">
        <f t="shared" si="6"/>
        <v>0</v>
      </c>
      <c r="I114" s="46">
        <f t="shared" si="7"/>
        <v>0</v>
      </c>
      <c r="J114" s="49"/>
      <c r="K114" s="48"/>
      <c r="L114" s="49"/>
      <c r="N114" s="51"/>
      <c r="O114" s="24"/>
      <c r="P114" s="49"/>
    </row>
    <row r="115" spans="1:16">
      <c r="A115" s="24"/>
      <c r="B115" s="24"/>
      <c r="C115" s="25"/>
      <c r="D115" s="26">
        <f t="shared" si="4"/>
        <v>0</v>
      </c>
      <c r="E115" s="24"/>
      <c r="F115" s="24"/>
      <c r="G115" s="27">
        <f t="shared" si="5"/>
        <v>0</v>
      </c>
      <c r="H115" s="27">
        <f t="shared" si="6"/>
        <v>0</v>
      </c>
      <c r="I115" s="46">
        <f t="shared" si="7"/>
        <v>0</v>
      </c>
      <c r="J115" s="49"/>
      <c r="K115" s="48"/>
      <c r="L115" s="49"/>
      <c r="N115" s="51"/>
      <c r="O115" s="24"/>
      <c r="P115" s="49"/>
    </row>
    <row r="116" spans="1:16">
      <c r="A116" s="24"/>
      <c r="B116" s="24"/>
      <c r="C116" s="25"/>
      <c r="D116" s="26">
        <f t="shared" si="4"/>
        <v>0</v>
      </c>
      <c r="E116" s="24"/>
      <c r="F116" s="24"/>
      <c r="G116" s="27">
        <f t="shared" si="5"/>
        <v>0</v>
      </c>
      <c r="H116" s="27">
        <f t="shared" si="6"/>
        <v>0</v>
      </c>
      <c r="I116" s="46">
        <f t="shared" si="7"/>
        <v>0</v>
      </c>
      <c r="J116" s="49"/>
      <c r="K116" s="48"/>
      <c r="L116" s="49"/>
      <c r="N116" s="51"/>
      <c r="O116" s="24"/>
      <c r="P116" s="49"/>
    </row>
    <row r="117" spans="1:16">
      <c r="A117" s="24"/>
      <c r="B117" s="24"/>
      <c r="C117" s="25"/>
      <c r="D117" s="26">
        <f t="shared" si="4"/>
        <v>0</v>
      </c>
      <c r="E117" s="24"/>
      <c r="F117" s="24"/>
      <c r="G117" s="27">
        <f t="shared" si="5"/>
        <v>0</v>
      </c>
      <c r="H117" s="27">
        <f t="shared" si="6"/>
        <v>0</v>
      </c>
      <c r="I117" s="46">
        <f t="shared" si="7"/>
        <v>0</v>
      </c>
      <c r="J117" s="49"/>
      <c r="K117" s="48"/>
      <c r="L117" s="49"/>
      <c r="N117" s="51"/>
      <c r="O117" s="24"/>
      <c r="P117" s="49"/>
    </row>
    <row r="118" spans="1:16">
      <c r="A118" s="24"/>
      <c r="B118" s="24"/>
      <c r="C118" s="25"/>
      <c r="D118" s="26">
        <f t="shared" si="4"/>
        <v>0</v>
      </c>
      <c r="E118" s="24"/>
      <c r="F118" s="24"/>
      <c r="G118" s="27">
        <f t="shared" si="5"/>
        <v>0</v>
      </c>
      <c r="H118" s="27">
        <f t="shared" si="6"/>
        <v>0</v>
      </c>
      <c r="I118" s="46">
        <f t="shared" si="7"/>
        <v>0</v>
      </c>
      <c r="J118" s="49"/>
      <c r="K118" s="48"/>
      <c r="L118" s="49"/>
      <c r="N118" s="51"/>
      <c r="O118" s="24"/>
      <c r="P118" s="49"/>
    </row>
    <row r="119" spans="1:16">
      <c r="A119" s="24"/>
      <c r="B119" s="24"/>
      <c r="C119" s="25"/>
      <c r="D119" s="26">
        <f t="shared" si="4"/>
        <v>0</v>
      </c>
      <c r="E119" s="24"/>
      <c r="F119" s="24"/>
      <c r="G119" s="27">
        <f t="shared" si="5"/>
        <v>0</v>
      </c>
      <c r="H119" s="27">
        <f t="shared" si="6"/>
        <v>0</v>
      </c>
      <c r="I119" s="46">
        <f t="shared" si="7"/>
        <v>0</v>
      </c>
      <c r="J119" s="49"/>
      <c r="K119" s="48"/>
      <c r="L119" s="49"/>
      <c r="N119" s="51"/>
      <c r="O119" s="24"/>
      <c r="P119" s="49"/>
    </row>
    <row r="120" spans="1:16">
      <c r="A120" s="24"/>
      <c r="B120" s="24"/>
      <c r="C120" s="25"/>
      <c r="D120" s="26">
        <f t="shared" si="4"/>
        <v>0</v>
      </c>
      <c r="E120" s="24"/>
      <c r="F120" s="24"/>
      <c r="G120" s="27">
        <f t="shared" si="5"/>
        <v>0</v>
      </c>
      <c r="H120" s="27">
        <f t="shared" si="6"/>
        <v>0</v>
      </c>
      <c r="I120" s="46">
        <f t="shared" si="7"/>
        <v>0</v>
      </c>
      <c r="J120" s="49"/>
      <c r="K120" s="48"/>
      <c r="L120" s="49"/>
      <c r="N120" s="51"/>
      <c r="O120" s="24"/>
      <c r="P120" s="49"/>
    </row>
    <row r="121" spans="1:16">
      <c r="A121" s="24"/>
      <c r="B121" s="24"/>
      <c r="C121" s="25"/>
      <c r="D121" s="26">
        <f t="shared" si="4"/>
        <v>0</v>
      </c>
      <c r="E121" s="24"/>
      <c r="F121" s="24"/>
      <c r="G121" s="27">
        <f t="shared" si="5"/>
        <v>0</v>
      </c>
      <c r="H121" s="27">
        <f t="shared" si="6"/>
        <v>0</v>
      </c>
      <c r="I121" s="46">
        <f t="shared" si="7"/>
        <v>0</v>
      </c>
      <c r="J121" s="49"/>
      <c r="K121" s="48"/>
      <c r="L121" s="49"/>
      <c r="N121" s="51"/>
      <c r="O121" s="24"/>
      <c r="P121" s="49"/>
    </row>
    <row r="122" spans="1:16">
      <c r="A122" s="24"/>
      <c r="B122" s="24"/>
      <c r="C122" s="25"/>
      <c r="D122" s="26">
        <f t="shared" si="4"/>
        <v>0</v>
      </c>
      <c r="E122" s="24"/>
      <c r="F122" s="24"/>
      <c r="G122" s="27">
        <f t="shared" si="5"/>
        <v>0</v>
      </c>
      <c r="H122" s="27">
        <f t="shared" si="6"/>
        <v>0</v>
      </c>
      <c r="I122" s="46">
        <f t="shared" si="7"/>
        <v>0</v>
      </c>
      <c r="J122" s="49"/>
      <c r="K122" s="48"/>
      <c r="L122" s="49"/>
      <c r="N122" s="51"/>
      <c r="O122" s="24"/>
      <c r="P122" s="49"/>
    </row>
    <row r="123" spans="1:16">
      <c r="A123" s="24"/>
      <c r="B123" s="24"/>
      <c r="C123" s="25"/>
      <c r="D123" s="26">
        <f t="shared" si="4"/>
        <v>0</v>
      </c>
      <c r="E123" s="24"/>
      <c r="F123" s="24"/>
      <c r="G123" s="27">
        <f t="shared" si="5"/>
        <v>0</v>
      </c>
      <c r="H123" s="27">
        <f t="shared" si="6"/>
        <v>0</v>
      </c>
      <c r="I123" s="46">
        <f t="shared" si="7"/>
        <v>0</v>
      </c>
      <c r="J123" s="49"/>
      <c r="K123" s="48"/>
      <c r="L123" s="49"/>
      <c r="N123" s="51"/>
      <c r="O123" s="24"/>
      <c r="P123" s="49"/>
    </row>
    <row r="124" spans="1:16">
      <c r="A124" s="24"/>
      <c r="B124" s="24"/>
      <c r="C124" s="25"/>
      <c r="D124" s="26">
        <f t="shared" si="4"/>
        <v>0</v>
      </c>
      <c r="E124" s="24"/>
      <c r="F124" s="24"/>
      <c r="G124" s="27">
        <f t="shared" si="5"/>
        <v>0</v>
      </c>
      <c r="H124" s="27">
        <f t="shared" si="6"/>
        <v>0</v>
      </c>
      <c r="I124" s="46">
        <f t="shared" si="7"/>
        <v>0</v>
      </c>
      <c r="J124" s="49"/>
      <c r="K124" s="48"/>
      <c r="L124" s="49"/>
      <c r="N124" s="51"/>
      <c r="O124" s="24"/>
      <c r="P124" s="49"/>
    </row>
    <row r="125" spans="1:16">
      <c r="A125" s="24"/>
      <c r="B125" s="24"/>
      <c r="C125" s="25"/>
      <c r="D125" s="26">
        <f t="shared" si="4"/>
        <v>0</v>
      </c>
      <c r="E125" s="24"/>
      <c r="F125" s="24"/>
      <c r="G125" s="27">
        <f t="shared" si="5"/>
        <v>0</v>
      </c>
      <c r="H125" s="27">
        <f t="shared" si="6"/>
        <v>0</v>
      </c>
      <c r="I125" s="46">
        <f t="shared" si="7"/>
        <v>0</v>
      </c>
      <c r="J125" s="49"/>
      <c r="K125" s="48"/>
      <c r="L125" s="49"/>
      <c r="N125" s="51"/>
      <c r="O125" s="24"/>
      <c r="P125" s="49"/>
    </row>
    <row r="126" spans="1:16">
      <c r="A126" s="24"/>
      <c r="B126" s="24"/>
      <c r="C126" s="25"/>
      <c r="D126" s="26">
        <f t="shared" si="4"/>
        <v>0</v>
      </c>
      <c r="E126" s="24"/>
      <c r="F126" s="24"/>
      <c r="G126" s="27">
        <f t="shared" si="5"/>
        <v>0</v>
      </c>
      <c r="H126" s="27">
        <f t="shared" si="6"/>
        <v>0</v>
      </c>
      <c r="I126" s="46">
        <f t="shared" si="7"/>
        <v>0</v>
      </c>
      <c r="J126" s="49"/>
      <c r="K126" s="48"/>
      <c r="L126" s="49"/>
      <c r="N126" s="51"/>
      <c r="O126" s="24"/>
      <c r="P126" s="49"/>
    </row>
    <row r="127" spans="1:16">
      <c r="A127" s="24"/>
      <c r="B127" s="24"/>
      <c r="C127" s="25"/>
      <c r="D127" s="26">
        <f t="shared" si="4"/>
        <v>0</v>
      </c>
      <c r="E127" s="24"/>
      <c r="F127" s="24"/>
      <c r="G127" s="27">
        <f t="shared" si="5"/>
        <v>0</v>
      </c>
      <c r="H127" s="27">
        <f t="shared" si="6"/>
        <v>0</v>
      </c>
      <c r="I127" s="46">
        <f t="shared" si="7"/>
        <v>0</v>
      </c>
      <c r="J127" s="49"/>
      <c r="K127" s="48"/>
      <c r="L127" s="49"/>
      <c r="N127" s="51"/>
      <c r="O127" s="24"/>
      <c r="P127" s="49"/>
    </row>
    <row r="128" spans="1:16">
      <c r="A128" s="24"/>
      <c r="B128" s="24"/>
      <c r="C128" s="25"/>
      <c r="D128" s="26">
        <f t="shared" si="4"/>
        <v>0</v>
      </c>
      <c r="E128" s="24"/>
      <c r="F128" s="24"/>
      <c r="G128" s="27">
        <f t="shared" si="5"/>
        <v>0</v>
      </c>
      <c r="H128" s="27">
        <f t="shared" si="6"/>
        <v>0</v>
      </c>
      <c r="I128" s="46">
        <f t="shared" si="7"/>
        <v>0</v>
      </c>
      <c r="J128" s="49"/>
      <c r="K128" s="48"/>
      <c r="L128" s="49"/>
      <c r="N128" s="51"/>
      <c r="O128" s="24"/>
      <c r="P128" s="49"/>
    </row>
    <row r="129" spans="1:16">
      <c r="A129" s="24"/>
      <c r="B129" s="24"/>
      <c r="C129" s="25"/>
      <c r="D129" s="26">
        <f t="shared" si="4"/>
        <v>0</v>
      </c>
      <c r="E129" s="24"/>
      <c r="F129" s="24"/>
      <c r="G129" s="27">
        <f t="shared" si="5"/>
        <v>0</v>
      </c>
      <c r="H129" s="27">
        <f t="shared" si="6"/>
        <v>0</v>
      </c>
      <c r="I129" s="46">
        <f t="shared" si="7"/>
        <v>0</v>
      </c>
      <c r="J129" s="49"/>
      <c r="K129" s="48"/>
      <c r="L129" s="49"/>
      <c r="N129" s="51"/>
      <c r="O129" s="24"/>
      <c r="P129" s="49"/>
    </row>
    <row r="130" spans="1:16">
      <c r="A130" s="24"/>
      <c r="B130" s="24"/>
      <c r="C130" s="25"/>
      <c r="D130" s="26">
        <f t="shared" si="4"/>
        <v>0</v>
      </c>
      <c r="E130" s="24"/>
      <c r="F130" s="24"/>
      <c r="G130" s="27">
        <f t="shared" si="5"/>
        <v>0</v>
      </c>
      <c r="H130" s="27">
        <f t="shared" si="6"/>
        <v>0</v>
      </c>
      <c r="I130" s="46">
        <f t="shared" si="7"/>
        <v>0</v>
      </c>
      <c r="J130" s="49"/>
      <c r="K130" s="48"/>
      <c r="L130" s="49"/>
      <c r="N130" s="51"/>
      <c r="O130" s="24"/>
      <c r="P130" s="49"/>
    </row>
    <row r="131" spans="1:16">
      <c r="A131" s="24"/>
      <c r="B131" s="24"/>
      <c r="C131" s="25"/>
      <c r="D131" s="26">
        <f t="shared" si="4"/>
        <v>0</v>
      </c>
      <c r="E131" s="24"/>
      <c r="F131" s="24"/>
      <c r="G131" s="27">
        <f t="shared" si="5"/>
        <v>0</v>
      </c>
      <c r="H131" s="27">
        <f t="shared" si="6"/>
        <v>0</v>
      </c>
      <c r="I131" s="46">
        <f t="shared" si="7"/>
        <v>0</v>
      </c>
      <c r="J131" s="49"/>
      <c r="K131" s="48"/>
      <c r="L131" s="49"/>
      <c r="N131" s="51"/>
      <c r="O131" s="24"/>
      <c r="P131" s="49"/>
    </row>
    <row r="132" spans="1:16">
      <c r="A132" s="24"/>
      <c r="B132" s="24"/>
      <c r="C132" s="25"/>
      <c r="D132" s="26">
        <f t="shared" si="4"/>
        <v>0</v>
      </c>
      <c r="E132" s="24"/>
      <c r="F132" s="24"/>
      <c r="G132" s="27">
        <f t="shared" si="5"/>
        <v>0</v>
      </c>
      <c r="H132" s="27">
        <f t="shared" si="6"/>
        <v>0</v>
      </c>
      <c r="I132" s="46">
        <f t="shared" si="7"/>
        <v>0</v>
      </c>
      <c r="J132" s="49"/>
      <c r="K132" s="48"/>
      <c r="L132" s="49"/>
      <c r="N132" s="51"/>
      <c r="O132" s="24"/>
      <c r="P132" s="49"/>
    </row>
    <row r="133" spans="1:16">
      <c r="A133" s="24"/>
      <c r="B133" s="24"/>
      <c r="C133" s="25"/>
      <c r="D133" s="26">
        <f t="shared" si="4"/>
        <v>0</v>
      </c>
      <c r="E133" s="24"/>
      <c r="F133" s="24"/>
      <c r="G133" s="27">
        <f t="shared" si="5"/>
        <v>0</v>
      </c>
      <c r="H133" s="27">
        <f t="shared" si="6"/>
        <v>0</v>
      </c>
      <c r="I133" s="46">
        <f t="shared" si="7"/>
        <v>0</v>
      </c>
      <c r="J133" s="49"/>
      <c r="K133" s="48"/>
      <c r="L133" s="49"/>
      <c r="N133" s="51"/>
      <c r="O133" s="24"/>
      <c r="P133" s="49"/>
    </row>
    <row r="134" spans="1:16">
      <c r="A134" s="24"/>
      <c r="B134" s="24"/>
      <c r="C134" s="25"/>
      <c r="D134" s="26">
        <f t="shared" si="4"/>
        <v>0</v>
      </c>
      <c r="E134" s="24"/>
      <c r="F134" s="24"/>
      <c r="G134" s="27">
        <f t="shared" si="5"/>
        <v>0</v>
      </c>
      <c r="H134" s="27">
        <f t="shared" si="6"/>
        <v>0</v>
      </c>
      <c r="I134" s="46">
        <f t="shared" si="7"/>
        <v>0</v>
      </c>
      <c r="J134" s="49"/>
      <c r="K134" s="48"/>
      <c r="L134" s="49"/>
      <c r="N134" s="51"/>
      <c r="O134" s="24"/>
      <c r="P134" s="49"/>
    </row>
    <row r="135" spans="1:16">
      <c r="A135" s="24"/>
      <c r="B135" s="24"/>
      <c r="C135" s="25"/>
      <c r="D135" s="26">
        <f t="shared" si="4"/>
        <v>0</v>
      </c>
      <c r="E135" s="24"/>
      <c r="F135" s="24"/>
      <c r="G135" s="27">
        <f t="shared" si="5"/>
        <v>0</v>
      </c>
      <c r="H135" s="27">
        <f t="shared" si="6"/>
        <v>0</v>
      </c>
      <c r="I135" s="46">
        <f t="shared" si="7"/>
        <v>0</v>
      </c>
      <c r="J135" s="49"/>
      <c r="K135" s="48"/>
      <c r="L135" s="49"/>
      <c r="N135" s="51"/>
      <c r="O135" s="24"/>
      <c r="P135" s="49"/>
    </row>
    <row r="136" spans="1:16">
      <c r="A136" s="24"/>
      <c r="B136" s="24"/>
      <c r="C136" s="25"/>
      <c r="D136" s="26">
        <f t="shared" si="4"/>
        <v>0</v>
      </c>
      <c r="E136" s="24"/>
      <c r="F136" s="24"/>
      <c r="G136" s="27">
        <f t="shared" si="5"/>
        <v>0</v>
      </c>
      <c r="H136" s="27">
        <f t="shared" si="6"/>
        <v>0</v>
      </c>
      <c r="I136" s="46">
        <f t="shared" si="7"/>
        <v>0</v>
      </c>
      <c r="J136" s="49"/>
      <c r="K136" s="48"/>
      <c r="L136" s="49"/>
      <c r="N136" s="51"/>
      <c r="O136" s="24"/>
      <c r="P136" s="49"/>
    </row>
    <row r="137" spans="1:16">
      <c r="A137" s="24"/>
      <c r="B137" s="24"/>
      <c r="C137" s="25"/>
      <c r="D137" s="26">
        <f t="shared" si="4"/>
        <v>0</v>
      </c>
      <c r="E137" s="24"/>
      <c r="F137" s="24"/>
      <c r="G137" s="27">
        <f t="shared" si="5"/>
        <v>0</v>
      </c>
      <c r="H137" s="27">
        <f t="shared" si="6"/>
        <v>0</v>
      </c>
      <c r="I137" s="46">
        <f t="shared" si="7"/>
        <v>0</v>
      </c>
      <c r="J137" s="49"/>
      <c r="K137" s="48"/>
      <c r="L137" s="49"/>
      <c r="N137" s="51"/>
      <c r="O137" s="24"/>
      <c r="P137" s="49"/>
    </row>
    <row r="138" spans="1:16">
      <c r="A138" s="24"/>
      <c r="B138" s="24"/>
      <c r="C138" s="25"/>
      <c r="D138" s="26">
        <f t="shared" si="4"/>
        <v>0</v>
      </c>
      <c r="E138" s="24"/>
      <c r="F138" s="24"/>
      <c r="G138" s="27">
        <f t="shared" si="5"/>
        <v>0</v>
      </c>
      <c r="H138" s="27">
        <f t="shared" si="6"/>
        <v>0</v>
      </c>
      <c r="I138" s="46">
        <f t="shared" si="7"/>
        <v>0</v>
      </c>
      <c r="J138" s="49"/>
      <c r="K138" s="48"/>
      <c r="L138" s="49"/>
      <c r="N138" s="51"/>
      <c r="O138" s="24"/>
      <c r="P138" s="49"/>
    </row>
    <row r="139" spans="1:16">
      <c r="A139" s="24"/>
      <c r="B139" s="24"/>
      <c r="C139" s="25"/>
      <c r="D139" s="26">
        <f t="shared" si="4"/>
        <v>0</v>
      </c>
      <c r="E139" s="24"/>
      <c r="F139" s="24"/>
      <c r="G139" s="27">
        <f t="shared" si="5"/>
        <v>0</v>
      </c>
      <c r="H139" s="27">
        <f t="shared" si="6"/>
        <v>0</v>
      </c>
      <c r="I139" s="46">
        <f t="shared" si="7"/>
        <v>0</v>
      </c>
      <c r="J139" s="49"/>
      <c r="K139" s="48"/>
      <c r="L139" s="49"/>
      <c r="N139" s="51"/>
      <c r="O139" s="24"/>
      <c r="P139" s="49"/>
    </row>
    <row r="140" spans="1:16">
      <c r="A140" s="24"/>
      <c r="B140" s="24"/>
      <c r="C140" s="25"/>
      <c r="D140" s="26">
        <f t="shared" si="4"/>
        <v>0</v>
      </c>
      <c r="E140" s="24"/>
      <c r="F140" s="24"/>
      <c r="G140" s="27">
        <f t="shared" si="5"/>
        <v>0</v>
      </c>
      <c r="H140" s="27">
        <f t="shared" si="6"/>
        <v>0</v>
      </c>
      <c r="I140" s="46">
        <f t="shared" si="7"/>
        <v>0</v>
      </c>
      <c r="J140" s="49"/>
      <c r="K140" s="48"/>
      <c r="L140" s="49"/>
      <c r="N140" s="51"/>
      <c r="O140" s="24"/>
      <c r="P140" s="49"/>
    </row>
    <row r="141" spans="1:16">
      <c r="A141" s="24"/>
      <c r="B141" s="24"/>
      <c r="C141" s="25"/>
      <c r="D141" s="26">
        <f t="shared" si="4"/>
        <v>0</v>
      </c>
      <c r="E141" s="24"/>
      <c r="F141" s="24"/>
      <c r="G141" s="27">
        <f t="shared" si="5"/>
        <v>0</v>
      </c>
      <c r="H141" s="27">
        <f t="shared" si="6"/>
        <v>0</v>
      </c>
      <c r="I141" s="46">
        <f t="shared" si="7"/>
        <v>0</v>
      </c>
      <c r="J141" s="49"/>
      <c r="K141" s="48"/>
      <c r="L141" s="49"/>
      <c r="N141" s="51"/>
      <c r="O141" s="24"/>
      <c r="P141" s="49"/>
    </row>
    <row r="142" spans="1:16">
      <c r="A142" s="24"/>
      <c r="B142" s="24"/>
      <c r="C142" s="25"/>
      <c r="D142" s="26">
        <f t="shared" ref="D142:D166" si="8">IFERROR(SUM(C142/B142)/2/15,0)</f>
        <v>0</v>
      </c>
      <c r="E142" s="24"/>
      <c r="F142" s="24"/>
      <c r="G142" s="27">
        <f t="shared" ref="G142:G166" si="9">IFERROR(SUM(F142/B142),0)</f>
        <v>0</v>
      </c>
      <c r="H142" s="27">
        <f t="shared" ref="H142:H166" si="10">IFERROR(SUM(F142/I142),0)</f>
        <v>0</v>
      </c>
      <c r="I142" s="46">
        <f t="shared" ref="I142:I166" si="11">SUM(C142/2/15)</f>
        <v>0</v>
      </c>
      <c r="J142" s="49"/>
      <c r="K142" s="48"/>
      <c r="L142" s="49"/>
      <c r="N142" s="51"/>
      <c r="O142" s="24"/>
      <c r="P142" s="49"/>
    </row>
    <row r="143" spans="1:16">
      <c r="A143" s="24"/>
      <c r="B143" s="24"/>
      <c r="C143" s="25"/>
      <c r="D143" s="26">
        <f t="shared" si="8"/>
        <v>0</v>
      </c>
      <c r="E143" s="24"/>
      <c r="F143" s="24"/>
      <c r="G143" s="27">
        <f t="shared" si="9"/>
        <v>0</v>
      </c>
      <c r="H143" s="27">
        <f t="shared" si="10"/>
        <v>0</v>
      </c>
      <c r="I143" s="46">
        <f t="shared" si="11"/>
        <v>0</v>
      </c>
      <c r="J143" s="49"/>
      <c r="K143" s="48"/>
      <c r="L143" s="49"/>
      <c r="N143" s="51"/>
      <c r="O143" s="24"/>
      <c r="P143" s="49"/>
    </row>
    <row r="144" spans="1:16">
      <c r="A144" s="24"/>
      <c r="B144" s="24"/>
      <c r="C144" s="25"/>
      <c r="D144" s="26">
        <f t="shared" si="8"/>
        <v>0</v>
      </c>
      <c r="E144" s="24"/>
      <c r="F144" s="24"/>
      <c r="G144" s="27">
        <f t="shared" si="9"/>
        <v>0</v>
      </c>
      <c r="H144" s="27">
        <f t="shared" si="10"/>
        <v>0</v>
      </c>
      <c r="I144" s="46">
        <f t="shared" si="11"/>
        <v>0</v>
      </c>
      <c r="J144" s="49"/>
      <c r="K144" s="48"/>
      <c r="L144" s="49"/>
      <c r="N144" s="51"/>
      <c r="O144" s="24"/>
      <c r="P144" s="49"/>
    </row>
    <row r="145" spans="1:16">
      <c r="A145" s="24"/>
      <c r="B145" s="24"/>
      <c r="C145" s="25"/>
      <c r="D145" s="26">
        <f t="shared" si="8"/>
        <v>0</v>
      </c>
      <c r="E145" s="24"/>
      <c r="F145" s="24"/>
      <c r="G145" s="27">
        <f t="shared" si="9"/>
        <v>0</v>
      </c>
      <c r="H145" s="27">
        <f t="shared" si="10"/>
        <v>0</v>
      </c>
      <c r="I145" s="46">
        <f t="shared" si="11"/>
        <v>0</v>
      </c>
      <c r="J145" s="49"/>
      <c r="K145" s="48"/>
      <c r="L145" s="49"/>
      <c r="N145" s="51"/>
      <c r="O145" s="24"/>
      <c r="P145" s="49"/>
    </row>
    <row r="146" spans="1:16">
      <c r="A146" s="24"/>
      <c r="B146" s="24"/>
      <c r="C146" s="25"/>
      <c r="D146" s="26">
        <f t="shared" si="8"/>
        <v>0</v>
      </c>
      <c r="E146" s="24"/>
      <c r="F146" s="24"/>
      <c r="G146" s="27">
        <f t="shared" si="9"/>
        <v>0</v>
      </c>
      <c r="H146" s="27">
        <f t="shared" si="10"/>
        <v>0</v>
      </c>
      <c r="I146" s="46">
        <f t="shared" si="11"/>
        <v>0</v>
      </c>
      <c r="J146" s="49"/>
      <c r="K146" s="48"/>
      <c r="L146" s="49"/>
      <c r="N146" s="51"/>
      <c r="O146" s="24"/>
      <c r="P146" s="49"/>
    </row>
    <row r="147" spans="1:16">
      <c r="A147" s="24"/>
      <c r="B147" s="24"/>
      <c r="C147" s="25"/>
      <c r="D147" s="26">
        <f t="shared" si="8"/>
        <v>0</v>
      </c>
      <c r="E147" s="24"/>
      <c r="F147" s="24"/>
      <c r="G147" s="27">
        <f t="shared" si="9"/>
        <v>0</v>
      </c>
      <c r="H147" s="27">
        <f t="shared" si="10"/>
        <v>0</v>
      </c>
      <c r="I147" s="46">
        <f t="shared" si="11"/>
        <v>0</v>
      </c>
      <c r="J147" s="49"/>
      <c r="K147" s="48"/>
      <c r="L147" s="49"/>
      <c r="N147" s="51"/>
      <c r="O147" s="24"/>
      <c r="P147" s="49"/>
    </row>
    <row r="148" spans="1:16">
      <c r="A148" s="24"/>
      <c r="B148" s="24"/>
      <c r="C148" s="25"/>
      <c r="D148" s="26">
        <f t="shared" si="8"/>
        <v>0</v>
      </c>
      <c r="E148" s="24"/>
      <c r="F148" s="24"/>
      <c r="G148" s="27">
        <f t="shared" si="9"/>
        <v>0</v>
      </c>
      <c r="H148" s="27">
        <f t="shared" si="10"/>
        <v>0</v>
      </c>
      <c r="I148" s="46">
        <f t="shared" si="11"/>
        <v>0</v>
      </c>
      <c r="J148" s="49"/>
      <c r="K148" s="48"/>
      <c r="L148" s="49"/>
      <c r="N148" s="51"/>
      <c r="O148" s="24"/>
      <c r="P148" s="49"/>
    </row>
    <row r="149" spans="1:16">
      <c r="A149" s="24"/>
      <c r="B149" s="24"/>
      <c r="C149" s="25"/>
      <c r="D149" s="26">
        <f t="shared" si="8"/>
        <v>0</v>
      </c>
      <c r="E149" s="24"/>
      <c r="F149" s="24"/>
      <c r="G149" s="27">
        <f t="shared" si="9"/>
        <v>0</v>
      </c>
      <c r="H149" s="27">
        <f t="shared" si="10"/>
        <v>0</v>
      </c>
      <c r="I149" s="46">
        <f t="shared" si="11"/>
        <v>0</v>
      </c>
      <c r="J149" s="49"/>
      <c r="K149" s="48"/>
      <c r="L149" s="49"/>
      <c r="N149" s="51"/>
      <c r="O149" s="24"/>
      <c r="P149" s="49"/>
    </row>
    <row r="150" spans="1:16">
      <c r="A150" s="24"/>
      <c r="B150" s="24"/>
      <c r="C150" s="25"/>
      <c r="D150" s="26">
        <f t="shared" si="8"/>
        <v>0</v>
      </c>
      <c r="E150" s="24"/>
      <c r="F150" s="24"/>
      <c r="G150" s="27">
        <f t="shared" si="9"/>
        <v>0</v>
      </c>
      <c r="H150" s="27">
        <f t="shared" si="10"/>
        <v>0</v>
      </c>
      <c r="I150" s="46">
        <f t="shared" si="11"/>
        <v>0</v>
      </c>
      <c r="J150" s="49"/>
      <c r="K150" s="48"/>
      <c r="L150" s="49"/>
      <c r="N150" s="51"/>
      <c r="O150" s="24"/>
      <c r="P150" s="49"/>
    </row>
    <row r="151" spans="1:16">
      <c r="A151" s="24"/>
      <c r="B151" s="24"/>
      <c r="C151" s="25"/>
      <c r="D151" s="26">
        <f t="shared" si="8"/>
        <v>0</v>
      </c>
      <c r="E151" s="24"/>
      <c r="F151" s="24"/>
      <c r="G151" s="27">
        <f t="shared" si="9"/>
        <v>0</v>
      </c>
      <c r="H151" s="27">
        <f t="shared" si="10"/>
        <v>0</v>
      </c>
      <c r="I151" s="46">
        <f t="shared" si="11"/>
        <v>0</v>
      </c>
      <c r="J151" s="49"/>
      <c r="K151" s="48"/>
      <c r="L151" s="49"/>
      <c r="N151" s="51"/>
      <c r="O151" s="24"/>
      <c r="P151" s="49"/>
    </row>
    <row r="152" spans="1:16">
      <c r="A152" s="24"/>
      <c r="B152" s="24"/>
      <c r="C152" s="25"/>
      <c r="D152" s="26">
        <f t="shared" si="8"/>
        <v>0</v>
      </c>
      <c r="E152" s="24"/>
      <c r="F152" s="24"/>
      <c r="G152" s="27">
        <f t="shared" si="9"/>
        <v>0</v>
      </c>
      <c r="H152" s="27">
        <f t="shared" si="10"/>
        <v>0</v>
      </c>
      <c r="I152" s="46">
        <f t="shared" si="11"/>
        <v>0</v>
      </c>
      <c r="J152" s="49"/>
      <c r="K152" s="48"/>
      <c r="L152" s="49"/>
      <c r="N152" s="51"/>
      <c r="O152" s="24"/>
      <c r="P152" s="49"/>
    </row>
    <row r="153" spans="1:16">
      <c r="A153" s="24"/>
      <c r="B153" s="24"/>
      <c r="C153" s="25"/>
      <c r="D153" s="26">
        <f t="shared" si="8"/>
        <v>0</v>
      </c>
      <c r="E153" s="24"/>
      <c r="F153" s="24"/>
      <c r="G153" s="27">
        <f t="shared" si="9"/>
        <v>0</v>
      </c>
      <c r="H153" s="27">
        <f t="shared" si="10"/>
        <v>0</v>
      </c>
      <c r="I153" s="46">
        <f t="shared" si="11"/>
        <v>0</v>
      </c>
      <c r="J153" s="49"/>
      <c r="K153" s="48"/>
      <c r="L153" s="49"/>
      <c r="N153" s="51"/>
      <c r="O153" s="24"/>
      <c r="P153" s="49"/>
    </row>
    <row r="154" spans="1:16">
      <c r="A154" s="24"/>
      <c r="B154" s="24"/>
      <c r="C154" s="25"/>
      <c r="D154" s="26">
        <f t="shared" si="8"/>
        <v>0</v>
      </c>
      <c r="E154" s="24"/>
      <c r="F154" s="24"/>
      <c r="G154" s="27">
        <f t="shared" si="9"/>
        <v>0</v>
      </c>
      <c r="H154" s="27">
        <f t="shared" si="10"/>
        <v>0</v>
      </c>
      <c r="I154" s="46">
        <f t="shared" si="11"/>
        <v>0</v>
      </c>
      <c r="J154" s="49"/>
      <c r="K154" s="48"/>
      <c r="L154" s="49"/>
      <c r="N154" s="51"/>
      <c r="O154" s="24"/>
      <c r="P154" s="49"/>
    </row>
    <row r="155" spans="1:16">
      <c r="A155" s="24"/>
      <c r="B155" s="24"/>
      <c r="C155" s="25"/>
      <c r="D155" s="26">
        <f t="shared" si="8"/>
        <v>0</v>
      </c>
      <c r="E155" s="24"/>
      <c r="F155" s="24"/>
      <c r="G155" s="27">
        <f t="shared" si="9"/>
        <v>0</v>
      </c>
      <c r="H155" s="27">
        <f t="shared" si="10"/>
        <v>0</v>
      </c>
      <c r="I155" s="46">
        <f t="shared" si="11"/>
        <v>0</v>
      </c>
      <c r="J155" s="49"/>
      <c r="K155" s="48"/>
      <c r="L155" s="49"/>
      <c r="N155" s="51"/>
      <c r="O155" s="24"/>
      <c r="P155" s="49"/>
    </row>
    <row r="156" spans="1:16">
      <c r="A156" s="24"/>
      <c r="B156" s="24"/>
      <c r="C156" s="25"/>
      <c r="D156" s="26">
        <f t="shared" si="8"/>
        <v>0</v>
      </c>
      <c r="E156" s="24"/>
      <c r="F156" s="24"/>
      <c r="G156" s="27">
        <f t="shared" si="9"/>
        <v>0</v>
      </c>
      <c r="H156" s="27">
        <f t="shared" si="10"/>
        <v>0</v>
      </c>
      <c r="I156" s="46">
        <f t="shared" si="11"/>
        <v>0</v>
      </c>
      <c r="J156" s="49"/>
      <c r="K156" s="48"/>
      <c r="L156" s="49"/>
      <c r="N156" s="51"/>
      <c r="O156" s="24"/>
      <c r="P156" s="49"/>
    </row>
    <row r="157" spans="1:16">
      <c r="A157" s="24"/>
      <c r="B157" s="24"/>
      <c r="C157" s="25"/>
      <c r="D157" s="26">
        <f t="shared" si="8"/>
        <v>0</v>
      </c>
      <c r="E157" s="24"/>
      <c r="F157" s="24"/>
      <c r="G157" s="27">
        <f t="shared" si="9"/>
        <v>0</v>
      </c>
      <c r="H157" s="27">
        <f t="shared" si="10"/>
        <v>0</v>
      </c>
      <c r="I157" s="46">
        <f t="shared" si="11"/>
        <v>0</v>
      </c>
      <c r="J157" s="49"/>
      <c r="K157" s="48"/>
      <c r="L157" s="49"/>
      <c r="N157" s="51"/>
      <c r="O157" s="24"/>
      <c r="P157" s="49"/>
    </row>
    <row r="158" spans="1:16">
      <c r="A158" s="24"/>
      <c r="B158" s="24"/>
      <c r="C158" s="25"/>
      <c r="D158" s="26">
        <f t="shared" si="8"/>
        <v>0</v>
      </c>
      <c r="E158" s="24"/>
      <c r="F158" s="24"/>
      <c r="G158" s="27">
        <f t="shared" si="9"/>
        <v>0</v>
      </c>
      <c r="H158" s="27">
        <f t="shared" si="10"/>
        <v>0</v>
      </c>
      <c r="I158" s="46">
        <f t="shared" si="11"/>
        <v>0</v>
      </c>
      <c r="J158" s="49"/>
      <c r="K158" s="48"/>
      <c r="L158" s="49"/>
      <c r="N158" s="51"/>
      <c r="O158" s="24"/>
      <c r="P158" s="49"/>
    </row>
    <row r="159" spans="1:16">
      <c r="A159" s="24"/>
      <c r="B159" s="24"/>
      <c r="C159" s="25"/>
      <c r="D159" s="26">
        <f t="shared" si="8"/>
        <v>0</v>
      </c>
      <c r="E159" s="24"/>
      <c r="F159" s="24"/>
      <c r="G159" s="27">
        <f t="shared" si="9"/>
        <v>0</v>
      </c>
      <c r="H159" s="27">
        <f t="shared" si="10"/>
        <v>0</v>
      </c>
      <c r="I159" s="46">
        <f t="shared" si="11"/>
        <v>0</v>
      </c>
      <c r="J159" s="49"/>
      <c r="K159" s="48"/>
      <c r="L159" s="49"/>
      <c r="N159" s="51"/>
      <c r="O159" s="24"/>
      <c r="P159" s="49"/>
    </row>
    <row r="160" spans="1:16">
      <c r="A160" s="24"/>
      <c r="B160" s="24"/>
      <c r="C160" s="25"/>
      <c r="D160" s="26">
        <f t="shared" si="8"/>
        <v>0</v>
      </c>
      <c r="E160" s="24"/>
      <c r="F160" s="24"/>
      <c r="G160" s="27">
        <f t="shared" si="9"/>
        <v>0</v>
      </c>
      <c r="H160" s="27">
        <f t="shared" si="10"/>
        <v>0</v>
      </c>
      <c r="I160" s="46">
        <f t="shared" si="11"/>
        <v>0</v>
      </c>
      <c r="J160" s="49"/>
      <c r="K160" s="48"/>
      <c r="L160" s="49"/>
      <c r="N160" s="51"/>
      <c r="O160" s="24"/>
      <c r="P160" s="49"/>
    </row>
    <row r="161" spans="1:16">
      <c r="A161" s="24"/>
      <c r="B161" s="24"/>
      <c r="C161" s="25"/>
      <c r="D161" s="26">
        <f t="shared" si="8"/>
        <v>0</v>
      </c>
      <c r="E161" s="24"/>
      <c r="F161" s="24"/>
      <c r="G161" s="27">
        <f t="shared" si="9"/>
        <v>0</v>
      </c>
      <c r="H161" s="27">
        <f t="shared" si="10"/>
        <v>0</v>
      </c>
      <c r="I161" s="46">
        <f t="shared" si="11"/>
        <v>0</v>
      </c>
      <c r="J161" s="49"/>
      <c r="K161" s="48"/>
      <c r="L161" s="49"/>
      <c r="N161" s="51"/>
      <c r="O161" s="24"/>
      <c r="P161" s="49"/>
    </row>
    <row r="162" spans="1:16">
      <c r="A162" s="24"/>
      <c r="B162" s="24"/>
      <c r="C162" s="25"/>
      <c r="D162" s="26">
        <f t="shared" si="8"/>
        <v>0</v>
      </c>
      <c r="E162" s="24"/>
      <c r="F162" s="24"/>
      <c r="G162" s="27">
        <f t="shared" si="9"/>
        <v>0</v>
      </c>
      <c r="H162" s="27">
        <f t="shared" si="10"/>
        <v>0</v>
      </c>
      <c r="I162" s="46">
        <f t="shared" si="11"/>
        <v>0</v>
      </c>
      <c r="J162" s="49"/>
      <c r="K162" s="48"/>
      <c r="L162" s="49"/>
      <c r="N162" s="51"/>
      <c r="O162" s="24"/>
      <c r="P162" s="49"/>
    </row>
    <row r="163" spans="1:16">
      <c r="A163" s="24"/>
      <c r="B163" s="24"/>
      <c r="C163" s="25"/>
      <c r="D163" s="26">
        <f t="shared" si="8"/>
        <v>0</v>
      </c>
      <c r="E163" s="24"/>
      <c r="F163" s="24"/>
      <c r="G163" s="27">
        <f t="shared" si="9"/>
        <v>0</v>
      </c>
      <c r="H163" s="27">
        <f t="shared" si="10"/>
        <v>0</v>
      </c>
      <c r="I163" s="46">
        <f t="shared" si="11"/>
        <v>0</v>
      </c>
      <c r="J163" s="49"/>
      <c r="K163" s="48"/>
      <c r="L163" s="49"/>
      <c r="N163" s="51"/>
      <c r="O163" s="24"/>
      <c r="P163" s="49"/>
    </row>
    <row r="164" spans="1:16">
      <c r="A164" s="24"/>
      <c r="B164" s="24"/>
      <c r="C164" s="25"/>
      <c r="D164" s="26">
        <f t="shared" si="8"/>
        <v>0</v>
      </c>
      <c r="E164" s="24"/>
      <c r="F164" s="24"/>
      <c r="G164" s="27">
        <f t="shared" si="9"/>
        <v>0</v>
      </c>
      <c r="H164" s="27">
        <f t="shared" si="10"/>
        <v>0</v>
      </c>
      <c r="I164" s="46">
        <f t="shared" si="11"/>
        <v>0</v>
      </c>
      <c r="J164" s="49"/>
      <c r="K164" s="48"/>
      <c r="L164" s="49"/>
      <c r="N164" s="51"/>
      <c r="O164" s="24"/>
      <c r="P164" s="49"/>
    </row>
    <row r="165" spans="1:16">
      <c r="A165" s="24"/>
      <c r="B165" s="24"/>
      <c r="C165" s="25"/>
      <c r="D165" s="26">
        <f t="shared" si="8"/>
        <v>0</v>
      </c>
      <c r="E165" s="24"/>
      <c r="F165" s="24"/>
      <c r="G165" s="27">
        <f t="shared" si="9"/>
        <v>0</v>
      </c>
      <c r="H165" s="27">
        <f t="shared" si="10"/>
        <v>0</v>
      </c>
      <c r="I165" s="46">
        <f t="shared" si="11"/>
        <v>0</v>
      </c>
      <c r="J165" s="49"/>
      <c r="K165" s="48"/>
      <c r="L165" s="49"/>
      <c r="N165" s="51"/>
      <c r="O165" s="24"/>
      <c r="P165" s="49"/>
    </row>
    <row r="166" spans="1:16">
      <c r="A166" s="24"/>
      <c r="B166" s="24"/>
      <c r="C166" s="25"/>
      <c r="D166" s="26">
        <f t="shared" si="8"/>
        <v>0</v>
      </c>
      <c r="E166" s="24"/>
      <c r="F166" s="24"/>
      <c r="G166" s="27">
        <f t="shared" si="9"/>
        <v>0</v>
      </c>
      <c r="H166" s="27">
        <f t="shared" si="10"/>
        <v>0</v>
      </c>
      <c r="I166" s="46">
        <f t="shared" si="11"/>
        <v>0</v>
      </c>
      <c r="J166" s="49"/>
      <c r="K166" s="48"/>
      <c r="L166" s="49"/>
      <c r="N166" s="51"/>
      <c r="O166" s="24"/>
      <c r="P166" s="49"/>
    </row>
  </sheetData>
  <mergeCells count="12">
    <mergeCell ref="A1:H3"/>
    <mergeCell ref="J1:L3"/>
    <mergeCell ref="N1:P3"/>
    <mergeCell ref="A10:H11"/>
    <mergeCell ref="J10:L11"/>
    <mergeCell ref="N10:P11"/>
    <mergeCell ref="D4:E4"/>
    <mergeCell ref="J4:K4"/>
    <mergeCell ref="N4:O4"/>
    <mergeCell ref="D5:E5"/>
    <mergeCell ref="J5:K5"/>
    <mergeCell ref="N5:O5"/>
  </mergeCells>
  <conditionalFormatting sqref="L13:L1048576">
    <cfRule type="cellIs" dxfId="3" priority="3" operator="equal">
      <formula>"PENDENTE"</formula>
    </cfRule>
    <cfRule type="cellIs" dxfId="2" priority="4" operator="equal">
      <formula>"PAGO"</formula>
    </cfRule>
  </conditionalFormatting>
  <conditionalFormatting sqref="P13:P1048576">
    <cfRule type="cellIs" dxfId="1" priority="1" operator="equal">
      <formula>"PENDENTE"</formula>
    </cfRule>
    <cfRule type="cellIs" dxfId="0" priority="2" operator="equal">
      <formula>"CONCLUIDA"</formula>
    </cfRule>
  </conditionalFormatting>
  <dataValidations count="2">
    <dataValidation type="list" allowBlank="1" showInputMessage="1" showErrorMessage="1" sqref="L13:L1048576" xr:uid="{00000000-0002-0000-0E00-000000000000}">
      <formula1>"PAGO,PENDENTE"</formula1>
    </dataValidation>
    <dataValidation type="list" allowBlank="1" showInputMessage="1" showErrorMessage="1" sqref="P13:P1048576" xr:uid="{00000000-0002-0000-0E00-000001000000}">
      <formula1>"CONCLUIDA,PENDENTE"</formula1>
    </dataValidation>
  </dataValidations>
  <pageMargins left="0.70866141732283505" right="0.70866141732283505" top="0.74803149606299202" bottom="0.74803149606299202" header="0.31496062992126" footer="0.31496062992126"/>
  <pageSetup paperSize="9" scale="55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S1847"/>
  <sheetViews>
    <sheetView topLeftCell="AD240" zoomScale="86" zoomScaleNormal="86" workbookViewId="0">
      <selection activeCell="AR3" sqref="AR3:AR270"/>
    </sheetView>
  </sheetViews>
  <sheetFormatPr defaultColWidth="9" defaultRowHeight="14.4"/>
  <cols>
    <col min="2" max="2" width="12.109375" bestFit="1" customWidth="1"/>
    <col min="5" max="5" width="16.44140625" style="2" customWidth="1"/>
    <col min="7" max="7" width="12.109375" bestFit="1" customWidth="1"/>
    <col min="10" max="10" width="17.6640625" style="2" customWidth="1"/>
    <col min="12" max="12" width="12.109375" bestFit="1" customWidth="1"/>
    <col min="15" max="15" width="16.44140625" customWidth="1"/>
    <col min="17" max="17" width="12.109375" style="2" bestFit="1" customWidth="1"/>
    <col min="18" max="19" width="9" style="2"/>
    <col min="20" max="20" width="19.6640625" style="2" customWidth="1"/>
    <col min="21" max="21" width="9" style="2"/>
    <col min="22" max="22" width="12.109375" style="2" bestFit="1" customWidth="1"/>
    <col min="23" max="24" width="9" style="2"/>
    <col min="25" max="25" width="19.5546875" style="2" customWidth="1"/>
    <col min="27" max="27" width="10.6640625" bestFit="1" customWidth="1"/>
    <col min="30" max="30" width="15.77734375" bestFit="1" customWidth="1"/>
    <col min="32" max="32" width="10.6640625" style="2" bestFit="1" customWidth="1"/>
    <col min="33" max="34" width="9" style="2"/>
    <col min="35" max="35" width="15.77734375" style="2" bestFit="1" customWidth="1"/>
    <col min="37" max="37" width="10.6640625" style="2" bestFit="1" customWidth="1"/>
    <col min="38" max="39" width="9" style="2"/>
    <col min="40" max="40" width="15.77734375" style="2" bestFit="1" customWidth="1"/>
    <col min="42" max="42" width="10.6640625" style="2" bestFit="1" customWidth="1"/>
    <col min="43" max="44" width="9" style="2"/>
    <col min="45" max="45" width="15.77734375" style="2" bestFit="1" customWidth="1"/>
  </cols>
  <sheetData>
    <row r="1" spans="2:45">
      <c r="Q1" s="1"/>
      <c r="R1"/>
      <c r="S1"/>
      <c r="T1"/>
      <c r="U1"/>
      <c r="V1"/>
      <c r="W1"/>
      <c r="X1"/>
      <c r="Y1"/>
      <c r="AF1"/>
      <c r="AG1"/>
      <c r="AH1"/>
      <c r="AI1"/>
      <c r="AK1"/>
      <c r="AL1"/>
      <c r="AM1"/>
      <c r="AN1"/>
      <c r="AP1"/>
      <c r="AQ1"/>
      <c r="AR1"/>
      <c r="AS1"/>
    </row>
    <row r="2" spans="2:45">
      <c r="B2" s="2" t="s">
        <v>31</v>
      </c>
      <c r="C2" s="2" t="s">
        <v>246</v>
      </c>
      <c r="D2" s="2" t="s">
        <v>247</v>
      </c>
      <c r="E2" s="2" t="s">
        <v>248</v>
      </c>
      <c r="G2" s="2" t="s">
        <v>31</v>
      </c>
      <c r="H2" s="2" t="s">
        <v>246</v>
      </c>
      <c r="I2" s="2" t="s">
        <v>247</v>
      </c>
      <c r="J2" s="2" t="s">
        <v>248</v>
      </c>
      <c r="L2" s="2" t="s">
        <v>31</v>
      </c>
      <c r="M2" s="2" t="s">
        <v>246</v>
      </c>
      <c r="N2" s="2" t="s">
        <v>247</v>
      </c>
      <c r="O2" s="2" t="s">
        <v>248</v>
      </c>
      <c r="Q2" s="2" t="s">
        <v>249</v>
      </c>
      <c r="R2" s="2" t="s">
        <v>250</v>
      </c>
      <c r="S2" s="2" t="s">
        <v>251</v>
      </c>
      <c r="T2" s="2" t="s">
        <v>248</v>
      </c>
      <c r="V2" s="2" t="s">
        <v>252</v>
      </c>
      <c r="W2" s="2" t="s">
        <v>250</v>
      </c>
      <c r="X2" s="2" t="s">
        <v>253</v>
      </c>
      <c r="Y2" s="2" t="s">
        <v>254</v>
      </c>
      <c r="AA2" s="2" t="s">
        <v>31</v>
      </c>
      <c r="AB2" s="2" t="s">
        <v>246</v>
      </c>
      <c r="AC2" s="2" t="s">
        <v>247</v>
      </c>
      <c r="AD2" s="2" t="s">
        <v>248</v>
      </c>
      <c r="AF2" s="2" t="s">
        <v>31</v>
      </c>
      <c r="AG2" s="2" t="s">
        <v>246</v>
      </c>
      <c r="AH2" s="2" t="s">
        <v>247</v>
      </c>
      <c r="AI2" s="2" t="s">
        <v>248</v>
      </c>
      <c r="AK2" s="2" t="s">
        <v>31</v>
      </c>
      <c r="AL2" s="2" t="s">
        <v>246</v>
      </c>
      <c r="AM2" s="2" t="s">
        <v>247</v>
      </c>
      <c r="AN2" s="2" t="s">
        <v>248</v>
      </c>
      <c r="AP2" s="2" t="s">
        <v>31</v>
      </c>
      <c r="AQ2" s="2" t="s">
        <v>246</v>
      </c>
      <c r="AR2" s="2" t="s">
        <v>247</v>
      </c>
      <c r="AS2" s="2" t="s">
        <v>248</v>
      </c>
    </row>
    <row r="3" spans="2:45">
      <c r="B3" s="1">
        <v>46168</v>
      </c>
      <c r="C3" s="2">
        <v>948</v>
      </c>
      <c r="D3" s="2">
        <v>567</v>
      </c>
      <c r="E3" s="2" t="s">
        <v>255</v>
      </c>
      <c r="G3" s="1">
        <v>45872</v>
      </c>
      <c r="H3" s="2">
        <v>324</v>
      </c>
      <c r="I3" s="2">
        <v>528</v>
      </c>
      <c r="J3" s="2" t="s">
        <v>11</v>
      </c>
      <c r="L3" s="3">
        <v>45953</v>
      </c>
      <c r="M3" s="2">
        <v>1632</v>
      </c>
      <c r="N3" s="2">
        <v>162</v>
      </c>
      <c r="O3" s="2" t="s">
        <v>1</v>
      </c>
      <c r="Q3" s="3">
        <v>46006</v>
      </c>
      <c r="R3" s="2">
        <v>2024</v>
      </c>
      <c r="S3" s="2">
        <v>219</v>
      </c>
      <c r="T3" s="2" t="s">
        <v>256</v>
      </c>
      <c r="V3" s="3">
        <v>46007</v>
      </c>
      <c r="W3" s="215">
        <v>1996</v>
      </c>
      <c r="X3" s="215">
        <v>523</v>
      </c>
      <c r="Y3" s="2" t="s">
        <v>256</v>
      </c>
      <c r="AA3" s="1">
        <v>46135</v>
      </c>
      <c r="AB3" s="2">
        <v>359</v>
      </c>
      <c r="AC3" s="2">
        <v>493</v>
      </c>
      <c r="AD3" s="2" t="s">
        <v>11</v>
      </c>
      <c r="AF3" s="3">
        <v>45912</v>
      </c>
      <c r="AH3" s="2">
        <v>115</v>
      </c>
      <c r="AI3" s="2" t="s">
        <v>261</v>
      </c>
      <c r="AK3" s="3">
        <v>45989</v>
      </c>
      <c r="AM3" s="2">
        <v>145</v>
      </c>
      <c r="AN3" s="2" t="s">
        <v>1</v>
      </c>
      <c r="AP3" s="3">
        <v>46139</v>
      </c>
      <c r="AR3" s="2">
        <v>158</v>
      </c>
    </row>
    <row r="4" spans="2:45">
      <c r="B4" s="1">
        <v>46168</v>
      </c>
      <c r="C4" s="2">
        <v>559</v>
      </c>
      <c r="D4" s="2">
        <v>564</v>
      </c>
      <c r="E4" s="2" t="s">
        <v>255</v>
      </c>
      <c r="G4" s="1">
        <v>45872</v>
      </c>
      <c r="H4" s="2">
        <v>7471</v>
      </c>
      <c r="I4" s="2">
        <v>546</v>
      </c>
      <c r="J4" s="2" t="s">
        <v>11</v>
      </c>
      <c r="L4" s="3">
        <v>45953</v>
      </c>
      <c r="M4" s="2">
        <v>1633</v>
      </c>
      <c r="N4" s="2">
        <v>181</v>
      </c>
      <c r="O4" s="2" t="s">
        <v>1</v>
      </c>
      <c r="Q4" s="3">
        <v>46006</v>
      </c>
      <c r="R4" s="2">
        <v>1986</v>
      </c>
      <c r="S4" s="2">
        <v>545</v>
      </c>
      <c r="T4" s="2" t="s">
        <v>256</v>
      </c>
      <c r="V4" s="3">
        <v>46007</v>
      </c>
      <c r="W4" s="215">
        <v>1995</v>
      </c>
      <c r="X4" s="215">
        <v>557</v>
      </c>
      <c r="Y4" s="2" t="s">
        <v>256</v>
      </c>
      <c r="AA4" s="1">
        <v>46135</v>
      </c>
      <c r="AB4" s="2">
        <v>1199</v>
      </c>
      <c r="AC4" s="2">
        <v>518</v>
      </c>
      <c r="AD4" s="2" t="s">
        <v>11</v>
      </c>
      <c r="AF4" s="3">
        <v>45912</v>
      </c>
      <c r="AH4" s="2">
        <v>175</v>
      </c>
      <c r="AI4" s="2" t="s">
        <v>261</v>
      </c>
      <c r="AK4" s="3">
        <v>45989</v>
      </c>
      <c r="AM4" s="2">
        <v>159</v>
      </c>
      <c r="AN4" s="2" t="s">
        <v>1</v>
      </c>
      <c r="AP4" s="3">
        <v>46139</v>
      </c>
      <c r="AR4" s="2">
        <v>124</v>
      </c>
    </row>
    <row r="5" spans="2:45">
      <c r="B5" s="1">
        <v>46168</v>
      </c>
      <c r="C5" s="2">
        <v>1236</v>
      </c>
      <c r="D5" s="2">
        <v>554</v>
      </c>
      <c r="E5" s="2" t="s">
        <v>255</v>
      </c>
      <c r="G5" s="1">
        <v>45872</v>
      </c>
      <c r="H5" s="2">
        <v>926</v>
      </c>
      <c r="I5" s="2">
        <v>481</v>
      </c>
      <c r="J5" s="2" t="s">
        <v>11</v>
      </c>
      <c r="L5" s="3">
        <v>45953</v>
      </c>
      <c r="M5" s="2">
        <v>1634</v>
      </c>
      <c r="N5" s="2">
        <v>149</v>
      </c>
      <c r="O5" s="2" t="s">
        <v>1</v>
      </c>
      <c r="Q5" s="3">
        <v>46006</v>
      </c>
      <c r="R5" s="2">
        <v>1983</v>
      </c>
      <c r="S5" s="2">
        <v>557</v>
      </c>
      <c r="T5" s="2" t="s">
        <v>256</v>
      </c>
      <c r="V5" s="3">
        <v>46007</v>
      </c>
      <c r="W5" s="215">
        <v>1994</v>
      </c>
      <c r="X5" s="215">
        <v>145</v>
      </c>
      <c r="Y5" s="2" t="s">
        <v>256</v>
      </c>
      <c r="AA5" s="1">
        <v>46135</v>
      </c>
      <c r="AB5" s="2">
        <v>1179</v>
      </c>
      <c r="AC5" s="2">
        <v>619</v>
      </c>
      <c r="AD5" s="2" t="s">
        <v>11</v>
      </c>
      <c r="AF5" s="3">
        <v>45912</v>
      </c>
      <c r="AH5" s="2">
        <v>159</v>
      </c>
      <c r="AI5" s="2" t="s">
        <v>261</v>
      </c>
      <c r="AK5" s="3">
        <v>45989</v>
      </c>
      <c r="AM5" s="2">
        <v>129</v>
      </c>
      <c r="AN5" s="2" t="s">
        <v>1</v>
      </c>
      <c r="AP5" s="3">
        <v>46139</v>
      </c>
      <c r="AR5" s="2">
        <v>134</v>
      </c>
    </row>
    <row r="6" spans="2:45">
      <c r="B6" s="1">
        <v>46168</v>
      </c>
      <c r="C6" s="2">
        <v>845</v>
      </c>
      <c r="D6" s="2">
        <v>553</v>
      </c>
      <c r="E6" s="2" t="s">
        <v>255</v>
      </c>
      <c r="G6" s="1">
        <v>45872</v>
      </c>
      <c r="H6" s="2">
        <v>333</v>
      </c>
      <c r="I6" s="2">
        <v>508</v>
      </c>
      <c r="J6" s="2" t="s">
        <v>11</v>
      </c>
      <c r="L6" s="3">
        <v>45953</v>
      </c>
      <c r="M6" s="2">
        <v>1635</v>
      </c>
      <c r="N6" s="2">
        <v>197</v>
      </c>
      <c r="O6" s="2" t="s">
        <v>1</v>
      </c>
      <c r="Q6" s="3">
        <v>46006</v>
      </c>
      <c r="R6" s="2">
        <v>1697</v>
      </c>
      <c r="S6" s="2">
        <v>247</v>
      </c>
      <c r="T6" s="2" t="s">
        <v>256</v>
      </c>
      <c r="V6" s="3">
        <v>46007</v>
      </c>
      <c r="W6" s="215">
        <v>1990</v>
      </c>
      <c r="X6" s="215">
        <v>497</v>
      </c>
      <c r="Y6" s="2" t="s">
        <v>256</v>
      </c>
      <c r="AA6" s="1">
        <v>46135</v>
      </c>
      <c r="AB6" s="2">
        <v>304</v>
      </c>
      <c r="AC6" s="2">
        <v>540</v>
      </c>
      <c r="AD6" s="2" t="s">
        <v>11</v>
      </c>
      <c r="AF6" s="3">
        <v>45912</v>
      </c>
      <c r="AH6" s="2">
        <v>193</v>
      </c>
      <c r="AI6" s="2" t="s">
        <v>261</v>
      </c>
      <c r="AK6" s="3">
        <v>45989</v>
      </c>
      <c r="AM6" s="2">
        <v>133</v>
      </c>
      <c r="AN6" s="2" t="s">
        <v>1</v>
      </c>
      <c r="AP6" s="3">
        <v>46139</v>
      </c>
      <c r="AR6" s="2">
        <v>110</v>
      </c>
    </row>
    <row r="7" spans="2:45">
      <c r="B7" s="1">
        <v>46168</v>
      </c>
      <c r="C7" s="2">
        <v>410</v>
      </c>
      <c r="D7" s="2">
        <v>551</v>
      </c>
      <c r="E7" s="2" t="s">
        <v>255</v>
      </c>
      <c r="G7" s="1">
        <v>45872</v>
      </c>
      <c r="H7" s="2">
        <v>337</v>
      </c>
      <c r="I7" s="2">
        <v>520</v>
      </c>
      <c r="J7" s="2" t="s">
        <v>11</v>
      </c>
      <c r="L7" s="3">
        <v>45953</v>
      </c>
      <c r="M7" s="2">
        <v>1636</v>
      </c>
      <c r="N7" s="2">
        <v>168</v>
      </c>
      <c r="O7" s="2" t="s">
        <v>1</v>
      </c>
      <c r="Q7" s="3">
        <v>46006</v>
      </c>
      <c r="R7" s="2">
        <v>1695</v>
      </c>
      <c r="S7" s="2">
        <v>236</v>
      </c>
      <c r="T7" s="2" t="s">
        <v>256</v>
      </c>
      <c r="V7" s="3">
        <v>46007</v>
      </c>
      <c r="W7" s="2">
        <v>1988</v>
      </c>
      <c r="X7" s="2">
        <v>587</v>
      </c>
      <c r="Y7" s="2" t="s">
        <v>256</v>
      </c>
      <c r="AA7" s="1">
        <v>46135</v>
      </c>
      <c r="AB7" s="2">
        <v>892</v>
      </c>
      <c r="AC7" s="2">
        <v>632</v>
      </c>
      <c r="AD7" s="2" t="s">
        <v>11</v>
      </c>
      <c r="AF7" s="3">
        <v>45912</v>
      </c>
      <c r="AH7" s="2">
        <v>144</v>
      </c>
      <c r="AI7" s="2" t="s">
        <v>261</v>
      </c>
      <c r="AK7" s="3">
        <v>45989</v>
      </c>
      <c r="AM7" s="2">
        <v>147</v>
      </c>
      <c r="AN7" s="2" t="s">
        <v>1</v>
      </c>
      <c r="AP7" s="3">
        <v>46139</v>
      </c>
      <c r="AR7" s="2">
        <v>156</v>
      </c>
    </row>
    <row r="8" spans="2:45">
      <c r="B8" s="1">
        <v>46168</v>
      </c>
      <c r="C8" s="2">
        <v>503</v>
      </c>
      <c r="D8" s="2">
        <v>547</v>
      </c>
      <c r="E8" s="2" t="s">
        <v>255</v>
      </c>
      <c r="G8" s="1">
        <v>45872</v>
      </c>
      <c r="H8" s="2">
        <v>1027</v>
      </c>
      <c r="I8" s="2">
        <v>483</v>
      </c>
      <c r="J8" s="2" t="s">
        <v>11</v>
      </c>
      <c r="L8" s="3">
        <v>45953</v>
      </c>
      <c r="M8" s="2">
        <v>1637</v>
      </c>
      <c r="N8" s="2">
        <v>162</v>
      </c>
      <c r="O8" s="2" t="s">
        <v>1</v>
      </c>
      <c r="Q8" s="3">
        <v>46006</v>
      </c>
      <c r="R8" s="2">
        <v>1694</v>
      </c>
      <c r="S8" s="2">
        <v>195</v>
      </c>
      <c r="T8" s="2" t="s">
        <v>256</v>
      </c>
      <c r="V8" s="3">
        <v>46007</v>
      </c>
      <c r="W8" s="2">
        <v>1985</v>
      </c>
      <c r="X8" s="2">
        <v>454</v>
      </c>
      <c r="Y8" s="2" t="s">
        <v>256</v>
      </c>
      <c r="AA8" s="1">
        <v>46135</v>
      </c>
      <c r="AB8" s="2">
        <v>904</v>
      </c>
      <c r="AC8" s="2">
        <v>488</v>
      </c>
      <c r="AD8" s="2" t="s">
        <v>11</v>
      </c>
      <c r="AF8" s="3">
        <v>45912</v>
      </c>
      <c r="AH8" s="2">
        <v>119</v>
      </c>
      <c r="AI8" s="2" t="s">
        <v>261</v>
      </c>
      <c r="AK8" s="3">
        <v>45989</v>
      </c>
      <c r="AM8" s="2">
        <v>140</v>
      </c>
      <c r="AN8" s="2" t="s">
        <v>1</v>
      </c>
      <c r="AP8" s="3">
        <v>46139</v>
      </c>
      <c r="AR8" s="2">
        <v>136</v>
      </c>
    </row>
    <row r="9" spans="2:45">
      <c r="B9" s="1">
        <v>46168</v>
      </c>
      <c r="C9" s="2">
        <v>876</v>
      </c>
      <c r="D9" s="2">
        <v>541</v>
      </c>
      <c r="E9" s="2" t="s">
        <v>255</v>
      </c>
      <c r="G9" s="1">
        <v>45872</v>
      </c>
      <c r="H9" s="2">
        <v>934</v>
      </c>
      <c r="I9" s="2">
        <v>510</v>
      </c>
      <c r="J9" s="2" t="s">
        <v>11</v>
      </c>
      <c r="L9" s="3">
        <v>45953</v>
      </c>
      <c r="M9" s="2">
        <v>1638</v>
      </c>
      <c r="N9" s="2">
        <v>122</v>
      </c>
      <c r="O9" s="2" t="s">
        <v>1</v>
      </c>
      <c r="Q9" s="3">
        <v>46006</v>
      </c>
      <c r="R9" s="2">
        <v>1693</v>
      </c>
      <c r="S9" s="2">
        <v>324</v>
      </c>
      <c r="T9" s="2" t="s">
        <v>256</v>
      </c>
      <c r="V9" s="3">
        <v>46007</v>
      </c>
      <c r="W9" s="215">
        <v>1984</v>
      </c>
      <c r="X9" s="215">
        <v>463</v>
      </c>
      <c r="Y9" s="2" t="s">
        <v>256</v>
      </c>
      <c r="AA9" s="1">
        <v>46135</v>
      </c>
      <c r="AB9" s="2">
        <v>693</v>
      </c>
      <c r="AC9" s="2">
        <v>576</v>
      </c>
      <c r="AD9" s="2" t="s">
        <v>11</v>
      </c>
      <c r="AF9" s="3">
        <v>45912</v>
      </c>
      <c r="AH9" s="2">
        <v>186</v>
      </c>
      <c r="AI9" s="2" t="s">
        <v>261</v>
      </c>
      <c r="AK9" s="3">
        <v>45989</v>
      </c>
      <c r="AM9" s="2">
        <v>163</v>
      </c>
      <c r="AN9" s="2" t="s">
        <v>1</v>
      </c>
      <c r="AP9" s="3">
        <v>46139</v>
      </c>
      <c r="AR9" s="2">
        <v>154</v>
      </c>
    </row>
    <row r="10" spans="2:45">
      <c r="B10" s="1">
        <v>46168</v>
      </c>
      <c r="C10" s="2">
        <v>15</v>
      </c>
      <c r="D10" s="2">
        <v>541</v>
      </c>
      <c r="E10" s="2" t="s">
        <v>255</v>
      </c>
      <c r="G10" s="1">
        <v>45872</v>
      </c>
      <c r="H10" s="2">
        <v>480</v>
      </c>
      <c r="I10" s="2">
        <v>511</v>
      </c>
      <c r="J10" s="2" t="s">
        <v>11</v>
      </c>
      <c r="L10" s="3">
        <v>45953</v>
      </c>
      <c r="M10" s="2">
        <v>1639</v>
      </c>
      <c r="N10" s="2">
        <v>122</v>
      </c>
      <c r="O10" s="2" t="s">
        <v>1</v>
      </c>
      <c r="Q10" s="3">
        <v>46006</v>
      </c>
      <c r="R10" s="2">
        <v>1692</v>
      </c>
      <c r="S10" s="2">
        <v>233</v>
      </c>
      <c r="T10" s="2" t="s">
        <v>256</v>
      </c>
      <c r="V10" s="3">
        <v>46007</v>
      </c>
      <c r="W10" s="215">
        <v>1982</v>
      </c>
      <c r="X10" s="215">
        <v>178</v>
      </c>
      <c r="Y10" s="2" t="s">
        <v>256</v>
      </c>
      <c r="AA10" s="1">
        <v>46135</v>
      </c>
      <c r="AB10" s="2">
        <v>481</v>
      </c>
      <c r="AC10" s="2">
        <v>652</v>
      </c>
      <c r="AD10" s="2" t="s">
        <v>11</v>
      </c>
      <c r="AF10" s="3">
        <v>45912</v>
      </c>
      <c r="AH10" s="2">
        <v>171</v>
      </c>
      <c r="AI10" s="2" t="s">
        <v>261</v>
      </c>
      <c r="AK10" s="3">
        <v>45989</v>
      </c>
      <c r="AM10" s="2">
        <v>150</v>
      </c>
      <c r="AN10" s="2" t="s">
        <v>1</v>
      </c>
      <c r="AP10" s="3">
        <v>46139</v>
      </c>
      <c r="AR10" s="2">
        <v>140</v>
      </c>
    </row>
    <row r="11" spans="2:45">
      <c r="B11" s="1">
        <v>46168</v>
      </c>
      <c r="C11" s="2">
        <v>1173</v>
      </c>
      <c r="D11" s="2">
        <v>540</v>
      </c>
      <c r="E11" s="2" t="s">
        <v>255</v>
      </c>
      <c r="G11" s="1">
        <v>45872</v>
      </c>
      <c r="H11" s="2">
        <v>465</v>
      </c>
      <c r="I11" s="2">
        <v>527</v>
      </c>
      <c r="J11" s="2" t="s">
        <v>11</v>
      </c>
      <c r="L11" s="3">
        <v>45953</v>
      </c>
      <c r="M11" s="2">
        <v>1640</v>
      </c>
      <c r="N11" s="2">
        <v>126</v>
      </c>
      <c r="O11" s="2" t="s">
        <v>1</v>
      </c>
      <c r="Q11" s="3">
        <v>46006</v>
      </c>
      <c r="R11" s="2">
        <v>1691</v>
      </c>
      <c r="S11" s="2">
        <v>189</v>
      </c>
      <c r="T11" s="2" t="s">
        <v>256</v>
      </c>
      <c r="V11" s="3">
        <v>46007</v>
      </c>
      <c r="W11" s="215">
        <v>1981</v>
      </c>
      <c r="X11" s="215">
        <v>92</v>
      </c>
      <c r="Y11" s="2" t="s">
        <v>256</v>
      </c>
      <c r="AA11" s="1">
        <v>46135</v>
      </c>
      <c r="AB11" s="2">
        <v>1103</v>
      </c>
      <c r="AC11" s="2">
        <v>555</v>
      </c>
      <c r="AD11" s="2" t="s">
        <v>11</v>
      </c>
      <c r="AF11" s="3">
        <v>45912</v>
      </c>
      <c r="AH11" s="2">
        <v>152</v>
      </c>
      <c r="AI11" s="2" t="s">
        <v>261</v>
      </c>
      <c r="AK11" s="3">
        <v>45989</v>
      </c>
      <c r="AM11" s="2">
        <v>158</v>
      </c>
      <c r="AN11" s="2" t="s">
        <v>1</v>
      </c>
      <c r="AP11" s="3">
        <v>46139</v>
      </c>
      <c r="AR11" s="2">
        <v>136</v>
      </c>
    </row>
    <row r="12" spans="2:45">
      <c r="B12" s="1">
        <v>46168</v>
      </c>
      <c r="C12" s="2">
        <v>941</v>
      </c>
      <c r="D12" s="2">
        <v>540</v>
      </c>
      <c r="E12" s="2" t="s">
        <v>255</v>
      </c>
      <c r="G12" s="1">
        <v>45872</v>
      </c>
      <c r="H12" s="2">
        <v>949</v>
      </c>
      <c r="I12" s="2">
        <v>505</v>
      </c>
      <c r="J12" s="2" t="s">
        <v>11</v>
      </c>
      <c r="L12" s="3">
        <v>45953</v>
      </c>
      <c r="M12" s="2">
        <v>1641</v>
      </c>
      <c r="N12" s="2">
        <v>133</v>
      </c>
      <c r="O12" s="2" t="s">
        <v>1</v>
      </c>
      <c r="Q12" s="3">
        <v>46006</v>
      </c>
      <c r="R12" s="2">
        <v>1690</v>
      </c>
      <c r="S12" s="2">
        <v>281</v>
      </c>
      <c r="T12" s="2" t="s">
        <v>256</v>
      </c>
      <c r="V12" s="3">
        <v>46007</v>
      </c>
      <c r="W12" s="215">
        <v>1980</v>
      </c>
      <c r="X12" s="215">
        <v>100</v>
      </c>
      <c r="Y12" s="2" t="s">
        <v>256</v>
      </c>
      <c r="AA12" s="1">
        <v>46135</v>
      </c>
      <c r="AB12" s="2">
        <v>664</v>
      </c>
      <c r="AC12" s="2">
        <v>620</v>
      </c>
      <c r="AD12" s="2" t="s">
        <v>11</v>
      </c>
      <c r="AF12" s="3">
        <v>45912</v>
      </c>
      <c r="AH12" s="2">
        <v>193</v>
      </c>
      <c r="AI12" s="2" t="s">
        <v>261</v>
      </c>
      <c r="AK12" s="3">
        <v>45989</v>
      </c>
      <c r="AM12" s="2">
        <v>147</v>
      </c>
      <c r="AN12" s="2" t="s">
        <v>1</v>
      </c>
      <c r="AP12" s="3">
        <v>46139</v>
      </c>
      <c r="AR12" s="2">
        <v>129</v>
      </c>
    </row>
    <row r="13" spans="2:45">
      <c r="B13" s="1">
        <v>46168</v>
      </c>
      <c r="C13" s="2">
        <v>926</v>
      </c>
      <c r="D13" s="2">
        <v>540</v>
      </c>
      <c r="E13" s="2" t="s">
        <v>255</v>
      </c>
      <c r="G13" s="1">
        <v>45872</v>
      </c>
      <c r="H13" s="2">
        <v>866</v>
      </c>
      <c r="I13" s="2">
        <v>499</v>
      </c>
      <c r="J13" s="2" t="s">
        <v>11</v>
      </c>
      <c r="L13" s="3">
        <v>45953</v>
      </c>
      <c r="M13" s="2">
        <v>1642</v>
      </c>
      <c r="N13" s="2">
        <v>175</v>
      </c>
      <c r="O13" s="2" t="s">
        <v>1</v>
      </c>
      <c r="Q13" s="3">
        <v>46006</v>
      </c>
      <c r="R13" s="2">
        <v>1688</v>
      </c>
      <c r="S13" s="2">
        <v>217</v>
      </c>
      <c r="T13" s="2" t="s">
        <v>256</v>
      </c>
      <c r="V13" s="3">
        <v>46007</v>
      </c>
      <c r="W13" s="215">
        <v>1979</v>
      </c>
      <c r="X13" s="215">
        <v>134</v>
      </c>
      <c r="Y13" s="2" t="s">
        <v>256</v>
      </c>
      <c r="AA13" s="1">
        <v>46135</v>
      </c>
      <c r="AB13" s="2">
        <v>674</v>
      </c>
      <c r="AC13" s="2">
        <v>571</v>
      </c>
      <c r="AD13" s="2" t="s">
        <v>11</v>
      </c>
      <c r="AF13" s="3">
        <v>45912</v>
      </c>
      <c r="AH13" s="2">
        <v>180</v>
      </c>
      <c r="AI13" s="2" t="s">
        <v>261</v>
      </c>
      <c r="AK13" s="3">
        <v>45989</v>
      </c>
      <c r="AM13" s="2">
        <v>181</v>
      </c>
      <c r="AN13" s="2" t="s">
        <v>1</v>
      </c>
      <c r="AP13" s="3">
        <v>46139</v>
      </c>
      <c r="AR13" s="2">
        <v>139</v>
      </c>
    </row>
    <row r="14" spans="2:45">
      <c r="B14" s="1">
        <v>46168</v>
      </c>
      <c r="C14" s="2">
        <v>866</v>
      </c>
      <c r="D14" s="2">
        <v>540</v>
      </c>
      <c r="E14" s="2" t="s">
        <v>255</v>
      </c>
      <c r="G14" s="1">
        <v>45872</v>
      </c>
      <c r="H14" s="2">
        <v>470</v>
      </c>
      <c r="I14" s="2">
        <v>527</v>
      </c>
      <c r="J14" s="2" t="s">
        <v>11</v>
      </c>
      <c r="L14" s="3">
        <v>45953</v>
      </c>
      <c r="M14" s="2">
        <v>1643</v>
      </c>
      <c r="N14" s="2">
        <v>124</v>
      </c>
      <c r="O14" s="2" t="s">
        <v>1</v>
      </c>
      <c r="Q14" s="3">
        <v>46006</v>
      </c>
      <c r="R14" s="2">
        <v>1687</v>
      </c>
      <c r="S14" s="2">
        <v>197</v>
      </c>
      <c r="T14" s="2" t="s">
        <v>256</v>
      </c>
      <c r="V14" s="3">
        <v>46007</v>
      </c>
      <c r="W14" s="215">
        <v>1978</v>
      </c>
      <c r="X14" s="215">
        <v>114</v>
      </c>
      <c r="Y14" s="2" t="s">
        <v>256</v>
      </c>
      <c r="AA14" s="1">
        <v>46135</v>
      </c>
      <c r="AB14" s="2">
        <v>492</v>
      </c>
      <c r="AC14" s="2">
        <v>652</v>
      </c>
      <c r="AD14" s="2" t="s">
        <v>11</v>
      </c>
      <c r="AF14" s="3">
        <v>45912</v>
      </c>
      <c r="AH14" s="2">
        <v>218</v>
      </c>
      <c r="AI14" s="2" t="s">
        <v>261</v>
      </c>
      <c r="AK14" s="3">
        <v>45989</v>
      </c>
      <c r="AM14" s="2">
        <v>143</v>
      </c>
      <c r="AN14" s="2" t="s">
        <v>1</v>
      </c>
      <c r="AP14" s="3">
        <v>46139</v>
      </c>
      <c r="AR14" s="2">
        <v>152</v>
      </c>
    </row>
    <row r="15" spans="2:45">
      <c r="B15" s="1">
        <v>46168</v>
      </c>
      <c r="C15" s="2">
        <v>826</v>
      </c>
      <c r="D15" s="2">
        <v>540</v>
      </c>
      <c r="E15" s="2" t="s">
        <v>255</v>
      </c>
      <c r="G15" s="1">
        <v>45872</v>
      </c>
      <c r="H15" s="2">
        <v>706</v>
      </c>
      <c r="I15" s="2">
        <v>504</v>
      </c>
      <c r="J15" s="2" t="s">
        <v>11</v>
      </c>
      <c r="L15" s="3">
        <v>45953</v>
      </c>
      <c r="M15" s="2">
        <v>1644</v>
      </c>
      <c r="N15" s="2">
        <v>155</v>
      </c>
      <c r="O15" s="2" t="s">
        <v>1</v>
      </c>
      <c r="Q15" s="3">
        <v>46006</v>
      </c>
      <c r="R15" s="2">
        <v>1686</v>
      </c>
      <c r="S15" s="2">
        <v>295</v>
      </c>
      <c r="T15" s="2" t="s">
        <v>256</v>
      </c>
      <c r="V15" s="3">
        <v>46007</v>
      </c>
      <c r="W15" s="215">
        <v>1977</v>
      </c>
      <c r="X15" s="215">
        <v>113</v>
      </c>
      <c r="Y15" s="2" t="s">
        <v>256</v>
      </c>
      <c r="AA15" s="1">
        <v>46135</v>
      </c>
      <c r="AB15" s="2">
        <v>730</v>
      </c>
      <c r="AC15" s="2">
        <v>643</v>
      </c>
      <c r="AD15" s="2" t="s">
        <v>11</v>
      </c>
      <c r="AF15" s="3">
        <v>45912</v>
      </c>
      <c r="AH15" s="2">
        <v>284</v>
      </c>
      <c r="AI15" s="2" t="s">
        <v>261</v>
      </c>
      <c r="AK15" s="3">
        <v>45989</v>
      </c>
      <c r="AM15" s="2">
        <v>153</v>
      </c>
      <c r="AN15" s="2" t="s">
        <v>1</v>
      </c>
      <c r="AP15" s="3">
        <v>46139</v>
      </c>
      <c r="AR15" s="2">
        <v>148</v>
      </c>
    </row>
    <row r="16" spans="2:45">
      <c r="B16" s="1">
        <v>46168</v>
      </c>
      <c r="C16" s="2">
        <v>342</v>
      </c>
      <c r="D16" s="2">
        <v>538</v>
      </c>
      <c r="E16" s="2" t="s">
        <v>255</v>
      </c>
      <c r="G16" s="1">
        <v>45872</v>
      </c>
      <c r="H16" s="2">
        <v>534</v>
      </c>
      <c r="I16" s="2">
        <v>512</v>
      </c>
      <c r="J16" s="2" t="s">
        <v>11</v>
      </c>
      <c r="L16" s="3">
        <v>45953</v>
      </c>
      <c r="M16" s="2">
        <v>1645</v>
      </c>
      <c r="N16" s="2">
        <v>136</v>
      </c>
      <c r="O16" s="2" t="s">
        <v>1</v>
      </c>
      <c r="Q16" s="3">
        <v>46006</v>
      </c>
      <c r="R16" s="2">
        <v>1683</v>
      </c>
      <c r="S16" s="2">
        <v>224</v>
      </c>
      <c r="T16" s="2" t="s">
        <v>256</v>
      </c>
      <c r="V16" s="3">
        <v>46007</v>
      </c>
      <c r="W16" s="215">
        <v>1976</v>
      </c>
      <c r="X16" s="215">
        <v>111</v>
      </c>
      <c r="Y16" s="2" t="s">
        <v>256</v>
      </c>
      <c r="AA16" s="1">
        <v>46135</v>
      </c>
      <c r="AB16" s="2">
        <v>1087</v>
      </c>
      <c r="AC16" s="2">
        <v>631</v>
      </c>
      <c r="AD16" s="2" t="s">
        <v>11</v>
      </c>
      <c r="AF16" s="3">
        <v>45912</v>
      </c>
      <c r="AH16" s="2">
        <v>247</v>
      </c>
      <c r="AI16" s="2" t="s">
        <v>261</v>
      </c>
      <c r="AK16" s="3">
        <v>45989</v>
      </c>
      <c r="AM16" s="2">
        <v>173</v>
      </c>
      <c r="AN16" s="2" t="s">
        <v>1</v>
      </c>
      <c r="AP16" s="3">
        <v>46139</v>
      </c>
      <c r="AR16" s="2">
        <v>131</v>
      </c>
    </row>
    <row r="17" spans="2:44">
      <c r="B17" s="1">
        <v>46168</v>
      </c>
      <c r="C17" s="2">
        <v>1471</v>
      </c>
      <c r="D17" s="2">
        <v>536</v>
      </c>
      <c r="E17" s="2" t="s">
        <v>255</v>
      </c>
      <c r="G17" s="1">
        <v>45872</v>
      </c>
      <c r="H17" s="2">
        <v>1040</v>
      </c>
      <c r="I17" s="2">
        <v>496</v>
      </c>
      <c r="J17" s="2" t="s">
        <v>11</v>
      </c>
      <c r="L17" s="3">
        <v>45953</v>
      </c>
      <c r="M17" s="2">
        <v>1646</v>
      </c>
      <c r="N17" s="2">
        <v>138</v>
      </c>
      <c r="O17" s="2" t="s">
        <v>1</v>
      </c>
      <c r="Q17" s="3">
        <v>46006</v>
      </c>
      <c r="R17" s="2">
        <v>1679</v>
      </c>
      <c r="S17" s="2">
        <v>189</v>
      </c>
      <c r="T17" s="2" t="s">
        <v>256</v>
      </c>
      <c r="V17" s="3">
        <v>46007</v>
      </c>
      <c r="W17" s="215">
        <v>1975</v>
      </c>
      <c r="X17" s="215">
        <v>119</v>
      </c>
      <c r="Y17" s="2" t="s">
        <v>256</v>
      </c>
      <c r="AA17" s="1">
        <v>46135</v>
      </c>
      <c r="AB17" s="2">
        <v>1038</v>
      </c>
      <c r="AC17" s="2">
        <v>550</v>
      </c>
      <c r="AD17" s="2" t="s">
        <v>11</v>
      </c>
      <c r="AF17" s="3">
        <v>45912</v>
      </c>
      <c r="AH17" s="2">
        <v>201</v>
      </c>
      <c r="AI17" s="2" t="s">
        <v>261</v>
      </c>
      <c r="AK17" s="3">
        <v>45989</v>
      </c>
      <c r="AM17" s="2">
        <v>150</v>
      </c>
      <c r="AN17" s="2" t="s">
        <v>1</v>
      </c>
      <c r="AP17" s="3">
        <v>46139</v>
      </c>
      <c r="AR17" s="2">
        <v>118</v>
      </c>
    </row>
    <row r="18" spans="2:44">
      <c r="B18" s="1">
        <v>46168</v>
      </c>
      <c r="C18" s="2">
        <v>534</v>
      </c>
      <c r="D18" s="2">
        <v>535</v>
      </c>
      <c r="E18" s="2" t="s">
        <v>255</v>
      </c>
      <c r="G18" s="1">
        <v>45872</v>
      </c>
      <c r="H18" s="2">
        <v>859</v>
      </c>
      <c r="I18" s="2">
        <v>473</v>
      </c>
      <c r="J18" s="2" t="s">
        <v>11</v>
      </c>
      <c r="L18" s="3">
        <v>45953</v>
      </c>
      <c r="M18" s="2">
        <v>1647</v>
      </c>
      <c r="N18" s="2">
        <v>126</v>
      </c>
      <c r="O18" s="2" t="s">
        <v>1</v>
      </c>
      <c r="Q18" s="3">
        <v>46006</v>
      </c>
      <c r="R18" s="2">
        <v>1676</v>
      </c>
      <c r="S18" s="2">
        <v>176</v>
      </c>
      <c r="T18" s="2" t="s">
        <v>256</v>
      </c>
      <c r="V18" s="3">
        <v>46007</v>
      </c>
      <c r="W18" s="215">
        <v>1974</v>
      </c>
      <c r="X18" s="215">
        <v>135</v>
      </c>
      <c r="Y18" s="2" t="s">
        <v>256</v>
      </c>
      <c r="AA18" s="1">
        <v>46135</v>
      </c>
      <c r="AB18" s="2">
        <v>553</v>
      </c>
      <c r="AC18" s="2">
        <v>565</v>
      </c>
      <c r="AD18" s="2" t="s">
        <v>11</v>
      </c>
      <c r="AF18" s="3">
        <v>45912</v>
      </c>
      <c r="AH18" s="2">
        <v>213</v>
      </c>
      <c r="AI18" s="2" t="s">
        <v>261</v>
      </c>
      <c r="AK18" s="3">
        <v>45989</v>
      </c>
      <c r="AM18" s="2">
        <v>155</v>
      </c>
      <c r="AN18" s="2" t="s">
        <v>1</v>
      </c>
      <c r="AP18" s="3">
        <v>46139</v>
      </c>
      <c r="AR18" s="2">
        <v>144</v>
      </c>
    </row>
    <row r="19" spans="2:44">
      <c r="B19" s="1">
        <v>46168</v>
      </c>
      <c r="C19" s="2">
        <v>478</v>
      </c>
      <c r="D19" s="2">
        <v>535</v>
      </c>
      <c r="E19" s="2" t="s">
        <v>255</v>
      </c>
      <c r="G19" s="1">
        <v>45872</v>
      </c>
      <c r="H19" s="2">
        <v>503</v>
      </c>
      <c r="I19" s="2">
        <v>557</v>
      </c>
      <c r="J19" s="2" t="s">
        <v>11</v>
      </c>
      <c r="L19" s="3">
        <v>45953</v>
      </c>
      <c r="M19" s="2">
        <v>1648</v>
      </c>
      <c r="N19" s="2">
        <v>124</v>
      </c>
      <c r="O19" s="2" t="s">
        <v>1</v>
      </c>
      <c r="Q19" s="3">
        <v>46006</v>
      </c>
      <c r="R19" s="2">
        <v>1673</v>
      </c>
      <c r="S19" s="2">
        <v>206</v>
      </c>
      <c r="T19" s="2" t="s">
        <v>256</v>
      </c>
      <c r="V19" s="3">
        <v>46007</v>
      </c>
      <c r="W19" s="215">
        <v>1973</v>
      </c>
      <c r="X19" s="215">
        <v>102</v>
      </c>
      <c r="Y19" s="2" t="s">
        <v>256</v>
      </c>
      <c r="AA19" s="1">
        <v>46135</v>
      </c>
      <c r="AB19" s="2">
        <v>1996</v>
      </c>
      <c r="AC19" s="2">
        <v>636</v>
      </c>
      <c r="AD19" s="2" t="s">
        <v>11</v>
      </c>
      <c r="AF19" s="3">
        <v>45912</v>
      </c>
      <c r="AH19" s="2">
        <v>195</v>
      </c>
      <c r="AI19" s="2" t="s">
        <v>261</v>
      </c>
      <c r="AK19" s="3">
        <v>45989</v>
      </c>
      <c r="AM19" s="2">
        <v>153</v>
      </c>
      <c r="AN19" s="2" t="s">
        <v>1</v>
      </c>
      <c r="AP19" s="3">
        <v>46139</v>
      </c>
      <c r="AR19" s="2">
        <v>126</v>
      </c>
    </row>
    <row r="20" spans="2:44">
      <c r="B20" s="1">
        <v>46168</v>
      </c>
      <c r="C20" s="2">
        <v>378</v>
      </c>
      <c r="D20" s="2">
        <v>534</v>
      </c>
      <c r="E20" s="2" t="s">
        <v>255</v>
      </c>
      <c r="G20" s="1">
        <v>45872</v>
      </c>
      <c r="H20" s="2">
        <v>475</v>
      </c>
      <c r="I20" s="2">
        <v>506</v>
      </c>
      <c r="J20" s="2" t="s">
        <v>11</v>
      </c>
      <c r="L20" s="3">
        <v>45953</v>
      </c>
      <c r="M20" s="2">
        <v>1649</v>
      </c>
      <c r="N20" s="2">
        <v>113</v>
      </c>
      <c r="O20" s="2" t="s">
        <v>1</v>
      </c>
      <c r="Q20" s="3">
        <v>46006</v>
      </c>
      <c r="R20" s="2">
        <v>1668</v>
      </c>
      <c r="S20" s="2">
        <v>225</v>
      </c>
      <c r="T20" s="2" t="s">
        <v>256</v>
      </c>
      <c r="V20" s="3">
        <v>46007</v>
      </c>
      <c r="W20" s="215">
        <v>1972</v>
      </c>
      <c r="X20" s="215">
        <v>103</v>
      </c>
      <c r="Y20" s="2" t="s">
        <v>256</v>
      </c>
      <c r="AA20" s="1">
        <v>46135</v>
      </c>
      <c r="AB20" s="2">
        <v>896</v>
      </c>
      <c r="AC20" s="2">
        <v>622</v>
      </c>
      <c r="AD20" s="2" t="s">
        <v>11</v>
      </c>
      <c r="AF20" s="3">
        <v>45912</v>
      </c>
      <c r="AH20" s="2">
        <v>225</v>
      </c>
      <c r="AI20" s="2" t="s">
        <v>261</v>
      </c>
      <c r="AK20" s="3">
        <v>45989</v>
      </c>
      <c r="AM20" s="2">
        <v>132</v>
      </c>
      <c r="AN20" s="2" t="s">
        <v>1</v>
      </c>
      <c r="AP20" s="3">
        <v>46139</v>
      </c>
      <c r="AR20" s="2">
        <v>142</v>
      </c>
    </row>
    <row r="21" spans="2:44">
      <c r="B21" s="1">
        <v>46168</v>
      </c>
      <c r="C21" s="2">
        <v>312</v>
      </c>
      <c r="D21" s="2">
        <v>533</v>
      </c>
      <c r="E21" s="2" t="s">
        <v>255</v>
      </c>
      <c r="G21" s="1">
        <v>45872</v>
      </c>
      <c r="H21" s="2">
        <v>3385</v>
      </c>
      <c r="I21" s="2">
        <v>559</v>
      </c>
      <c r="J21" s="2" t="s">
        <v>11</v>
      </c>
      <c r="L21" s="3">
        <v>45953</v>
      </c>
      <c r="M21" s="2">
        <v>1650</v>
      </c>
      <c r="N21" s="2">
        <v>156</v>
      </c>
      <c r="O21" s="2" t="s">
        <v>1</v>
      </c>
      <c r="Q21" s="3">
        <v>46006</v>
      </c>
      <c r="R21" s="2">
        <v>1656</v>
      </c>
      <c r="S21" s="2">
        <v>243</v>
      </c>
      <c r="T21" s="2" t="s">
        <v>256</v>
      </c>
      <c r="V21" s="3">
        <v>46007</v>
      </c>
      <c r="W21" s="215">
        <v>1971</v>
      </c>
      <c r="X21" s="215">
        <v>111</v>
      </c>
      <c r="Y21" s="2" t="s">
        <v>256</v>
      </c>
      <c r="AA21" s="1">
        <v>46135</v>
      </c>
      <c r="AB21" s="2">
        <v>946</v>
      </c>
      <c r="AC21" s="2">
        <v>542</v>
      </c>
      <c r="AD21" s="2" t="s">
        <v>11</v>
      </c>
      <c r="AF21" s="3">
        <v>45912</v>
      </c>
      <c r="AH21" s="2">
        <v>176</v>
      </c>
      <c r="AI21" s="2" t="s">
        <v>261</v>
      </c>
      <c r="AK21" s="3">
        <v>45989</v>
      </c>
      <c r="AM21" s="2">
        <v>153</v>
      </c>
      <c r="AN21" s="2" t="s">
        <v>1</v>
      </c>
      <c r="AP21" s="3">
        <v>46139</v>
      </c>
      <c r="AR21" s="2">
        <v>135</v>
      </c>
    </row>
    <row r="22" spans="2:44">
      <c r="B22" s="1">
        <v>46168</v>
      </c>
      <c r="C22" s="2">
        <v>515</v>
      </c>
      <c r="D22" s="2">
        <v>530</v>
      </c>
      <c r="E22" s="2" t="s">
        <v>255</v>
      </c>
      <c r="G22" s="1">
        <v>45872</v>
      </c>
      <c r="H22" s="2">
        <v>964</v>
      </c>
      <c r="I22" s="2">
        <v>485</v>
      </c>
      <c r="J22" s="2" t="s">
        <v>11</v>
      </c>
      <c r="L22" s="3">
        <v>45953</v>
      </c>
      <c r="M22" s="2">
        <v>1700</v>
      </c>
      <c r="N22" s="2">
        <v>122</v>
      </c>
      <c r="O22" s="2" t="s">
        <v>1</v>
      </c>
      <c r="Q22" s="3">
        <v>46006</v>
      </c>
      <c r="R22" s="2">
        <v>1654</v>
      </c>
      <c r="S22" s="2">
        <v>251</v>
      </c>
      <c r="T22" s="2" t="s">
        <v>256</v>
      </c>
      <c r="V22" s="3">
        <v>46007</v>
      </c>
      <c r="W22" s="215">
        <v>1970</v>
      </c>
      <c r="X22" s="215">
        <v>102</v>
      </c>
      <c r="Y22" s="2" t="s">
        <v>256</v>
      </c>
      <c r="AA22" s="1">
        <v>46135</v>
      </c>
      <c r="AB22" s="2">
        <v>846</v>
      </c>
      <c r="AC22" s="2">
        <v>562</v>
      </c>
      <c r="AD22" s="2" t="s">
        <v>11</v>
      </c>
      <c r="AF22" s="3">
        <v>45912</v>
      </c>
      <c r="AH22" s="2">
        <v>205</v>
      </c>
      <c r="AI22" s="2" t="s">
        <v>261</v>
      </c>
      <c r="AK22" s="3">
        <v>45989</v>
      </c>
      <c r="AM22" s="2">
        <v>161</v>
      </c>
      <c r="AN22" s="2" t="s">
        <v>1</v>
      </c>
      <c r="AP22" s="3">
        <v>46139</v>
      </c>
      <c r="AR22" s="2">
        <v>161</v>
      </c>
    </row>
    <row r="23" spans="2:44">
      <c r="B23" s="1">
        <v>46168</v>
      </c>
      <c r="C23" s="2">
        <v>476</v>
      </c>
      <c r="D23" s="2">
        <v>527</v>
      </c>
      <c r="E23" s="2" t="s">
        <v>255</v>
      </c>
      <c r="G23" s="1">
        <v>45872</v>
      </c>
      <c r="H23" s="2">
        <v>342</v>
      </c>
      <c r="I23" s="2">
        <v>550</v>
      </c>
      <c r="J23" s="2" t="s">
        <v>11</v>
      </c>
      <c r="L23" s="3">
        <v>45953</v>
      </c>
      <c r="M23" s="2">
        <v>1701</v>
      </c>
      <c r="N23" s="2">
        <v>118</v>
      </c>
      <c r="O23" s="2" t="s">
        <v>1</v>
      </c>
      <c r="Q23" s="3">
        <v>46006</v>
      </c>
      <c r="R23" s="2">
        <v>1652</v>
      </c>
      <c r="S23" s="2">
        <v>196</v>
      </c>
      <c r="T23" s="2" t="s">
        <v>256</v>
      </c>
      <c r="V23" s="3">
        <v>46007</v>
      </c>
      <c r="W23" s="215">
        <v>1969</v>
      </c>
      <c r="X23" s="215">
        <v>106</v>
      </c>
      <c r="Y23" s="2" t="s">
        <v>256</v>
      </c>
      <c r="AA23" s="1">
        <v>46135</v>
      </c>
      <c r="AB23" s="2">
        <v>501</v>
      </c>
      <c r="AC23" s="2">
        <v>685</v>
      </c>
      <c r="AD23" s="2" t="s">
        <v>11</v>
      </c>
      <c r="AF23" s="3">
        <v>45912</v>
      </c>
      <c r="AH23" s="2">
        <v>134</v>
      </c>
      <c r="AI23" s="2" t="s">
        <v>261</v>
      </c>
      <c r="AK23" s="3">
        <v>45989</v>
      </c>
      <c r="AM23" s="2">
        <v>162</v>
      </c>
      <c r="AN23" s="2" t="s">
        <v>1</v>
      </c>
      <c r="AP23" s="3">
        <v>46139</v>
      </c>
      <c r="AR23" s="2">
        <v>187</v>
      </c>
    </row>
    <row r="24" spans="2:44">
      <c r="B24" s="1">
        <v>46168</v>
      </c>
      <c r="C24" s="2">
        <v>324</v>
      </c>
      <c r="D24" s="2">
        <v>527</v>
      </c>
      <c r="E24" s="2" t="s">
        <v>255</v>
      </c>
      <c r="G24" s="1">
        <v>45872</v>
      </c>
      <c r="H24" s="2">
        <v>1076</v>
      </c>
      <c r="I24" s="2">
        <v>559</v>
      </c>
      <c r="J24" s="2" t="s">
        <v>11</v>
      </c>
      <c r="L24" s="3">
        <v>45953</v>
      </c>
      <c r="M24" s="2">
        <v>1702</v>
      </c>
      <c r="N24" s="2">
        <v>120</v>
      </c>
      <c r="O24" s="2" t="s">
        <v>1</v>
      </c>
      <c r="Q24" s="3">
        <v>46006</v>
      </c>
      <c r="R24" s="2">
        <v>1614</v>
      </c>
      <c r="S24" s="2">
        <v>175</v>
      </c>
      <c r="T24" s="2" t="s">
        <v>256</v>
      </c>
      <c r="V24" s="3">
        <v>46007</v>
      </c>
      <c r="W24" s="215">
        <v>1968</v>
      </c>
      <c r="X24" s="215">
        <v>88</v>
      </c>
      <c r="Y24" s="2" t="s">
        <v>256</v>
      </c>
      <c r="AA24" s="1">
        <v>46135</v>
      </c>
      <c r="AB24" s="2">
        <v>1023</v>
      </c>
      <c r="AC24" s="2">
        <v>572</v>
      </c>
      <c r="AD24" s="2" t="s">
        <v>11</v>
      </c>
      <c r="AF24" s="3">
        <v>45912</v>
      </c>
      <c r="AH24" s="2">
        <v>225</v>
      </c>
      <c r="AI24" s="2" t="s">
        <v>261</v>
      </c>
      <c r="AK24" s="3">
        <v>45989</v>
      </c>
      <c r="AM24" s="2">
        <v>135</v>
      </c>
      <c r="AN24" s="2" t="s">
        <v>1</v>
      </c>
      <c r="AP24" s="3">
        <v>46139</v>
      </c>
      <c r="AR24" s="2">
        <v>158</v>
      </c>
    </row>
    <row r="25" spans="2:44">
      <c r="B25" s="1">
        <v>46168</v>
      </c>
      <c r="C25" s="2">
        <v>529</v>
      </c>
      <c r="D25" s="2">
        <v>526</v>
      </c>
      <c r="E25" s="2" t="s">
        <v>255</v>
      </c>
      <c r="G25" s="1">
        <v>45872</v>
      </c>
      <c r="H25" s="2">
        <v>976</v>
      </c>
      <c r="I25" s="2">
        <v>478</v>
      </c>
      <c r="J25" s="2" t="s">
        <v>11</v>
      </c>
      <c r="L25" s="3">
        <v>45953</v>
      </c>
      <c r="M25" s="2">
        <v>1703</v>
      </c>
      <c r="N25" s="2">
        <v>137</v>
      </c>
      <c r="O25" s="2" t="s">
        <v>1</v>
      </c>
      <c r="Q25" s="3">
        <v>46006</v>
      </c>
      <c r="R25" s="2">
        <v>1610</v>
      </c>
      <c r="S25" s="2">
        <v>174</v>
      </c>
      <c r="T25" s="2" t="s">
        <v>256</v>
      </c>
      <c r="V25" s="3">
        <v>46007</v>
      </c>
      <c r="W25" s="215">
        <v>1967</v>
      </c>
      <c r="X25" s="215">
        <v>105</v>
      </c>
      <c r="Y25" s="2" t="s">
        <v>256</v>
      </c>
      <c r="AA25" s="1">
        <v>46135</v>
      </c>
      <c r="AB25" s="2">
        <v>328</v>
      </c>
      <c r="AC25" s="2">
        <v>566</v>
      </c>
      <c r="AD25" s="2" t="s">
        <v>11</v>
      </c>
      <c r="AF25" s="3">
        <v>45912</v>
      </c>
      <c r="AH25" s="2">
        <v>106</v>
      </c>
      <c r="AI25" s="2" t="s">
        <v>261</v>
      </c>
      <c r="AK25" s="3">
        <v>45989</v>
      </c>
      <c r="AM25" s="2">
        <v>178</v>
      </c>
      <c r="AN25" s="2" t="s">
        <v>1</v>
      </c>
      <c r="AP25" s="3">
        <v>46139</v>
      </c>
      <c r="AR25" s="2">
        <v>146</v>
      </c>
    </row>
    <row r="26" spans="2:44">
      <c r="B26" s="1">
        <v>46168</v>
      </c>
      <c r="C26" s="2">
        <v>418</v>
      </c>
      <c r="D26" s="2">
        <v>526</v>
      </c>
      <c r="E26" s="2" t="s">
        <v>255</v>
      </c>
      <c r="G26" s="1">
        <v>45872</v>
      </c>
      <c r="H26" s="2">
        <v>357</v>
      </c>
      <c r="I26" s="2">
        <v>579</v>
      </c>
      <c r="J26" s="2" t="s">
        <v>11</v>
      </c>
      <c r="L26" s="3">
        <v>45953</v>
      </c>
      <c r="M26" s="2">
        <v>1704</v>
      </c>
      <c r="N26" s="2">
        <v>174</v>
      </c>
      <c r="O26" s="2" t="s">
        <v>1</v>
      </c>
      <c r="Q26" s="3">
        <v>46006</v>
      </c>
      <c r="R26" s="2">
        <v>1600</v>
      </c>
      <c r="S26" s="2">
        <v>186</v>
      </c>
      <c r="T26" s="2" t="s">
        <v>256</v>
      </c>
      <c r="V26" s="3">
        <v>46007</v>
      </c>
      <c r="W26" s="215">
        <v>1966</v>
      </c>
      <c r="X26" s="215">
        <v>143</v>
      </c>
      <c r="Y26" s="2" t="s">
        <v>256</v>
      </c>
      <c r="AA26" s="1">
        <v>46135</v>
      </c>
      <c r="AB26" s="2">
        <v>560</v>
      </c>
      <c r="AC26" s="2">
        <v>609</v>
      </c>
      <c r="AD26" s="2" t="s">
        <v>11</v>
      </c>
      <c r="AF26" s="3">
        <v>45912</v>
      </c>
      <c r="AH26" s="2">
        <v>231</v>
      </c>
      <c r="AI26" s="2" t="s">
        <v>261</v>
      </c>
      <c r="AK26" s="3">
        <v>45989</v>
      </c>
      <c r="AM26" s="2">
        <v>148</v>
      </c>
      <c r="AN26" s="2" t="s">
        <v>1</v>
      </c>
      <c r="AP26" s="3">
        <v>46139</v>
      </c>
      <c r="AR26" s="2">
        <v>111</v>
      </c>
    </row>
    <row r="27" spans="2:44">
      <c r="B27" s="1">
        <v>46168</v>
      </c>
      <c r="C27" s="2">
        <v>582</v>
      </c>
      <c r="D27" s="2">
        <v>525</v>
      </c>
      <c r="E27" s="2" t="s">
        <v>255</v>
      </c>
      <c r="G27" s="1">
        <v>45872</v>
      </c>
      <c r="H27" s="2">
        <v>849</v>
      </c>
      <c r="I27" s="2">
        <v>497</v>
      </c>
      <c r="J27" s="2" t="s">
        <v>11</v>
      </c>
      <c r="L27" s="3">
        <v>45953</v>
      </c>
      <c r="M27" s="2">
        <v>1705</v>
      </c>
      <c r="N27" s="2">
        <v>105</v>
      </c>
      <c r="O27" s="2" t="s">
        <v>1</v>
      </c>
      <c r="Q27" s="3">
        <v>46006</v>
      </c>
      <c r="R27" s="2">
        <v>1592</v>
      </c>
      <c r="S27" s="2">
        <v>196</v>
      </c>
      <c r="T27" s="2" t="s">
        <v>256</v>
      </c>
      <c r="V27" s="3">
        <v>46007</v>
      </c>
      <c r="W27" s="215">
        <v>1965</v>
      </c>
      <c r="X27" s="215">
        <v>110</v>
      </c>
      <c r="Y27" s="2" t="s">
        <v>256</v>
      </c>
      <c r="AA27" s="1">
        <v>46135</v>
      </c>
      <c r="AB27" s="2">
        <v>1065</v>
      </c>
      <c r="AC27" s="2">
        <v>637</v>
      </c>
      <c r="AD27" s="2" t="s">
        <v>11</v>
      </c>
      <c r="AF27" s="3">
        <v>45912</v>
      </c>
      <c r="AH27" s="2">
        <v>202</v>
      </c>
      <c r="AI27" s="2" t="s">
        <v>261</v>
      </c>
      <c r="AK27" s="3">
        <v>45989</v>
      </c>
      <c r="AM27" s="2">
        <v>125</v>
      </c>
      <c r="AN27" s="2" t="s">
        <v>1</v>
      </c>
      <c r="AP27" s="3">
        <v>46139</v>
      </c>
      <c r="AR27" s="2">
        <v>127</v>
      </c>
    </row>
    <row r="28" spans="2:44">
      <c r="B28" s="1">
        <v>46168</v>
      </c>
      <c r="C28" s="2">
        <v>832</v>
      </c>
      <c r="D28" s="2">
        <v>524</v>
      </c>
      <c r="E28" s="2" t="s">
        <v>255</v>
      </c>
      <c r="G28" s="1">
        <v>45872</v>
      </c>
      <c r="H28" s="2">
        <v>877</v>
      </c>
      <c r="I28" s="2">
        <v>474</v>
      </c>
      <c r="J28" s="2" t="s">
        <v>11</v>
      </c>
      <c r="L28" s="3">
        <v>45953</v>
      </c>
      <c r="M28" s="2">
        <v>1706</v>
      </c>
      <c r="N28" s="2">
        <v>130</v>
      </c>
      <c r="O28" s="2" t="s">
        <v>1</v>
      </c>
      <c r="Q28" s="3">
        <v>46006</v>
      </c>
      <c r="R28" s="2">
        <v>1590</v>
      </c>
      <c r="S28" s="2">
        <v>212</v>
      </c>
      <c r="T28" s="2" t="s">
        <v>256</v>
      </c>
      <c r="V28" s="3">
        <v>46007</v>
      </c>
      <c r="W28" s="215">
        <v>1964</v>
      </c>
      <c r="X28" s="215">
        <v>105</v>
      </c>
      <c r="Y28" s="2" t="s">
        <v>256</v>
      </c>
      <c r="AA28" s="1">
        <v>46135</v>
      </c>
      <c r="AB28" s="2">
        <v>1081</v>
      </c>
      <c r="AC28" s="2">
        <v>570</v>
      </c>
      <c r="AD28" s="2" t="s">
        <v>11</v>
      </c>
      <c r="AF28" s="3">
        <v>45912</v>
      </c>
      <c r="AH28" s="2">
        <v>160</v>
      </c>
      <c r="AI28" s="2" t="s">
        <v>261</v>
      </c>
      <c r="AK28" s="3">
        <v>45989</v>
      </c>
      <c r="AM28" s="2">
        <v>174</v>
      </c>
      <c r="AN28" s="2" t="s">
        <v>1</v>
      </c>
      <c r="AP28" s="3">
        <v>46139</v>
      </c>
      <c r="AR28" s="2">
        <v>109</v>
      </c>
    </row>
    <row r="29" spans="2:44">
      <c r="B29" s="1">
        <v>46168</v>
      </c>
      <c r="C29" s="2">
        <v>567</v>
      </c>
      <c r="D29" s="2">
        <v>523</v>
      </c>
      <c r="E29" s="2" t="s">
        <v>255</v>
      </c>
      <c r="G29" s="1">
        <v>45872</v>
      </c>
      <c r="H29" s="2">
        <v>1209</v>
      </c>
      <c r="I29" s="2">
        <v>519</v>
      </c>
      <c r="J29" s="2" t="s">
        <v>11</v>
      </c>
      <c r="L29" s="3">
        <v>45953</v>
      </c>
      <c r="M29" s="2">
        <v>1707</v>
      </c>
      <c r="N29" s="2">
        <v>125</v>
      </c>
      <c r="O29" s="2" t="s">
        <v>1</v>
      </c>
      <c r="Q29" s="3">
        <v>46006</v>
      </c>
      <c r="R29" s="2">
        <v>1587</v>
      </c>
      <c r="S29" s="2">
        <v>248</v>
      </c>
      <c r="T29" s="2" t="s">
        <v>256</v>
      </c>
      <c r="V29" s="3">
        <v>46007</v>
      </c>
      <c r="W29" s="215">
        <v>1963</v>
      </c>
      <c r="X29" s="215">
        <v>114</v>
      </c>
      <c r="Y29" s="2" t="s">
        <v>256</v>
      </c>
      <c r="AA29" s="1">
        <v>46135</v>
      </c>
      <c r="AB29" s="2">
        <v>617</v>
      </c>
      <c r="AC29" s="2">
        <v>640</v>
      </c>
      <c r="AD29" s="2" t="s">
        <v>11</v>
      </c>
      <c r="AF29" s="3">
        <v>45912</v>
      </c>
      <c r="AH29" s="2">
        <v>217</v>
      </c>
      <c r="AI29" s="2" t="s">
        <v>261</v>
      </c>
      <c r="AK29" s="3">
        <v>45989</v>
      </c>
      <c r="AM29" s="2">
        <v>149</v>
      </c>
      <c r="AN29" s="2" t="s">
        <v>1</v>
      </c>
      <c r="AP29" s="3">
        <v>46139</v>
      </c>
      <c r="AR29" s="2">
        <v>110</v>
      </c>
    </row>
    <row r="30" spans="2:44">
      <c r="B30" s="1">
        <v>46168</v>
      </c>
      <c r="C30" s="2">
        <v>398</v>
      </c>
      <c r="D30" s="2">
        <v>522</v>
      </c>
      <c r="E30" s="2" t="s">
        <v>255</v>
      </c>
      <c r="G30" s="1">
        <v>45872</v>
      </c>
      <c r="H30" s="2">
        <v>819</v>
      </c>
      <c r="I30" s="2">
        <v>500</v>
      </c>
      <c r="J30" s="2" t="s">
        <v>11</v>
      </c>
      <c r="L30" s="3">
        <v>45953</v>
      </c>
      <c r="M30" s="2">
        <v>1708</v>
      </c>
      <c r="N30" s="2">
        <v>124</v>
      </c>
      <c r="O30" s="2" t="s">
        <v>1</v>
      </c>
      <c r="Q30" s="3">
        <v>46006</v>
      </c>
      <c r="R30" s="2">
        <v>1586</v>
      </c>
      <c r="S30" s="2">
        <v>206</v>
      </c>
      <c r="T30" s="2" t="s">
        <v>256</v>
      </c>
      <c r="V30" s="3">
        <v>46007</v>
      </c>
      <c r="W30" s="215">
        <v>1962</v>
      </c>
      <c r="X30" s="215">
        <v>86</v>
      </c>
      <c r="Y30" s="2" t="s">
        <v>256</v>
      </c>
      <c r="AA30" s="1">
        <v>46135</v>
      </c>
      <c r="AB30" s="2">
        <v>953</v>
      </c>
      <c r="AC30" s="2">
        <v>565</v>
      </c>
      <c r="AD30" s="2" t="s">
        <v>11</v>
      </c>
      <c r="AF30" s="3">
        <v>45912</v>
      </c>
      <c r="AH30" s="2">
        <v>212</v>
      </c>
      <c r="AI30" s="2" t="s">
        <v>261</v>
      </c>
      <c r="AK30" s="3">
        <v>45989</v>
      </c>
      <c r="AM30" s="2">
        <v>147</v>
      </c>
      <c r="AN30" s="2" t="s">
        <v>1</v>
      </c>
      <c r="AP30" s="3">
        <v>46139</v>
      </c>
      <c r="AR30" s="2">
        <v>152</v>
      </c>
    </row>
    <row r="31" spans="2:44">
      <c r="B31" s="1">
        <v>46168</v>
      </c>
      <c r="C31" s="2">
        <v>364</v>
      </c>
      <c r="D31" s="2">
        <v>522</v>
      </c>
      <c r="E31" s="2" t="s">
        <v>255</v>
      </c>
      <c r="G31" s="1">
        <v>45872</v>
      </c>
      <c r="H31" s="2">
        <v>876</v>
      </c>
      <c r="I31" s="2">
        <v>516</v>
      </c>
      <c r="J31" s="2" t="s">
        <v>11</v>
      </c>
      <c r="L31" s="3">
        <v>45953</v>
      </c>
      <c r="M31" s="2">
        <v>1709</v>
      </c>
      <c r="N31" s="2">
        <v>142</v>
      </c>
      <c r="O31" s="2" t="s">
        <v>1</v>
      </c>
      <c r="Q31" s="3">
        <v>46006</v>
      </c>
      <c r="R31" s="2">
        <v>1585</v>
      </c>
      <c r="S31" s="2">
        <v>198</v>
      </c>
      <c r="T31" s="2" t="s">
        <v>256</v>
      </c>
      <c r="V31" s="3">
        <v>46007</v>
      </c>
      <c r="W31" s="215">
        <v>1961</v>
      </c>
      <c r="X31" s="215">
        <v>119</v>
      </c>
      <c r="Y31" s="2" t="s">
        <v>256</v>
      </c>
      <c r="AA31" s="1">
        <v>46135</v>
      </c>
      <c r="AB31" s="2">
        <v>319</v>
      </c>
      <c r="AC31" s="2">
        <v>647</v>
      </c>
      <c r="AD31" s="2" t="s">
        <v>11</v>
      </c>
      <c r="AF31" s="3">
        <v>45912</v>
      </c>
      <c r="AH31" s="2">
        <v>170</v>
      </c>
      <c r="AI31" s="2" t="s">
        <v>261</v>
      </c>
      <c r="AK31" s="3">
        <v>45989</v>
      </c>
      <c r="AM31" s="2">
        <v>127</v>
      </c>
      <c r="AN31" s="2" t="s">
        <v>1</v>
      </c>
      <c r="AP31" s="3">
        <v>46139</v>
      </c>
      <c r="AR31" s="2">
        <v>110</v>
      </c>
    </row>
    <row r="32" spans="2:44">
      <c r="B32" s="1">
        <v>46168</v>
      </c>
      <c r="C32" s="2">
        <v>880</v>
      </c>
      <c r="D32" s="2">
        <v>521</v>
      </c>
      <c r="E32" s="2" t="s">
        <v>255</v>
      </c>
      <c r="G32" s="1">
        <v>45872</v>
      </c>
      <c r="H32" s="2">
        <v>880</v>
      </c>
      <c r="I32" s="2">
        <v>487</v>
      </c>
      <c r="J32" s="2" t="s">
        <v>11</v>
      </c>
      <c r="L32" s="3">
        <v>45953</v>
      </c>
      <c r="M32" s="2">
        <v>1710</v>
      </c>
      <c r="N32" s="2">
        <v>128</v>
      </c>
      <c r="O32" s="2" t="s">
        <v>1</v>
      </c>
      <c r="Q32" s="3">
        <v>46006</v>
      </c>
      <c r="R32" s="2">
        <v>1584</v>
      </c>
      <c r="S32" s="2">
        <v>192</v>
      </c>
      <c r="T32" s="2" t="s">
        <v>256</v>
      </c>
      <c r="V32" s="3">
        <v>46007</v>
      </c>
      <c r="W32" s="215">
        <v>1960</v>
      </c>
      <c r="X32" s="215">
        <v>125</v>
      </c>
      <c r="Y32" s="2" t="s">
        <v>256</v>
      </c>
      <c r="AA32" s="1">
        <v>46135</v>
      </c>
      <c r="AB32" s="2">
        <v>1232</v>
      </c>
      <c r="AC32" s="2">
        <v>632</v>
      </c>
      <c r="AD32" s="2" t="s">
        <v>11</v>
      </c>
      <c r="AF32" s="3">
        <v>45912</v>
      </c>
      <c r="AH32" s="2">
        <v>159</v>
      </c>
      <c r="AI32" s="2" t="s">
        <v>261</v>
      </c>
      <c r="AK32" s="3">
        <v>45989</v>
      </c>
      <c r="AM32" s="2">
        <v>132</v>
      </c>
      <c r="AN32" s="2" t="s">
        <v>1</v>
      </c>
      <c r="AP32" s="3">
        <v>46139</v>
      </c>
      <c r="AR32" s="2">
        <v>145</v>
      </c>
    </row>
    <row r="33" spans="2:44">
      <c r="B33" s="1">
        <v>46168</v>
      </c>
      <c r="C33" s="2">
        <v>443</v>
      </c>
      <c r="D33" s="2">
        <v>521</v>
      </c>
      <c r="E33" s="2" t="s">
        <v>255</v>
      </c>
      <c r="G33" s="1">
        <v>45872</v>
      </c>
      <c r="H33" s="2">
        <v>461</v>
      </c>
      <c r="I33" s="2">
        <v>510</v>
      </c>
      <c r="J33" s="2" t="s">
        <v>11</v>
      </c>
      <c r="L33" s="3">
        <v>45953</v>
      </c>
      <c r="M33" s="2">
        <v>1711</v>
      </c>
      <c r="N33" s="2">
        <v>111</v>
      </c>
      <c r="O33" s="2" t="s">
        <v>1</v>
      </c>
      <c r="Q33" s="3">
        <v>46006</v>
      </c>
      <c r="R33" s="2">
        <v>1583</v>
      </c>
      <c r="S33" s="2">
        <v>232</v>
      </c>
      <c r="T33" s="2" t="s">
        <v>256</v>
      </c>
      <c r="V33" s="3">
        <v>46007</v>
      </c>
      <c r="W33" s="215">
        <v>1959</v>
      </c>
      <c r="X33" s="215">
        <v>121</v>
      </c>
      <c r="Y33" s="2" t="s">
        <v>256</v>
      </c>
      <c r="AA33" s="1">
        <v>46135</v>
      </c>
      <c r="AB33" s="2">
        <v>425</v>
      </c>
      <c r="AC33" s="2">
        <v>619</v>
      </c>
      <c r="AD33" s="2" t="s">
        <v>11</v>
      </c>
      <c r="AF33" s="3">
        <v>45912</v>
      </c>
      <c r="AH33" s="2">
        <v>116</v>
      </c>
      <c r="AI33" s="2" t="s">
        <v>261</v>
      </c>
      <c r="AK33" s="3">
        <v>45989</v>
      </c>
      <c r="AM33" s="2">
        <v>149</v>
      </c>
      <c r="AN33" s="2" t="s">
        <v>1</v>
      </c>
      <c r="AP33" s="3">
        <v>46139</v>
      </c>
      <c r="AR33" s="2">
        <v>138</v>
      </c>
    </row>
    <row r="34" spans="2:44">
      <c r="B34" s="1">
        <v>46168</v>
      </c>
      <c r="C34" s="2">
        <v>1232</v>
      </c>
      <c r="D34" s="2">
        <v>520</v>
      </c>
      <c r="E34" s="2" t="s">
        <v>255</v>
      </c>
      <c r="G34" s="1">
        <v>45872</v>
      </c>
      <c r="H34" s="2">
        <v>483</v>
      </c>
      <c r="I34" s="2">
        <v>513</v>
      </c>
      <c r="J34" s="2" t="s">
        <v>11</v>
      </c>
      <c r="L34" s="3">
        <v>45953</v>
      </c>
      <c r="M34" s="2">
        <v>1712</v>
      </c>
      <c r="N34" s="2">
        <v>133</v>
      </c>
      <c r="O34" s="2" t="s">
        <v>1</v>
      </c>
      <c r="Q34" s="3">
        <v>46006</v>
      </c>
      <c r="R34" s="2">
        <v>1582</v>
      </c>
      <c r="S34" s="2">
        <v>199</v>
      </c>
      <c r="T34" s="2" t="s">
        <v>256</v>
      </c>
      <c r="V34" s="3">
        <v>46007</v>
      </c>
      <c r="W34" s="215">
        <v>1958</v>
      </c>
      <c r="X34" s="215">
        <v>103</v>
      </c>
      <c r="Y34" s="2" t="s">
        <v>256</v>
      </c>
      <c r="AA34" s="1">
        <v>46135</v>
      </c>
      <c r="AB34" s="2">
        <v>533</v>
      </c>
      <c r="AC34" s="2">
        <v>581</v>
      </c>
      <c r="AD34" s="2" t="s">
        <v>11</v>
      </c>
      <c r="AF34" s="3">
        <v>45912</v>
      </c>
      <c r="AH34" s="2">
        <v>88</v>
      </c>
      <c r="AI34" s="2" t="s">
        <v>261</v>
      </c>
      <c r="AK34" s="3">
        <v>45989</v>
      </c>
      <c r="AM34" s="2">
        <v>140</v>
      </c>
      <c r="AN34" s="2" t="s">
        <v>1</v>
      </c>
      <c r="AP34" s="3">
        <v>46139</v>
      </c>
      <c r="AR34" s="2">
        <v>129</v>
      </c>
    </row>
    <row r="35" spans="2:44">
      <c r="B35" s="1">
        <v>46168</v>
      </c>
      <c r="C35" s="2">
        <v>1229</v>
      </c>
      <c r="D35" s="2">
        <v>520</v>
      </c>
      <c r="E35" s="2" t="s">
        <v>255</v>
      </c>
      <c r="G35" s="1">
        <v>45872</v>
      </c>
      <c r="H35" s="2">
        <v>476</v>
      </c>
      <c r="I35" s="2">
        <v>534</v>
      </c>
      <c r="J35" s="2" t="s">
        <v>11</v>
      </c>
      <c r="L35" s="3">
        <v>45953</v>
      </c>
      <c r="M35" s="2">
        <v>1713</v>
      </c>
      <c r="N35" s="2">
        <v>125</v>
      </c>
      <c r="O35" s="2" t="s">
        <v>1</v>
      </c>
      <c r="Q35" s="3">
        <v>46006</v>
      </c>
      <c r="R35" s="2">
        <v>1580</v>
      </c>
      <c r="S35" s="2">
        <v>217</v>
      </c>
      <c r="T35" s="2" t="s">
        <v>256</v>
      </c>
      <c r="V35" s="3">
        <v>46007</v>
      </c>
      <c r="W35" s="215">
        <v>1957</v>
      </c>
      <c r="X35" s="215">
        <v>101</v>
      </c>
      <c r="Y35" s="2" t="s">
        <v>256</v>
      </c>
      <c r="AA35" s="1">
        <v>46135</v>
      </c>
      <c r="AB35" s="2">
        <v>303</v>
      </c>
      <c r="AC35" s="2">
        <v>622</v>
      </c>
      <c r="AD35" s="2" t="s">
        <v>11</v>
      </c>
      <c r="AF35" s="3">
        <v>45912</v>
      </c>
      <c r="AH35" s="2">
        <v>88</v>
      </c>
      <c r="AI35" s="2" t="s">
        <v>261</v>
      </c>
      <c r="AK35" s="3">
        <v>45989</v>
      </c>
      <c r="AM35" s="2">
        <v>177</v>
      </c>
      <c r="AN35" s="2" t="s">
        <v>1</v>
      </c>
      <c r="AP35" s="3">
        <v>46139</v>
      </c>
      <c r="AR35" s="2">
        <v>143</v>
      </c>
    </row>
    <row r="36" spans="2:44">
      <c r="B36" s="1">
        <v>46168</v>
      </c>
      <c r="C36" s="2">
        <v>1222</v>
      </c>
      <c r="D36" s="2">
        <v>520</v>
      </c>
      <c r="E36" s="2" t="s">
        <v>255</v>
      </c>
      <c r="G36" s="1">
        <v>45872</v>
      </c>
      <c r="H36" s="2">
        <v>373</v>
      </c>
      <c r="I36" s="2">
        <v>542</v>
      </c>
      <c r="J36" s="2" t="s">
        <v>11</v>
      </c>
      <c r="L36" s="3">
        <v>45953</v>
      </c>
      <c r="M36" s="2">
        <v>1714</v>
      </c>
      <c r="N36" s="2">
        <v>134</v>
      </c>
      <c r="O36" s="2" t="s">
        <v>1</v>
      </c>
      <c r="Q36" s="3">
        <v>46006</v>
      </c>
      <c r="R36" s="2">
        <v>1577</v>
      </c>
      <c r="S36" s="2">
        <v>234</v>
      </c>
      <c r="T36" s="2" t="s">
        <v>256</v>
      </c>
      <c r="V36" s="3">
        <v>46007</v>
      </c>
      <c r="W36" s="215">
        <v>1956</v>
      </c>
      <c r="X36" s="215">
        <v>92</v>
      </c>
      <c r="Y36" s="2" t="s">
        <v>256</v>
      </c>
      <c r="AA36" s="1">
        <v>46135</v>
      </c>
      <c r="AB36" s="2">
        <v>530</v>
      </c>
      <c r="AC36" s="2">
        <v>600</v>
      </c>
      <c r="AD36" s="2" t="s">
        <v>11</v>
      </c>
      <c r="AF36" s="3">
        <v>45912</v>
      </c>
      <c r="AH36" s="2">
        <v>197</v>
      </c>
      <c r="AI36" s="2" t="s">
        <v>261</v>
      </c>
      <c r="AK36" s="3">
        <v>45989</v>
      </c>
      <c r="AM36" s="2">
        <v>118</v>
      </c>
      <c r="AN36" s="2" t="s">
        <v>1</v>
      </c>
      <c r="AP36" s="3">
        <v>46139</v>
      </c>
      <c r="AR36" s="2">
        <v>107</v>
      </c>
    </row>
    <row r="37" spans="2:44">
      <c r="B37" s="1">
        <v>46168</v>
      </c>
      <c r="C37" s="2">
        <v>1076</v>
      </c>
      <c r="D37" s="2">
        <v>520</v>
      </c>
      <c r="E37" s="2" t="s">
        <v>255</v>
      </c>
      <c r="G37" s="1">
        <v>45872</v>
      </c>
      <c r="H37" s="2">
        <v>1229</v>
      </c>
      <c r="I37" s="2">
        <v>481</v>
      </c>
      <c r="J37" s="2" t="s">
        <v>11</v>
      </c>
      <c r="L37" s="3">
        <v>45953</v>
      </c>
      <c r="M37" s="2">
        <v>1715</v>
      </c>
      <c r="N37" s="2">
        <v>149</v>
      </c>
      <c r="O37" s="2" t="s">
        <v>1</v>
      </c>
      <c r="Q37" s="3">
        <v>46006</v>
      </c>
      <c r="R37" s="2">
        <v>1576</v>
      </c>
      <c r="S37" s="2">
        <v>203</v>
      </c>
      <c r="T37" s="2" t="s">
        <v>256</v>
      </c>
      <c r="V37" s="3">
        <v>46007</v>
      </c>
      <c r="W37" s="215">
        <v>1955</v>
      </c>
      <c r="X37" s="215">
        <v>132</v>
      </c>
      <c r="Y37" s="2" t="s">
        <v>256</v>
      </c>
      <c r="AA37" s="1">
        <v>46135</v>
      </c>
      <c r="AB37" s="2">
        <v>852</v>
      </c>
      <c r="AC37" s="2">
        <v>564</v>
      </c>
      <c r="AD37" s="2" t="s">
        <v>11</v>
      </c>
      <c r="AF37" s="3">
        <v>45912</v>
      </c>
      <c r="AH37" s="2">
        <v>166</v>
      </c>
      <c r="AI37" s="2" t="s">
        <v>261</v>
      </c>
      <c r="AK37" s="3">
        <v>45989</v>
      </c>
      <c r="AM37" s="2">
        <v>150</v>
      </c>
      <c r="AN37" s="2" t="s">
        <v>1</v>
      </c>
      <c r="AP37" s="3">
        <v>46139</v>
      </c>
      <c r="AR37" s="2">
        <v>128</v>
      </c>
    </row>
    <row r="38" spans="2:44">
      <c r="B38" s="1">
        <v>46168</v>
      </c>
      <c r="C38" s="2">
        <v>971</v>
      </c>
      <c r="D38" s="2">
        <v>520</v>
      </c>
      <c r="E38" s="2" t="s">
        <v>255</v>
      </c>
      <c r="G38" s="1">
        <v>45872</v>
      </c>
      <c r="H38" s="2">
        <v>1472</v>
      </c>
      <c r="I38" s="2">
        <v>510</v>
      </c>
      <c r="J38" s="2" t="s">
        <v>11</v>
      </c>
      <c r="L38" s="3">
        <v>45953</v>
      </c>
      <c r="M38" s="2">
        <v>1716</v>
      </c>
      <c r="N38" s="2">
        <v>139</v>
      </c>
      <c r="O38" s="2" t="s">
        <v>1</v>
      </c>
      <c r="Q38" s="3">
        <v>46006</v>
      </c>
      <c r="R38" s="2">
        <v>1575</v>
      </c>
      <c r="S38" s="2">
        <v>293</v>
      </c>
      <c r="T38" s="2" t="s">
        <v>256</v>
      </c>
      <c r="V38" s="3">
        <v>46007</v>
      </c>
      <c r="W38" s="215">
        <v>1954</v>
      </c>
      <c r="X38" s="215">
        <v>125</v>
      </c>
      <c r="Y38" s="2" t="s">
        <v>256</v>
      </c>
      <c r="AA38" s="1">
        <v>46135</v>
      </c>
      <c r="AB38" s="2">
        <v>705</v>
      </c>
      <c r="AC38" s="2">
        <v>580</v>
      </c>
      <c r="AD38" s="2" t="s">
        <v>11</v>
      </c>
      <c r="AF38" s="3">
        <v>45912</v>
      </c>
      <c r="AH38" s="2">
        <v>398</v>
      </c>
      <c r="AI38" s="2" t="s">
        <v>261</v>
      </c>
      <c r="AK38" s="3">
        <v>45989</v>
      </c>
      <c r="AM38" s="2">
        <v>152</v>
      </c>
      <c r="AN38" s="2" t="s">
        <v>1</v>
      </c>
      <c r="AP38" s="3">
        <v>46139</v>
      </c>
      <c r="AR38" s="2">
        <v>144</v>
      </c>
    </row>
    <row r="39" spans="2:44">
      <c r="B39" s="1">
        <v>46168</v>
      </c>
      <c r="C39" s="2">
        <v>934</v>
      </c>
      <c r="D39" s="2">
        <v>520</v>
      </c>
      <c r="E39" s="2" t="s">
        <v>255</v>
      </c>
      <c r="G39" s="1">
        <v>45872</v>
      </c>
      <c r="H39" s="2">
        <v>948</v>
      </c>
      <c r="I39" s="2">
        <v>540</v>
      </c>
      <c r="J39" s="2" t="s">
        <v>11</v>
      </c>
      <c r="L39" s="3">
        <v>45953</v>
      </c>
      <c r="M39" s="2">
        <v>1717</v>
      </c>
      <c r="N39" s="2">
        <v>125</v>
      </c>
      <c r="O39" s="2" t="s">
        <v>1</v>
      </c>
      <c r="Q39" s="3">
        <v>46006</v>
      </c>
      <c r="R39" s="2">
        <v>1571</v>
      </c>
      <c r="S39" s="2">
        <v>191</v>
      </c>
      <c r="T39" s="2" t="s">
        <v>256</v>
      </c>
      <c r="V39" s="3">
        <v>46007</v>
      </c>
      <c r="W39" s="215">
        <v>1953</v>
      </c>
      <c r="X39" s="215">
        <v>128</v>
      </c>
      <c r="Y39" s="2" t="s">
        <v>256</v>
      </c>
      <c r="AA39" s="1">
        <v>46135</v>
      </c>
      <c r="AB39" s="2">
        <v>818</v>
      </c>
      <c r="AC39" s="2">
        <v>545</v>
      </c>
      <c r="AD39" s="2" t="s">
        <v>11</v>
      </c>
      <c r="AF39" s="3">
        <v>45912</v>
      </c>
      <c r="AH39" s="2">
        <v>296</v>
      </c>
      <c r="AI39" s="2" t="s">
        <v>261</v>
      </c>
      <c r="AK39" s="3">
        <v>45989</v>
      </c>
      <c r="AM39" s="2">
        <v>134</v>
      </c>
      <c r="AN39" s="2" t="s">
        <v>1</v>
      </c>
      <c r="AP39" s="3">
        <v>46139</v>
      </c>
      <c r="AR39" s="2">
        <v>131</v>
      </c>
    </row>
    <row r="40" spans="2:44">
      <c r="B40" s="1">
        <v>46168</v>
      </c>
      <c r="C40" s="2">
        <v>849</v>
      </c>
      <c r="D40" s="2">
        <v>520</v>
      </c>
      <c r="E40" s="2" t="s">
        <v>255</v>
      </c>
      <c r="G40" s="1">
        <v>45872</v>
      </c>
      <c r="H40" s="2">
        <v>478</v>
      </c>
      <c r="I40" s="2">
        <v>542</v>
      </c>
      <c r="J40" s="2" t="s">
        <v>11</v>
      </c>
      <c r="L40" s="3">
        <v>45953</v>
      </c>
      <c r="M40" s="2">
        <v>1718</v>
      </c>
      <c r="N40" s="2">
        <v>126</v>
      </c>
      <c r="O40" s="2" t="s">
        <v>1</v>
      </c>
      <c r="Q40" s="3">
        <v>46006</v>
      </c>
      <c r="R40" s="2">
        <v>1569</v>
      </c>
      <c r="S40" s="2">
        <v>257</v>
      </c>
      <c r="T40" s="2" t="s">
        <v>256</v>
      </c>
      <c r="V40" s="3">
        <v>46007</v>
      </c>
      <c r="W40" s="215">
        <v>1952</v>
      </c>
      <c r="X40" s="215">
        <v>117</v>
      </c>
      <c r="Y40" s="2" t="s">
        <v>256</v>
      </c>
      <c r="AA40" s="1">
        <v>46135</v>
      </c>
      <c r="AB40" s="2">
        <v>1056</v>
      </c>
      <c r="AC40" s="2">
        <v>630</v>
      </c>
      <c r="AD40" s="2" t="s">
        <v>11</v>
      </c>
      <c r="AF40" s="3">
        <v>45912</v>
      </c>
      <c r="AH40" s="2">
        <v>233</v>
      </c>
      <c r="AI40" s="2" t="s">
        <v>261</v>
      </c>
      <c r="AK40" s="3">
        <v>45989</v>
      </c>
      <c r="AM40" s="2">
        <v>143</v>
      </c>
      <c r="AN40" s="2" t="s">
        <v>1</v>
      </c>
      <c r="AP40" s="3">
        <v>46139</v>
      </c>
      <c r="AR40" s="2">
        <v>119</v>
      </c>
    </row>
    <row r="41" spans="2:44">
      <c r="B41" s="1">
        <v>46168</v>
      </c>
      <c r="C41" s="2">
        <v>1183</v>
      </c>
      <c r="D41" s="2">
        <v>519</v>
      </c>
      <c r="E41" s="2" t="s">
        <v>255</v>
      </c>
      <c r="G41" s="1">
        <v>45872</v>
      </c>
      <c r="H41" s="2">
        <v>540</v>
      </c>
      <c r="I41" s="2">
        <v>509</v>
      </c>
      <c r="J41" s="2" t="s">
        <v>11</v>
      </c>
      <c r="L41" s="3">
        <v>45953</v>
      </c>
      <c r="M41" s="2">
        <v>1719</v>
      </c>
      <c r="N41" s="2">
        <v>135</v>
      </c>
      <c r="O41" s="2" t="s">
        <v>1</v>
      </c>
      <c r="Q41" s="3">
        <v>46006</v>
      </c>
      <c r="R41" s="2">
        <v>1564</v>
      </c>
      <c r="S41" s="2">
        <v>276</v>
      </c>
      <c r="T41" s="2" t="s">
        <v>256</v>
      </c>
      <c r="V41" s="3">
        <v>46007</v>
      </c>
      <c r="W41" s="215">
        <v>1951</v>
      </c>
      <c r="X41" s="215">
        <v>101</v>
      </c>
      <c r="Y41" s="2" t="s">
        <v>256</v>
      </c>
      <c r="AA41" s="1">
        <v>46135</v>
      </c>
      <c r="AB41" s="2">
        <v>549</v>
      </c>
      <c r="AC41" s="2">
        <v>625</v>
      </c>
      <c r="AD41" s="2" t="s">
        <v>11</v>
      </c>
      <c r="AF41" s="3">
        <v>45912</v>
      </c>
      <c r="AH41" s="2">
        <v>426</v>
      </c>
      <c r="AI41" s="2" t="s">
        <v>261</v>
      </c>
      <c r="AK41" s="3">
        <v>45989</v>
      </c>
      <c r="AM41" s="2">
        <v>115</v>
      </c>
      <c r="AN41" s="2" t="s">
        <v>1</v>
      </c>
      <c r="AP41" s="3">
        <v>46139</v>
      </c>
      <c r="AR41" s="2">
        <v>136</v>
      </c>
    </row>
    <row r="42" spans="2:44">
      <c r="B42" s="1">
        <v>46168</v>
      </c>
      <c r="C42" s="2">
        <v>1179</v>
      </c>
      <c r="D42" s="2">
        <v>519</v>
      </c>
      <c r="E42" s="2" t="s">
        <v>255</v>
      </c>
      <c r="G42" s="1">
        <v>45872</v>
      </c>
      <c r="H42" s="2">
        <v>365</v>
      </c>
      <c r="I42" s="2">
        <v>493</v>
      </c>
      <c r="J42" s="2" t="s">
        <v>11</v>
      </c>
      <c r="L42" s="3">
        <v>45953</v>
      </c>
      <c r="M42" s="2">
        <v>1720</v>
      </c>
      <c r="N42" s="2">
        <v>121</v>
      </c>
      <c r="O42" s="2" t="s">
        <v>1</v>
      </c>
      <c r="Q42" s="3">
        <v>46006</v>
      </c>
      <c r="R42" s="2">
        <v>1554</v>
      </c>
      <c r="S42" s="2">
        <v>165</v>
      </c>
      <c r="T42" s="2" t="s">
        <v>256</v>
      </c>
      <c r="V42" s="3">
        <v>46007</v>
      </c>
      <c r="W42" s="215">
        <v>1950</v>
      </c>
      <c r="X42" s="215">
        <v>112</v>
      </c>
      <c r="Y42" s="2" t="s">
        <v>256</v>
      </c>
      <c r="AA42" s="1">
        <v>46135</v>
      </c>
      <c r="AB42" s="2">
        <v>433</v>
      </c>
      <c r="AC42" s="2">
        <v>585</v>
      </c>
      <c r="AD42" s="2" t="s">
        <v>11</v>
      </c>
      <c r="AF42" s="3">
        <v>45912</v>
      </c>
      <c r="AH42" s="2">
        <v>166</v>
      </c>
      <c r="AI42" s="2" t="s">
        <v>261</v>
      </c>
      <c r="AK42" s="3">
        <v>45989</v>
      </c>
      <c r="AM42" s="2">
        <v>140</v>
      </c>
      <c r="AN42" s="2" t="s">
        <v>1</v>
      </c>
      <c r="AP42" s="3">
        <v>46139</v>
      </c>
      <c r="AR42" s="2">
        <v>141</v>
      </c>
    </row>
    <row r="43" spans="2:44">
      <c r="B43" s="1">
        <v>46168</v>
      </c>
      <c r="C43" s="2">
        <v>360</v>
      </c>
      <c r="D43" s="2">
        <v>519</v>
      </c>
      <c r="E43" s="2" t="s">
        <v>255</v>
      </c>
      <c r="G43" s="1">
        <v>45872</v>
      </c>
      <c r="H43" s="2">
        <v>459</v>
      </c>
      <c r="I43" s="2">
        <v>535</v>
      </c>
      <c r="J43" s="2" t="s">
        <v>11</v>
      </c>
      <c r="L43" s="3">
        <v>45953</v>
      </c>
      <c r="M43" s="2">
        <v>1721</v>
      </c>
      <c r="N43" s="2">
        <v>126</v>
      </c>
      <c r="O43" s="2" t="s">
        <v>1</v>
      </c>
      <c r="Q43" s="3">
        <v>46006</v>
      </c>
      <c r="R43" s="2">
        <v>1547</v>
      </c>
      <c r="S43" s="2">
        <v>187</v>
      </c>
      <c r="T43" s="2" t="s">
        <v>256</v>
      </c>
      <c r="V43" s="3">
        <v>46007</v>
      </c>
      <c r="W43" s="215">
        <v>1949</v>
      </c>
      <c r="X43" s="215">
        <v>128</v>
      </c>
      <c r="Y43" s="2" t="s">
        <v>256</v>
      </c>
      <c r="AA43" s="1">
        <v>46135</v>
      </c>
      <c r="AB43" s="2">
        <v>1041</v>
      </c>
      <c r="AC43" s="2">
        <v>570</v>
      </c>
      <c r="AD43" s="2" t="s">
        <v>11</v>
      </c>
      <c r="AF43" s="3">
        <v>45912</v>
      </c>
      <c r="AH43" s="2">
        <v>276</v>
      </c>
      <c r="AI43" s="2" t="s">
        <v>261</v>
      </c>
      <c r="AK43" s="3">
        <v>45989</v>
      </c>
      <c r="AM43" s="2">
        <v>153</v>
      </c>
      <c r="AN43" s="2" t="s">
        <v>1</v>
      </c>
      <c r="AP43" s="3">
        <v>46139</v>
      </c>
      <c r="AR43" s="2">
        <v>138</v>
      </c>
    </row>
    <row r="44" spans="2:44">
      <c r="B44" s="1">
        <v>46168</v>
      </c>
      <c r="C44" s="2">
        <v>465</v>
      </c>
      <c r="D44" s="2">
        <v>518</v>
      </c>
      <c r="E44" s="2" t="s">
        <v>255</v>
      </c>
      <c r="G44" s="1">
        <v>45872</v>
      </c>
      <c r="H44" s="2">
        <v>515</v>
      </c>
      <c r="I44" s="2">
        <v>552</v>
      </c>
      <c r="J44" s="2" t="s">
        <v>11</v>
      </c>
      <c r="L44" s="3">
        <v>45953</v>
      </c>
      <c r="M44" s="2">
        <v>1722</v>
      </c>
      <c r="N44" s="2">
        <v>177</v>
      </c>
      <c r="O44" s="2" t="s">
        <v>1</v>
      </c>
      <c r="Q44" s="3">
        <v>46006</v>
      </c>
      <c r="R44" s="2">
        <v>1545</v>
      </c>
      <c r="S44" s="2">
        <v>235</v>
      </c>
      <c r="T44" s="2" t="s">
        <v>256</v>
      </c>
      <c r="V44" s="3">
        <v>46007</v>
      </c>
      <c r="W44" s="215">
        <v>1948</v>
      </c>
      <c r="X44" s="215">
        <v>106</v>
      </c>
      <c r="Y44" s="2" t="s">
        <v>256</v>
      </c>
      <c r="AA44" s="1">
        <v>46135</v>
      </c>
      <c r="AB44" s="2">
        <v>573</v>
      </c>
      <c r="AC44" s="2">
        <v>581</v>
      </c>
      <c r="AD44" s="2" t="s">
        <v>11</v>
      </c>
      <c r="AF44" s="3">
        <v>45912</v>
      </c>
      <c r="AH44" s="2">
        <v>266</v>
      </c>
      <c r="AI44" s="2" t="s">
        <v>261</v>
      </c>
      <c r="AK44" s="3">
        <v>45989</v>
      </c>
      <c r="AM44" s="2">
        <v>161</v>
      </c>
      <c r="AN44" s="2" t="s">
        <v>1</v>
      </c>
      <c r="AP44" s="3">
        <v>46139</v>
      </c>
      <c r="AR44" s="2">
        <v>156</v>
      </c>
    </row>
    <row r="45" spans="2:44">
      <c r="B45" s="1">
        <v>46168</v>
      </c>
      <c r="C45" s="2">
        <v>454</v>
      </c>
      <c r="D45" s="2">
        <v>518</v>
      </c>
      <c r="E45" s="2" t="s">
        <v>255</v>
      </c>
      <c r="G45" s="1">
        <v>45872</v>
      </c>
      <c r="H45" s="2">
        <v>387</v>
      </c>
      <c r="I45" s="2">
        <v>501</v>
      </c>
      <c r="J45" s="2" t="s">
        <v>11</v>
      </c>
      <c r="Q45" s="3">
        <v>46006</v>
      </c>
      <c r="R45" s="2">
        <v>1543</v>
      </c>
      <c r="S45" s="2">
        <v>193</v>
      </c>
      <c r="T45" s="2" t="s">
        <v>256</v>
      </c>
      <c r="V45" s="3">
        <v>46007</v>
      </c>
      <c r="W45" s="215">
        <v>1947</v>
      </c>
      <c r="X45" s="215">
        <v>115</v>
      </c>
      <c r="Y45" s="2" t="s">
        <v>256</v>
      </c>
      <c r="AA45" s="1">
        <v>46135</v>
      </c>
      <c r="AB45" s="2">
        <v>875</v>
      </c>
      <c r="AC45" s="2">
        <v>625</v>
      </c>
      <c r="AD45" s="2" t="s">
        <v>11</v>
      </c>
      <c r="AF45" s="3">
        <v>45912</v>
      </c>
      <c r="AH45" s="2">
        <v>272</v>
      </c>
      <c r="AI45" s="2" t="s">
        <v>261</v>
      </c>
      <c r="AK45" s="3">
        <v>45989</v>
      </c>
      <c r="AM45" s="2">
        <v>167</v>
      </c>
      <c r="AN45" s="2" t="s">
        <v>1</v>
      </c>
      <c r="AP45" s="3">
        <v>46139</v>
      </c>
      <c r="AR45" s="2">
        <v>136</v>
      </c>
    </row>
    <row r="46" spans="2:44">
      <c r="B46" s="1">
        <v>46168</v>
      </c>
      <c r="C46" s="2">
        <v>1209</v>
      </c>
      <c r="D46" s="2">
        <v>517</v>
      </c>
      <c r="E46" s="2" t="s">
        <v>255</v>
      </c>
      <c r="G46" s="1">
        <v>45872</v>
      </c>
      <c r="H46" s="2">
        <v>441</v>
      </c>
      <c r="I46" s="2">
        <v>524</v>
      </c>
      <c r="J46" s="2" t="s">
        <v>11</v>
      </c>
      <c r="Q46" s="3">
        <v>46006</v>
      </c>
      <c r="R46" s="2">
        <v>1541</v>
      </c>
      <c r="S46" s="2">
        <v>267</v>
      </c>
      <c r="T46" s="2" t="s">
        <v>256</v>
      </c>
      <c r="V46" s="3">
        <v>46007</v>
      </c>
      <c r="W46" s="215">
        <v>1946</v>
      </c>
      <c r="X46" s="215">
        <v>95</v>
      </c>
      <c r="Y46" s="2" t="s">
        <v>256</v>
      </c>
      <c r="AA46" s="1">
        <v>46135</v>
      </c>
      <c r="AB46" s="2">
        <v>1101</v>
      </c>
      <c r="AC46" s="2">
        <v>575</v>
      </c>
      <c r="AD46" s="2" t="s">
        <v>11</v>
      </c>
      <c r="AF46" s="3">
        <v>45912</v>
      </c>
      <c r="AH46" s="2">
        <v>344</v>
      </c>
      <c r="AI46" s="2" t="s">
        <v>261</v>
      </c>
      <c r="AK46" s="3">
        <v>45989</v>
      </c>
      <c r="AM46" s="2">
        <v>116</v>
      </c>
      <c r="AN46" s="2" t="s">
        <v>1</v>
      </c>
      <c r="AP46" s="3">
        <v>46139</v>
      </c>
      <c r="AR46" s="2">
        <v>147</v>
      </c>
    </row>
    <row r="47" spans="2:44">
      <c r="B47" s="1">
        <v>46168</v>
      </c>
      <c r="C47" s="2">
        <v>1040</v>
      </c>
      <c r="D47" s="2">
        <v>517</v>
      </c>
      <c r="E47" s="2" t="s">
        <v>255</v>
      </c>
      <c r="G47" s="1">
        <v>45872</v>
      </c>
      <c r="H47" s="2">
        <v>4320</v>
      </c>
      <c r="I47" s="2">
        <v>538</v>
      </c>
      <c r="J47" s="2" t="s">
        <v>11</v>
      </c>
      <c r="Q47" s="3">
        <v>46006</v>
      </c>
      <c r="R47" s="2">
        <v>1540</v>
      </c>
      <c r="S47" s="2">
        <v>288</v>
      </c>
      <c r="T47" s="2" t="s">
        <v>256</v>
      </c>
      <c r="V47" s="3">
        <v>46007</v>
      </c>
      <c r="W47" s="215">
        <v>1945</v>
      </c>
      <c r="X47" s="215">
        <v>120</v>
      </c>
      <c r="Y47" s="2" t="s">
        <v>256</v>
      </c>
      <c r="AA47" s="1">
        <v>46135</v>
      </c>
      <c r="AB47" s="2">
        <v>791</v>
      </c>
      <c r="AC47" s="2">
        <v>650</v>
      </c>
      <c r="AD47" s="2" t="s">
        <v>11</v>
      </c>
      <c r="AF47" s="3">
        <v>45912</v>
      </c>
      <c r="AH47" s="2">
        <v>188</v>
      </c>
      <c r="AI47" s="2" t="s">
        <v>261</v>
      </c>
      <c r="AK47" s="3">
        <v>45989</v>
      </c>
      <c r="AM47" s="2">
        <v>135</v>
      </c>
      <c r="AN47" s="2" t="s">
        <v>1</v>
      </c>
      <c r="AP47" s="3">
        <v>46139</v>
      </c>
      <c r="AR47" s="2">
        <v>101</v>
      </c>
    </row>
    <row r="48" spans="2:44">
      <c r="B48" s="1">
        <v>46168</v>
      </c>
      <c r="C48" s="2">
        <v>1030</v>
      </c>
      <c r="D48" s="2">
        <v>517</v>
      </c>
      <c r="E48" s="2" t="s">
        <v>255</v>
      </c>
      <c r="G48" s="1">
        <v>45872</v>
      </c>
      <c r="H48" s="2">
        <v>360</v>
      </c>
      <c r="I48" s="2">
        <v>516</v>
      </c>
      <c r="J48" s="2" t="s">
        <v>11</v>
      </c>
      <c r="Q48" s="3">
        <v>46006</v>
      </c>
      <c r="R48" s="2">
        <v>1534</v>
      </c>
      <c r="S48" s="2">
        <v>199</v>
      </c>
      <c r="T48" s="2" t="s">
        <v>256</v>
      </c>
      <c r="V48" s="3">
        <v>46007</v>
      </c>
      <c r="W48" s="215">
        <v>1944</v>
      </c>
      <c r="X48" s="215">
        <v>99</v>
      </c>
      <c r="Y48" s="2" t="s">
        <v>256</v>
      </c>
      <c r="AA48" s="1">
        <v>46135</v>
      </c>
      <c r="AB48" s="2">
        <v>381</v>
      </c>
      <c r="AC48" s="2">
        <v>643</v>
      </c>
      <c r="AD48" s="2" t="s">
        <v>11</v>
      </c>
      <c r="AF48" s="3">
        <v>45912</v>
      </c>
      <c r="AH48" s="2">
        <v>152</v>
      </c>
      <c r="AI48" s="2" t="s">
        <v>261</v>
      </c>
      <c r="AK48" s="3">
        <v>45989</v>
      </c>
      <c r="AM48" s="2">
        <v>149</v>
      </c>
      <c r="AN48" s="2" t="s">
        <v>1</v>
      </c>
      <c r="AP48" s="3">
        <v>46139</v>
      </c>
      <c r="AR48" s="2">
        <v>150</v>
      </c>
    </row>
    <row r="49" spans="2:44">
      <c r="B49" s="1">
        <v>46168</v>
      </c>
      <c r="C49" s="2">
        <v>555</v>
      </c>
      <c r="D49" s="2">
        <v>517</v>
      </c>
      <c r="E49" s="2" t="s">
        <v>255</v>
      </c>
      <c r="G49" s="1">
        <v>45872</v>
      </c>
      <c r="H49" s="2">
        <v>567</v>
      </c>
      <c r="I49" s="2">
        <v>541</v>
      </c>
      <c r="J49" s="2" t="s">
        <v>11</v>
      </c>
      <c r="Q49" s="3">
        <v>46006</v>
      </c>
      <c r="R49" s="2">
        <v>1490</v>
      </c>
      <c r="S49" s="2">
        <v>470</v>
      </c>
      <c r="T49" s="2" t="s">
        <v>256</v>
      </c>
      <c r="V49" s="3">
        <v>46007</v>
      </c>
      <c r="W49" s="215">
        <v>1943</v>
      </c>
      <c r="X49" s="215">
        <v>90</v>
      </c>
      <c r="Y49" s="2" t="s">
        <v>256</v>
      </c>
      <c r="AA49" s="1">
        <v>46135</v>
      </c>
      <c r="AB49" s="2">
        <v>599</v>
      </c>
      <c r="AC49" s="2">
        <v>570</v>
      </c>
      <c r="AD49" s="2" t="s">
        <v>11</v>
      </c>
      <c r="AF49" s="3">
        <v>45912</v>
      </c>
      <c r="AH49" s="2">
        <v>289</v>
      </c>
      <c r="AI49" s="2" t="s">
        <v>261</v>
      </c>
      <c r="AK49" s="3">
        <v>45989</v>
      </c>
      <c r="AM49" s="2">
        <v>122</v>
      </c>
      <c r="AN49" s="2" t="s">
        <v>1</v>
      </c>
      <c r="AP49" s="3">
        <v>46139</v>
      </c>
      <c r="AR49" s="2">
        <v>128</v>
      </c>
    </row>
    <row r="50" spans="2:44">
      <c r="B50" s="1">
        <v>46168</v>
      </c>
      <c r="C50" s="2">
        <v>370</v>
      </c>
      <c r="D50" s="2">
        <v>517</v>
      </c>
      <c r="E50" s="2" t="s">
        <v>255</v>
      </c>
      <c r="G50" s="1">
        <v>45872</v>
      </c>
      <c r="H50" s="2">
        <v>3399</v>
      </c>
      <c r="I50" s="2">
        <v>561</v>
      </c>
      <c r="J50" s="2" t="s">
        <v>11</v>
      </c>
      <c r="Q50" s="3">
        <v>46006</v>
      </c>
      <c r="R50" s="2">
        <v>1305</v>
      </c>
      <c r="S50" s="2">
        <v>235</v>
      </c>
      <c r="T50" s="2" t="s">
        <v>256</v>
      </c>
      <c r="V50" s="3">
        <v>46007</v>
      </c>
      <c r="W50" s="215">
        <v>1942</v>
      </c>
      <c r="X50" s="215">
        <v>96</v>
      </c>
      <c r="Y50" s="2" t="s">
        <v>256</v>
      </c>
      <c r="AA50" s="1">
        <v>46135</v>
      </c>
      <c r="AB50" s="2">
        <v>616</v>
      </c>
      <c r="AC50" s="2">
        <v>659</v>
      </c>
      <c r="AD50" s="2" t="s">
        <v>11</v>
      </c>
      <c r="AF50" s="3">
        <v>45912</v>
      </c>
      <c r="AH50" s="2">
        <v>270</v>
      </c>
      <c r="AI50" s="2" t="s">
        <v>261</v>
      </c>
      <c r="AK50" s="3">
        <v>45989</v>
      </c>
      <c r="AM50" s="2">
        <v>142</v>
      </c>
      <c r="AN50" s="2" t="s">
        <v>1</v>
      </c>
      <c r="AP50" s="3">
        <v>46139</v>
      </c>
      <c r="AR50" s="2">
        <v>110</v>
      </c>
    </row>
    <row r="51" spans="2:44">
      <c r="B51" s="1">
        <v>46168</v>
      </c>
      <c r="C51" s="2">
        <v>841</v>
      </c>
      <c r="D51" s="2">
        <v>515</v>
      </c>
      <c r="E51" s="2" t="s">
        <v>255</v>
      </c>
      <c r="G51" s="1">
        <v>45872</v>
      </c>
      <c r="H51" s="2">
        <v>582</v>
      </c>
      <c r="I51" s="2">
        <v>536</v>
      </c>
      <c r="J51" s="2" t="s">
        <v>11</v>
      </c>
      <c r="Q51" s="3">
        <v>46006</v>
      </c>
      <c r="R51" s="2">
        <v>1301</v>
      </c>
      <c r="S51" s="2">
        <v>187</v>
      </c>
      <c r="T51" s="2" t="s">
        <v>256</v>
      </c>
      <c r="V51" s="3">
        <v>46007</v>
      </c>
      <c r="W51" s="215">
        <v>1941</v>
      </c>
      <c r="X51" s="215">
        <v>113</v>
      </c>
      <c r="Y51" s="2" t="s">
        <v>256</v>
      </c>
      <c r="AA51" s="1">
        <v>46135</v>
      </c>
      <c r="AB51" s="2">
        <v>1037</v>
      </c>
      <c r="AC51" s="2">
        <v>618</v>
      </c>
      <c r="AD51" s="2" t="s">
        <v>11</v>
      </c>
      <c r="AF51" s="3">
        <v>45912</v>
      </c>
      <c r="AH51" s="2">
        <v>247</v>
      </c>
      <c r="AI51" s="2" t="s">
        <v>261</v>
      </c>
      <c r="AK51" s="3">
        <v>45989</v>
      </c>
      <c r="AM51" s="2">
        <v>139</v>
      </c>
      <c r="AN51" s="2" t="s">
        <v>1</v>
      </c>
      <c r="AP51" s="3">
        <v>46139</v>
      </c>
      <c r="AR51" s="2">
        <v>160</v>
      </c>
    </row>
    <row r="52" spans="2:44">
      <c r="B52" s="1">
        <v>46168</v>
      </c>
      <c r="C52" s="2">
        <v>819</v>
      </c>
      <c r="D52" s="2">
        <v>515</v>
      </c>
      <c r="E52" s="2" t="s">
        <v>255</v>
      </c>
      <c r="G52" s="1">
        <v>45872</v>
      </c>
      <c r="H52" s="2">
        <v>3026</v>
      </c>
      <c r="I52" s="2">
        <v>552</v>
      </c>
      <c r="J52" s="2" t="s">
        <v>11</v>
      </c>
      <c r="Q52" s="3">
        <v>46006</v>
      </c>
      <c r="R52" s="2">
        <v>1277</v>
      </c>
      <c r="S52" s="2">
        <v>215</v>
      </c>
      <c r="T52" s="2" t="s">
        <v>256</v>
      </c>
      <c r="V52" s="3">
        <v>46007</v>
      </c>
      <c r="W52" s="215">
        <v>1940</v>
      </c>
      <c r="X52" s="215">
        <v>104</v>
      </c>
      <c r="Y52" s="2" t="s">
        <v>256</v>
      </c>
      <c r="AA52" s="1">
        <v>46135</v>
      </c>
      <c r="AB52" s="2">
        <v>803</v>
      </c>
      <c r="AC52" s="2">
        <v>572</v>
      </c>
      <c r="AD52" s="2" t="s">
        <v>11</v>
      </c>
      <c r="AF52" s="3">
        <v>45912</v>
      </c>
      <c r="AH52" s="2">
        <v>136</v>
      </c>
      <c r="AI52" s="2" t="s">
        <v>261</v>
      </c>
      <c r="AK52" s="3">
        <v>45989</v>
      </c>
      <c r="AM52" s="2">
        <v>125</v>
      </c>
      <c r="AN52" s="2" t="s">
        <v>1</v>
      </c>
      <c r="AP52" s="3">
        <v>46139</v>
      </c>
      <c r="AR52" s="2">
        <v>151</v>
      </c>
    </row>
    <row r="53" spans="2:44">
      <c r="B53" s="1">
        <v>46168</v>
      </c>
      <c r="C53" s="2">
        <v>459</v>
      </c>
      <c r="D53" s="2">
        <v>515</v>
      </c>
      <c r="E53" s="2" t="s">
        <v>255</v>
      </c>
      <c r="G53" s="1">
        <v>45872</v>
      </c>
      <c r="H53" s="2">
        <v>971</v>
      </c>
      <c r="I53" s="2">
        <v>506</v>
      </c>
      <c r="J53" s="2" t="s">
        <v>11</v>
      </c>
      <c r="Q53" s="3">
        <v>46006</v>
      </c>
      <c r="R53" s="2">
        <v>1275</v>
      </c>
      <c r="S53" s="2">
        <v>232</v>
      </c>
      <c r="T53" s="2" t="s">
        <v>256</v>
      </c>
      <c r="V53" s="3">
        <v>46007</v>
      </c>
      <c r="W53" s="215">
        <v>1939</v>
      </c>
      <c r="X53" s="215">
        <v>104</v>
      </c>
      <c r="Y53" s="2" t="s">
        <v>256</v>
      </c>
      <c r="AA53" s="1">
        <v>46135</v>
      </c>
      <c r="AB53" s="2">
        <v>961</v>
      </c>
      <c r="AC53" s="2">
        <v>564</v>
      </c>
      <c r="AD53" s="2" t="s">
        <v>11</v>
      </c>
      <c r="AF53" s="3">
        <v>45912</v>
      </c>
      <c r="AH53" s="2">
        <v>191</v>
      </c>
      <c r="AI53" s="2" t="s">
        <v>261</v>
      </c>
      <c r="AK53" s="3">
        <v>45989</v>
      </c>
      <c r="AM53" s="2">
        <v>158</v>
      </c>
      <c r="AN53" s="2" t="s">
        <v>1</v>
      </c>
      <c r="AP53" s="3">
        <v>46139</v>
      </c>
      <c r="AR53" s="2">
        <v>137</v>
      </c>
    </row>
    <row r="54" spans="2:44">
      <c r="B54" s="1">
        <v>46168</v>
      </c>
      <c r="C54" s="2">
        <v>1176</v>
      </c>
      <c r="D54" s="2">
        <v>513</v>
      </c>
      <c r="E54" s="2" t="s">
        <v>255</v>
      </c>
      <c r="G54" s="1">
        <v>45872</v>
      </c>
      <c r="H54" s="2">
        <v>921</v>
      </c>
      <c r="I54" s="2">
        <v>470</v>
      </c>
      <c r="J54" s="2" t="s">
        <v>11</v>
      </c>
      <c r="Q54" s="3">
        <v>46006</v>
      </c>
      <c r="R54" s="2">
        <v>1262</v>
      </c>
      <c r="S54" s="2">
        <v>235</v>
      </c>
      <c r="T54" s="2" t="s">
        <v>256</v>
      </c>
      <c r="V54" s="3">
        <v>46007</v>
      </c>
      <c r="W54" s="215">
        <v>1938</v>
      </c>
      <c r="X54" s="215">
        <v>136</v>
      </c>
      <c r="Y54" s="2" t="s">
        <v>256</v>
      </c>
      <c r="AA54" s="1">
        <v>46135</v>
      </c>
      <c r="AB54" s="2">
        <v>414</v>
      </c>
      <c r="AC54" s="2">
        <v>575</v>
      </c>
      <c r="AD54" s="2" t="s">
        <v>11</v>
      </c>
      <c r="AF54" s="3">
        <v>45912</v>
      </c>
      <c r="AH54" s="2">
        <v>318</v>
      </c>
      <c r="AI54" s="2" t="s">
        <v>261</v>
      </c>
      <c r="AK54" s="3">
        <v>45989</v>
      </c>
      <c r="AM54" s="2">
        <v>154</v>
      </c>
      <c r="AN54" s="2" t="s">
        <v>1</v>
      </c>
      <c r="AP54" s="3">
        <v>46139</v>
      </c>
      <c r="AR54" s="2">
        <v>123</v>
      </c>
    </row>
    <row r="55" spans="2:44">
      <c r="B55" s="1">
        <v>46168</v>
      </c>
      <c r="C55" s="2">
        <v>859</v>
      </c>
      <c r="D55" s="2">
        <v>513</v>
      </c>
      <c r="E55" s="2" t="s">
        <v>255</v>
      </c>
      <c r="G55" s="1">
        <v>45872</v>
      </c>
      <c r="H55" s="2">
        <v>411</v>
      </c>
      <c r="I55" s="2">
        <v>512</v>
      </c>
      <c r="J55" s="2" t="s">
        <v>11</v>
      </c>
      <c r="Q55" s="3">
        <v>46006</v>
      </c>
      <c r="R55" s="2">
        <v>1261</v>
      </c>
      <c r="S55" s="2">
        <v>205</v>
      </c>
      <c r="T55" s="2" t="s">
        <v>256</v>
      </c>
      <c r="V55" s="3">
        <v>46007</v>
      </c>
      <c r="W55" s="215">
        <v>1937</v>
      </c>
      <c r="X55" s="215">
        <v>117</v>
      </c>
      <c r="Y55" s="2" t="s">
        <v>256</v>
      </c>
      <c r="AA55" s="1">
        <v>46135</v>
      </c>
      <c r="AB55" s="2">
        <v>335</v>
      </c>
      <c r="AC55" s="2">
        <v>585</v>
      </c>
      <c r="AD55" s="2" t="s">
        <v>11</v>
      </c>
      <c r="AF55" s="3">
        <v>45912</v>
      </c>
      <c r="AH55" s="2">
        <v>263</v>
      </c>
      <c r="AI55" s="2" t="s">
        <v>261</v>
      </c>
      <c r="AK55" s="3">
        <v>45989</v>
      </c>
      <c r="AM55" s="2">
        <v>145</v>
      </c>
      <c r="AN55" s="2" t="s">
        <v>1</v>
      </c>
      <c r="AP55" s="3">
        <v>46139</v>
      </c>
      <c r="AR55" s="2">
        <v>142</v>
      </c>
    </row>
    <row r="56" spans="2:44">
      <c r="B56" s="1">
        <v>46168</v>
      </c>
      <c r="C56" s="2">
        <v>706</v>
      </c>
      <c r="D56" s="2">
        <v>513</v>
      </c>
      <c r="E56" s="2" t="s">
        <v>255</v>
      </c>
      <c r="G56" s="1">
        <v>45872</v>
      </c>
      <c r="H56" s="2">
        <v>75</v>
      </c>
      <c r="I56" s="2">
        <v>522</v>
      </c>
      <c r="J56" s="2" t="s">
        <v>11</v>
      </c>
      <c r="Q56" s="3">
        <v>46006</v>
      </c>
      <c r="R56" s="2">
        <v>1260</v>
      </c>
      <c r="S56" s="2">
        <v>230</v>
      </c>
      <c r="T56" s="2" t="s">
        <v>256</v>
      </c>
      <c r="V56" s="3">
        <v>46007</v>
      </c>
      <c r="W56" s="215">
        <v>1936</v>
      </c>
      <c r="X56" s="215">
        <v>129</v>
      </c>
      <c r="Y56" s="2" t="s">
        <v>256</v>
      </c>
      <c r="AA56" s="1">
        <v>46135</v>
      </c>
      <c r="AB56" s="2">
        <v>509</v>
      </c>
      <c r="AC56" s="2">
        <v>615</v>
      </c>
      <c r="AD56" s="2" t="s">
        <v>11</v>
      </c>
      <c r="AF56" s="3">
        <v>45912</v>
      </c>
      <c r="AH56" s="2">
        <v>374</v>
      </c>
      <c r="AI56" s="2" t="s">
        <v>261</v>
      </c>
      <c r="AK56" s="3">
        <v>45989</v>
      </c>
      <c r="AM56" s="2">
        <v>147</v>
      </c>
      <c r="AN56" s="2" t="s">
        <v>1</v>
      </c>
      <c r="AP56" s="3">
        <v>46139</v>
      </c>
      <c r="AR56" s="2">
        <v>137</v>
      </c>
    </row>
    <row r="57" spans="2:44">
      <c r="B57" s="1">
        <v>46168</v>
      </c>
      <c r="C57" s="2">
        <v>554</v>
      </c>
      <c r="D57" s="2">
        <v>513</v>
      </c>
      <c r="E57" s="2" t="s">
        <v>255</v>
      </c>
      <c r="G57" s="1">
        <v>45872</v>
      </c>
      <c r="H57" s="2">
        <v>841</v>
      </c>
      <c r="I57" s="2">
        <v>496</v>
      </c>
      <c r="J57" s="2" t="s">
        <v>11</v>
      </c>
      <c r="Q57" s="3">
        <v>46006</v>
      </c>
      <c r="R57" s="2">
        <v>1259</v>
      </c>
      <c r="S57" s="2">
        <v>219</v>
      </c>
      <c r="T57" s="2" t="s">
        <v>256</v>
      </c>
      <c r="V57" s="3">
        <v>46007</v>
      </c>
      <c r="W57" s="215">
        <v>1935</v>
      </c>
      <c r="X57" s="215">
        <v>103</v>
      </c>
      <c r="Y57" s="2" t="s">
        <v>256</v>
      </c>
      <c r="AA57" s="1">
        <v>46135</v>
      </c>
      <c r="AB57" s="2">
        <v>725</v>
      </c>
      <c r="AC57" s="2">
        <v>550</v>
      </c>
      <c r="AD57" s="2" t="s">
        <v>11</v>
      </c>
      <c r="AF57" s="3">
        <v>45912</v>
      </c>
      <c r="AH57" s="2">
        <v>189</v>
      </c>
      <c r="AI57" s="2" t="s">
        <v>261</v>
      </c>
      <c r="AK57" s="3">
        <v>45989</v>
      </c>
      <c r="AM57" s="2">
        <v>129</v>
      </c>
      <c r="AN57" s="2" t="s">
        <v>1</v>
      </c>
      <c r="AP57" s="3">
        <v>46139</v>
      </c>
      <c r="AR57" s="2">
        <v>139</v>
      </c>
    </row>
    <row r="58" spans="2:44">
      <c r="B58" s="1">
        <v>46168</v>
      </c>
      <c r="C58" s="2">
        <v>501</v>
      </c>
      <c r="D58" s="2">
        <v>513</v>
      </c>
      <c r="E58" s="2" t="s">
        <v>255</v>
      </c>
      <c r="G58" s="1">
        <v>45872</v>
      </c>
      <c r="H58" s="2">
        <v>370</v>
      </c>
      <c r="I58" s="2">
        <v>509</v>
      </c>
      <c r="J58" s="2" t="s">
        <v>11</v>
      </c>
      <c r="Q58" s="3">
        <v>46006</v>
      </c>
      <c r="R58" s="2">
        <v>1258</v>
      </c>
      <c r="S58" s="2">
        <v>223</v>
      </c>
      <c r="T58" s="2" t="s">
        <v>256</v>
      </c>
      <c r="V58" s="3">
        <v>46007</v>
      </c>
      <c r="W58" s="215">
        <v>1934</v>
      </c>
      <c r="X58" s="215">
        <v>108</v>
      </c>
      <c r="Y58" s="2" t="s">
        <v>256</v>
      </c>
      <c r="AA58" s="1">
        <v>46135</v>
      </c>
      <c r="AB58" s="2">
        <v>442</v>
      </c>
      <c r="AC58" s="2">
        <v>550</v>
      </c>
      <c r="AD58" s="2" t="s">
        <v>11</v>
      </c>
      <c r="AF58" s="3">
        <v>45912</v>
      </c>
      <c r="AH58" s="2">
        <v>247</v>
      </c>
      <c r="AI58" s="2" t="s">
        <v>261</v>
      </c>
      <c r="AK58" s="3">
        <v>45989</v>
      </c>
      <c r="AM58" s="2">
        <v>138</v>
      </c>
      <c r="AN58" s="2" t="s">
        <v>1</v>
      </c>
      <c r="AP58" s="3">
        <v>46139</v>
      </c>
      <c r="AR58" s="2">
        <v>132</v>
      </c>
    </row>
    <row r="59" spans="2:44">
      <c r="B59" s="1">
        <v>46168</v>
      </c>
      <c r="C59" s="2">
        <v>475</v>
      </c>
      <c r="D59" s="2">
        <v>513</v>
      </c>
      <c r="E59" s="2" t="s">
        <v>255</v>
      </c>
      <c r="G59" s="1">
        <v>45872</v>
      </c>
      <c r="H59" s="2">
        <v>374</v>
      </c>
      <c r="I59" s="2">
        <v>494</v>
      </c>
      <c r="J59" s="2" t="s">
        <v>11</v>
      </c>
      <c r="Q59" s="3">
        <v>46006</v>
      </c>
      <c r="R59" s="2">
        <v>1257</v>
      </c>
      <c r="S59" s="2">
        <v>233</v>
      </c>
      <c r="T59" s="2" t="s">
        <v>256</v>
      </c>
      <c r="V59" s="3">
        <v>46007</v>
      </c>
      <c r="W59" s="215">
        <v>1933</v>
      </c>
      <c r="X59" s="215">
        <v>117</v>
      </c>
      <c r="Y59" s="2" t="s">
        <v>256</v>
      </c>
      <c r="AA59" s="1">
        <v>46135</v>
      </c>
      <c r="AB59" s="2">
        <v>1164</v>
      </c>
      <c r="AC59" s="2">
        <v>567</v>
      </c>
      <c r="AD59" s="2" t="s">
        <v>11</v>
      </c>
      <c r="AF59" s="3">
        <v>45912</v>
      </c>
      <c r="AH59" s="2">
        <v>215</v>
      </c>
      <c r="AI59" s="2" t="s">
        <v>261</v>
      </c>
      <c r="AK59" s="3">
        <v>45989</v>
      </c>
      <c r="AM59" s="2">
        <v>147</v>
      </c>
      <c r="AN59" s="2" t="s">
        <v>1</v>
      </c>
      <c r="AP59" s="3">
        <v>46139</v>
      </c>
      <c r="AR59" s="2">
        <v>108</v>
      </c>
    </row>
    <row r="60" spans="2:44">
      <c r="B60" s="1">
        <v>46168</v>
      </c>
      <c r="C60" s="2">
        <v>424</v>
      </c>
      <c r="D60" s="2">
        <v>513</v>
      </c>
      <c r="E60" s="2" t="s">
        <v>255</v>
      </c>
      <c r="G60" s="1">
        <v>45872</v>
      </c>
      <c r="H60" s="2">
        <v>424</v>
      </c>
      <c r="I60" s="2">
        <v>523</v>
      </c>
      <c r="J60" s="2" t="s">
        <v>11</v>
      </c>
      <c r="Q60" s="3">
        <v>46006</v>
      </c>
      <c r="R60" s="2">
        <v>1256</v>
      </c>
      <c r="S60" s="2">
        <v>247</v>
      </c>
      <c r="T60" s="2" t="s">
        <v>256</v>
      </c>
      <c r="V60" s="3">
        <v>46007</v>
      </c>
      <c r="W60" s="215">
        <v>1932</v>
      </c>
      <c r="X60" s="215">
        <v>133</v>
      </c>
      <c r="Y60" s="2" t="s">
        <v>256</v>
      </c>
      <c r="AA60" s="1">
        <v>46135</v>
      </c>
      <c r="AB60" s="2">
        <v>608</v>
      </c>
      <c r="AC60" s="2">
        <v>602</v>
      </c>
      <c r="AD60" s="2" t="s">
        <v>11</v>
      </c>
      <c r="AF60" s="3">
        <v>45912</v>
      </c>
      <c r="AH60" s="2">
        <v>210</v>
      </c>
      <c r="AI60" s="2" t="s">
        <v>261</v>
      </c>
      <c r="AK60" s="3">
        <v>45989</v>
      </c>
      <c r="AM60" s="2">
        <v>183</v>
      </c>
      <c r="AN60" s="2" t="s">
        <v>1</v>
      </c>
      <c r="AP60" s="3">
        <v>46139</v>
      </c>
      <c r="AR60" s="2">
        <v>147</v>
      </c>
    </row>
    <row r="61" spans="2:44">
      <c r="B61" s="1">
        <v>46168</v>
      </c>
      <c r="C61" s="2">
        <v>413</v>
      </c>
      <c r="D61" s="2">
        <v>513</v>
      </c>
      <c r="E61" s="2" t="s">
        <v>255</v>
      </c>
      <c r="G61" s="1">
        <v>45872</v>
      </c>
      <c r="H61" s="2">
        <v>2049</v>
      </c>
      <c r="I61" s="2">
        <v>527</v>
      </c>
      <c r="J61" s="2" t="s">
        <v>11</v>
      </c>
      <c r="Q61" s="3">
        <v>46006</v>
      </c>
      <c r="R61" s="2">
        <v>1255</v>
      </c>
      <c r="S61" s="2">
        <v>195</v>
      </c>
      <c r="T61" s="2" t="s">
        <v>256</v>
      </c>
      <c r="V61" s="3">
        <v>46007</v>
      </c>
      <c r="W61" s="215">
        <v>1931</v>
      </c>
      <c r="X61" s="215">
        <v>101</v>
      </c>
      <c r="Y61" s="2" t="s">
        <v>256</v>
      </c>
      <c r="AA61" s="1">
        <v>46135</v>
      </c>
      <c r="AB61" s="2">
        <v>329</v>
      </c>
      <c r="AC61" s="2">
        <v>592</v>
      </c>
      <c r="AD61" s="2" t="s">
        <v>11</v>
      </c>
      <c r="AF61" s="3">
        <v>45912</v>
      </c>
      <c r="AH61" s="2">
        <v>218</v>
      </c>
      <c r="AI61" s="2" t="s">
        <v>261</v>
      </c>
      <c r="AK61" s="3">
        <v>45989</v>
      </c>
      <c r="AM61" s="2">
        <v>148</v>
      </c>
      <c r="AN61" s="2" t="s">
        <v>1</v>
      </c>
      <c r="AP61" s="3">
        <v>46139</v>
      </c>
      <c r="AR61" s="2">
        <v>150</v>
      </c>
    </row>
    <row r="62" spans="2:44">
      <c r="B62" s="1">
        <v>46168</v>
      </c>
      <c r="C62" s="2">
        <v>1223</v>
      </c>
      <c r="D62" s="2">
        <v>512</v>
      </c>
      <c r="E62" s="2" t="s">
        <v>255</v>
      </c>
      <c r="G62" s="1">
        <v>45872</v>
      </c>
      <c r="H62" s="2">
        <v>372</v>
      </c>
      <c r="I62" s="2">
        <v>528</v>
      </c>
      <c r="J62" s="2" t="s">
        <v>11</v>
      </c>
      <c r="Q62" s="3">
        <v>46006</v>
      </c>
      <c r="R62" s="2">
        <v>1254</v>
      </c>
      <c r="S62" s="2">
        <v>280</v>
      </c>
      <c r="T62" s="2" t="s">
        <v>256</v>
      </c>
      <c r="V62" s="3">
        <v>46007</v>
      </c>
      <c r="W62" s="215">
        <v>1930</v>
      </c>
      <c r="X62" s="215">
        <v>136</v>
      </c>
      <c r="Y62" s="2" t="s">
        <v>256</v>
      </c>
      <c r="AA62" s="1">
        <v>46135</v>
      </c>
      <c r="AB62" s="2">
        <v>952</v>
      </c>
      <c r="AC62" s="2">
        <v>564</v>
      </c>
      <c r="AD62" s="2" t="s">
        <v>11</v>
      </c>
      <c r="AF62" s="3">
        <v>45912</v>
      </c>
      <c r="AH62" s="2">
        <v>242</v>
      </c>
      <c r="AI62" s="2" t="s">
        <v>261</v>
      </c>
      <c r="AK62" s="3">
        <v>45989</v>
      </c>
      <c r="AM62" s="2">
        <v>153</v>
      </c>
      <c r="AN62" s="2" t="s">
        <v>1</v>
      </c>
      <c r="AP62" s="3">
        <v>46139</v>
      </c>
      <c r="AR62" s="2">
        <v>146</v>
      </c>
    </row>
    <row r="63" spans="2:44">
      <c r="B63" s="1">
        <v>46168</v>
      </c>
      <c r="C63" s="2">
        <v>1218</v>
      </c>
      <c r="D63" s="2">
        <v>512</v>
      </c>
      <c r="E63" s="2" t="s">
        <v>255</v>
      </c>
      <c r="G63" s="1">
        <v>45872</v>
      </c>
      <c r="H63" s="2">
        <v>7222</v>
      </c>
      <c r="I63" s="2">
        <v>490</v>
      </c>
      <c r="J63" s="2" t="s">
        <v>11</v>
      </c>
      <c r="Q63" s="3">
        <v>46006</v>
      </c>
      <c r="R63" s="2">
        <v>1253</v>
      </c>
      <c r="S63" s="2">
        <v>205</v>
      </c>
      <c r="T63" s="2" t="s">
        <v>256</v>
      </c>
      <c r="V63" s="3">
        <v>46007</v>
      </c>
      <c r="W63" s="215">
        <v>1929</v>
      </c>
      <c r="X63" s="215">
        <v>106</v>
      </c>
      <c r="Y63" s="2" t="s">
        <v>256</v>
      </c>
      <c r="AA63" s="1">
        <v>46135</v>
      </c>
      <c r="AB63" s="2">
        <v>1115</v>
      </c>
      <c r="AC63" s="2">
        <v>608</v>
      </c>
      <c r="AD63" s="2" t="s">
        <v>11</v>
      </c>
      <c r="AF63" s="3">
        <v>45912</v>
      </c>
      <c r="AH63" s="2">
        <v>181</v>
      </c>
      <c r="AI63" s="2" t="s">
        <v>261</v>
      </c>
      <c r="AK63" s="3">
        <v>45989</v>
      </c>
      <c r="AM63" s="2">
        <v>159</v>
      </c>
      <c r="AN63" s="2" t="s">
        <v>1</v>
      </c>
      <c r="AP63" s="3">
        <v>46139</v>
      </c>
      <c r="AR63" s="2">
        <v>147</v>
      </c>
    </row>
    <row r="64" spans="2:44">
      <c r="B64" s="1">
        <v>46168</v>
      </c>
      <c r="C64" s="2">
        <v>1210</v>
      </c>
      <c r="D64" s="2">
        <v>512</v>
      </c>
      <c r="E64" s="2" t="s">
        <v>255</v>
      </c>
      <c r="G64" s="1">
        <v>45872</v>
      </c>
      <c r="H64" s="2">
        <v>1218</v>
      </c>
      <c r="I64" s="2">
        <v>493</v>
      </c>
      <c r="J64" s="2" t="s">
        <v>11</v>
      </c>
      <c r="Q64" s="3">
        <v>46006</v>
      </c>
      <c r="R64" s="2">
        <v>1252</v>
      </c>
      <c r="S64" s="2">
        <v>230</v>
      </c>
      <c r="T64" s="2" t="s">
        <v>256</v>
      </c>
      <c r="V64" s="3">
        <v>46007</v>
      </c>
      <c r="W64" s="215">
        <v>1928</v>
      </c>
      <c r="X64" s="215">
        <v>140</v>
      </c>
      <c r="Y64" s="2" t="s">
        <v>256</v>
      </c>
      <c r="AA64" s="1">
        <v>46135</v>
      </c>
      <c r="AB64" s="2">
        <v>726</v>
      </c>
      <c r="AC64" s="2">
        <v>565</v>
      </c>
      <c r="AD64" s="2" t="s">
        <v>11</v>
      </c>
      <c r="AF64" s="3">
        <v>45912</v>
      </c>
      <c r="AH64" s="2">
        <v>205</v>
      </c>
      <c r="AI64" s="2" t="s">
        <v>261</v>
      </c>
      <c r="AK64" s="3">
        <v>45989</v>
      </c>
      <c r="AM64" s="2">
        <v>138</v>
      </c>
      <c r="AN64" s="2" t="s">
        <v>1</v>
      </c>
      <c r="AP64" s="3">
        <v>46139</v>
      </c>
      <c r="AR64" s="2">
        <v>159</v>
      </c>
    </row>
    <row r="65" spans="2:44">
      <c r="B65" s="1">
        <v>46168</v>
      </c>
      <c r="C65" s="2">
        <v>1180</v>
      </c>
      <c r="D65" s="2">
        <v>512</v>
      </c>
      <c r="E65" s="2" t="s">
        <v>255</v>
      </c>
      <c r="G65" s="1">
        <v>45872</v>
      </c>
      <c r="H65" s="2">
        <v>418</v>
      </c>
      <c r="I65" s="2">
        <v>540</v>
      </c>
      <c r="J65" s="2" t="s">
        <v>11</v>
      </c>
      <c r="Q65" s="3">
        <v>46006</v>
      </c>
      <c r="R65" s="2">
        <v>1250</v>
      </c>
      <c r="S65" s="2">
        <v>202</v>
      </c>
      <c r="T65" s="2" t="s">
        <v>256</v>
      </c>
      <c r="V65" s="3">
        <v>46007</v>
      </c>
      <c r="W65" s="215">
        <v>1927</v>
      </c>
      <c r="X65" s="215">
        <v>112</v>
      </c>
      <c r="Y65" s="2" t="s">
        <v>256</v>
      </c>
      <c r="AA65" s="1">
        <v>46135</v>
      </c>
      <c r="AB65" s="2" t="s">
        <v>257</v>
      </c>
      <c r="AC65" s="2">
        <v>591</v>
      </c>
      <c r="AD65" s="2" t="s">
        <v>11</v>
      </c>
      <c r="AF65" s="3">
        <v>45912</v>
      </c>
      <c r="AH65" s="2">
        <v>223</v>
      </c>
      <c r="AI65" s="2" t="s">
        <v>261</v>
      </c>
      <c r="AK65" s="3">
        <v>45989</v>
      </c>
      <c r="AM65" s="2">
        <v>174</v>
      </c>
      <c r="AN65" s="2" t="s">
        <v>1</v>
      </c>
      <c r="AP65" s="3">
        <v>46139</v>
      </c>
      <c r="AR65" s="2">
        <v>150</v>
      </c>
    </row>
    <row r="66" spans="2:44">
      <c r="B66" s="1">
        <v>46168</v>
      </c>
      <c r="C66" s="2">
        <v>1021</v>
      </c>
      <c r="D66" s="2">
        <v>512</v>
      </c>
      <c r="E66" s="2" t="s">
        <v>255</v>
      </c>
      <c r="G66" s="1">
        <v>45872</v>
      </c>
      <c r="H66" s="2">
        <v>1223</v>
      </c>
      <c r="I66" s="2">
        <v>510</v>
      </c>
      <c r="J66" s="2" t="s">
        <v>11</v>
      </c>
      <c r="Q66" s="3">
        <v>46006</v>
      </c>
      <c r="R66" s="2">
        <v>1249</v>
      </c>
      <c r="S66" s="2">
        <v>280</v>
      </c>
      <c r="T66" s="2" t="s">
        <v>256</v>
      </c>
      <c r="V66" s="3">
        <v>46007</v>
      </c>
      <c r="W66" s="215">
        <v>1926</v>
      </c>
      <c r="X66" s="215">
        <v>87</v>
      </c>
      <c r="Y66" s="2" t="s">
        <v>256</v>
      </c>
      <c r="AA66" s="1">
        <v>46135</v>
      </c>
      <c r="AB66" s="2">
        <v>1143</v>
      </c>
      <c r="AC66" s="2">
        <v>636</v>
      </c>
      <c r="AD66" s="2" t="s">
        <v>11</v>
      </c>
      <c r="AF66" s="3">
        <v>45912</v>
      </c>
      <c r="AH66" s="2">
        <v>139</v>
      </c>
      <c r="AI66" s="2" t="s">
        <v>261</v>
      </c>
      <c r="AK66" s="3">
        <v>45989</v>
      </c>
      <c r="AM66" s="2">
        <v>155</v>
      </c>
      <c r="AN66" s="2" t="s">
        <v>1</v>
      </c>
      <c r="AP66" s="3">
        <v>46139</v>
      </c>
      <c r="AR66" s="2">
        <v>119</v>
      </c>
    </row>
    <row r="67" spans="2:44">
      <c r="B67" s="1">
        <v>46168</v>
      </c>
      <c r="C67" s="2">
        <v>964</v>
      </c>
      <c r="D67" s="2">
        <v>512</v>
      </c>
      <c r="E67" s="2" t="s">
        <v>255</v>
      </c>
      <c r="G67" s="1">
        <v>45872</v>
      </c>
      <c r="H67" s="2">
        <v>3270</v>
      </c>
      <c r="I67" s="2">
        <v>519</v>
      </c>
      <c r="J67" s="2" t="s">
        <v>11</v>
      </c>
      <c r="Q67" s="3">
        <v>46006</v>
      </c>
      <c r="R67" s="2">
        <v>1247</v>
      </c>
      <c r="S67" s="2">
        <v>224</v>
      </c>
      <c r="T67" s="2" t="s">
        <v>256</v>
      </c>
      <c r="V67" s="3">
        <v>46007</v>
      </c>
      <c r="W67" s="215">
        <v>1925</v>
      </c>
      <c r="X67" s="215">
        <v>100</v>
      </c>
      <c r="Y67" s="2" t="s">
        <v>256</v>
      </c>
      <c r="AA67" s="1">
        <v>46135</v>
      </c>
      <c r="AB67" s="2">
        <v>361</v>
      </c>
      <c r="AC67" s="2">
        <v>578</v>
      </c>
      <c r="AD67" s="2" t="s">
        <v>11</v>
      </c>
      <c r="AF67" s="3">
        <v>45912</v>
      </c>
      <c r="AH67" s="2">
        <v>177</v>
      </c>
      <c r="AI67" s="2" t="s">
        <v>261</v>
      </c>
      <c r="AK67" s="3">
        <v>45989</v>
      </c>
      <c r="AM67" s="2">
        <v>144</v>
      </c>
      <c r="AN67" s="2" t="s">
        <v>1</v>
      </c>
      <c r="AP67" s="3">
        <v>46139</v>
      </c>
      <c r="AR67" s="2">
        <v>228</v>
      </c>
    </row>
    <row r="68" spans="2:44">
      <c r="B68" s="1">
        <v>46168</v>
      </c>
      <c r="C68" s="2">
        <v>949</v>
      </c>
      <c r="D68" s="2">
        <v>512</v>
      </c>
      <c r="E68" s="2" t="s">
        <v>255</v>
      </c>
      <c r="G68" s="1">
        <v>45872</v>
      </c>
      <c r="H68" s="2">
        <v>4475</v>
      </c>
      <c r="I68" s="2">
        <v>586</v>
      </c>
      <c r="J68" s="2" t="s">
        <v>11</v>
      </c>
      <c r="Q68" s="3">
        <v>46006</v>
      </c>
      <c r="R68" s="2">
        <v>1246</v>
      </c>
      <c r="S68" s="2">
        <v>244</v>
      </c>
      <c r="T68" s="2" t="s">
        <v>256</v>
      </c>
      <c r="V68" s="3">
        <v>46007</v>
      </c>
      <c r="W68" s="215">
        <v>1924</v>
      </c>
      <c r="X68" s="215">
        <v>100</v>
      </c>
      <c r="Y68" s="2" t="s">
        <v>256</v>
      </c>
      <c r="AA68" s="1">
        <v>46135</v>
      </c>
      <c r="AB68" s="2">
        <v>863</v>
      </c>
      <c r="AC68" s="2">
        <v>504</v>
      </c>
      <c r="AD68" s="2" t="s">
        <v>11</v>
      </c>
      <c r="AF68" s="3">
        <v>45912</v>
      </c>
      <c r="AH68" s="2">
        <v>216</v>
      </c>
      <c r="AI68" s="2" t="s">
        <v>261</v>
      </c>
      <c r="AK68" s="3">
        <v>45989</v>
      </c>
      <c r="AM68" s="2">
        <v>136</v>
      </c>
      <c r="AN68" s="2" t="s">
        <v>1</v>
      </c>
      <c r="AP68" s="3">
        <v>46139</v>
      </c>
      <c r="AR68" s="2">
        <v>143</v>
      </c>
    </row>
    <row r="69" spans="2:44">
      <c r="B69" s="1">
        <v>46168</v>
      </c>
      <c r="C69" s="2">
        <v>877</v>
      </c>
      <c r="D69" s="2">
        <v>512</v>
      </c>
      <c r="E69" s="2" t="s">
        <v>255</v>
      </c>
      <c r="G69" s="1">
        <v>45872</v>
      </c>
      <c r="H69" s="2">
        <v>555</v>
      </c>
      <c r="I69" s="2">
        <v>551</v>
      </c>
      <c r="J69" s="2" t="s">
        <v>11</v>
      </c>
      <c r="Q69" s="3">
        <v>46006</v>
      </c>
      <c r="R69" s="2">
        <v>1243</v>
      </c>
      <c r="S69" s="2">
        <v>181</v>
      </c>
      <c r="T69" s="2" t="s">
        <v>256</v>
      </c>
      <c r="V69" s="3">
        <v>46007</v>
      </c>
      <c r="W69" s="215">
        <v>1923</v>
      </c>
      <c r="X69" s="215">
        <v>124</v>
      </c>
      <c r="Y69" s="2" t="s">
        <v>256</v>
      </c>
      <c r="AA69" s="1">
        <v>46135</v>
      </c>
      <c r="AB69" s="2">
        <v>332</v>
      </c>
      <c r="AC69" s="2">
        <v>600</v>
      </c>
      <c r="AD69" s="2" t="s">
        <v>11</v>
      </c>
      <c r="AF69" s="3">
        <v>45912</v>
      </c>
      <c r="AH69" s="2">
        <v>229</v>
      </c>
      <c r="AI69" s="2" t="s">
        <v>261</v>
      </c>
      <c r="AK69" s="3">
        <v>45989</v>
      </c>
      <c r="AM69" s="2">
        <v>139</v>
      </c>
      <c r="AN69" s="2" t="s">
        <v>1</v>
      </c>
      <c r="AP69" s="3">
        <v>46139</v>
      </c>
      <c r="AR69" s="2">
        <v>134</v>
      </c>
    </row>
    <row r="70" spans="2:44">
      <c r="B70" s="1">
        <v>46168</v>
      </c>
      <c r="C70" s="2">
        <v>337</v>
      </c>
      <c r="D70" s="2">
        <v>512</v>
      </c>
      <c r="E70" s="2" t="s">
        <v>255</v>
      </c>
      <c r="G70" s="1">
        <v>45872</v>
      </c>
      <c r="H70" s="2">
        <v>1230</v>
      </c>
      <c r="I70" s="2">
        <v>512</v>
      </c>
      <c r="J70" s="2" t="s">
        <v>11</v>
      </c>
      <c r="Q70" s="3">
        <v>46006</v>
      </c>
      <c r="R70" s="2">
        <v>1237</v>
      </c>
      <c r="S70" s="2">
        <v>429</v>
      </c>
      <c r="T70" s="2" t="s">
        <v>256</v>
      </c>
      <c r="V70" s="3">
        <v>46007</v>
      </c>
      <c r="W70" s="215">
        <v>1922</v>
      </c>
      <c r="X70" s="215">
        <v>94</v>
      </c>
      <c r="Y70" s="2" t="s">
        <v>256</v>
      </c>
      <c r="AA70" s="1">
        <v>46135</v>
      </c>
      <c r="AB70" s="2" t="s">
        <v>257</v>
      </c>
      <c r="AC70" s="2">
        <v>633</v>
      </c>
      <c r="AD70" s="2" t="s">
        <v>11</v>
      </c>
      <c r="AF70" s="3">
        <v>45912</v>
      </c>
      <c r="AH70" s="2">
        <v>244</v>
      </c>
      <c r="AI70" s="2" t="s">
        <v>261</v>
      </c>
      <c r="AK70" s="3">
        <v>45989</v>
      </c>
      <c r="AM70" s="2">
        <v>157</v>
      </c>
      <c r="AN70" s="2" t="s">
        <v>1</v>
      </c>
      <c r="AP70" s="3">
        <v>46139</v>
      </c>
      <c r="AR70" s="2">
        <v>149</v>
      </c>
    </row>
    <row r="71" spans="2:44">
      <c r="B71" s="1">
        <v>46168</v>
      </c>
      <c r="C71" s="2">
        <v>976</v>
      </c>
      <c r="D71" s="2">
        <v>511</v>
      </c>
      <c r="E71" s="2" t="s">
        <v>255</v>
      </c>
      <c r="G71" s="1">
        <v>45872</v>
      </c>
      <c r="H71" s="2">
        <v>413</v>
      </c>
      <c r="I71" s="2">
        <v>513</v>
      </c>
      <c r="J71" s="2" t="s">
        <v>11</v>
      </c>
      <c r="Q71" s="3">
        <v>46006</v>
      </c>
      <c r="R71" s="2">
        <v>1201</v>
      </c>
      <c r="S71" s="2">
        <v>427</v>
      </c>
      <c r="T71" s="2" t="s">
        <v>256</v>
      </c>
      <c r="V71" s="3">
        <v>46007</v>
      </c>
      <c r="W71" s="215">
        <v>1921</v>
      </c>
      <c r="X71" s="215">
        <v>124</v>
      </c>
      <c r="Y71" s="2" t="s">
        <v>256</v>
      </c>
      <c r="AA71" s="1">
        <v>46135</v>
      </c>
      <c r="AB71" s="2">
        <v>649</v>
      </c>
      <c r="AC71" s="2">
        <v>555</v>
      </c>
      <c r="AD71" s="2" t="s">
        <v>11</v>
      </c>
      <c r="AF71" s="3">
        <v>45912</v>
      </c>
      <c r="AH71" s="2">
        <v>143</v>
      </c>
      <c r="AI71" s="2" t="s">
        <v>261</v>
      </c>
      <c r="AK71" s="3">
        <v>45989</v>
      </c>
      <c r="AM71" s="2">
        <v>141</v>
      </c>
      <c r="AN71" s="2" t="s">
        <v>1</v>
      </c>
      <c r="AP71" s="3">
        <v>46139</v>
      </c>
      <c r="AR71" s="2">
        <v>157</v>
      </c>
    </row>
    <row r="72" spans="2:44">
      <c r="B72" s="1">
        <v>46168</v>
      </c>
      <c r="C72" s="2">
        <v>407</v>
      </c>
      <c r="D72" s="2">
        <v>511</v>
      </c>
      <c r="E72" s="2" t="s">
        <v>255</v>
      </c>
      <c r="G72" s="1">
        <v>45872</v>
      </c>
      <c r="H72" s="2">
        <v>1193</v>
      </c>
      <c r="I72" s="2">
        <v>508</v>
      </c>
      <c r="J72" s="2" t="s">
        <v>11</v>
      </c>
      <c r="Q72" s="3">
        <v>46006</v>
      </c>
      <c r="R72" s="2">
        <v>1166</v>
      </c>
      <c r="S72" s="2">
        <v>461</v>
      </c>
      <c r="T72" s="2" t="s">
        <v>256</v>
      </c>
      <c r="V72" s="3">
        <v>46007</v>
      </c>
      <c r="W72" s="215">
        <v>1920</v>
      </c>
      <c r="X72" s="215">
        <v>152</v>
      </c>
      <c r="Y72" s="2" t="s">
        <v>256</v>
      </c>
      <c r="AA72" s="1">
        <v>46135</v>
      </c>
      <c r="AB72" s="2">
        <v>1010</v>
      </c>
      <c r="AC72" s="2">
        <v>579</v>
      </c>
      <c r="AD72" s="2" t="s">
        <v>11</v>
      </c>
      <c r="AF72" s="3">
        <v>45912</v>
      </c>
      <c r="AH72" s="2">
        <v>260</v>
      </c>
      <c r="AI72" s="2" t="s">
        <v>261</v>
      </c>
      <c r="AK72" s="3">
        <v>45989</v>
      </c>
      <c r="AM72" s="2">
        <v>153</v>
      </c>
      <c r="AN72" s="2" t="s">
        <v>1</v>
      </c>
      <c r="AP72" s="3">
        <v>46139</v>
      </c>
      <c r="AR72" s="2">
        <v>134</v>
      </c>
    </row>
    <row r="73" spans="2:44">
      <c r="B73" s="1">
        <v>46168</v>
      </c>
      <c r="C73" s="2">
        <v>480</v>
      </c>
      <c r="D73" s="2">
        <v>510</v>
      </c>
      <c r="E73" s="2" t="s">
        <v>255</v>
      </c>
      <c r="G73" s="1">
        <v>45872</v>
      </c>
      <c r="H73" s="2">
        <v>422</v>
      </c>
      <c r="I73" s="2">
        <v>508</v>
      </c>
      <c r="J73" s="2" t="s">
        <v>11</v>
      </c>
      <c r="Q73" s="3">
        <v>46006</v>
      </c>
      <c r="R73" s="2">
        <v>1149</v>
      </c>
      <c r="S73" s="2">
        <v>449</v>
      </c>
      <c r="T73" s="2" t="s">
        <v>256</v>
      </c>
      <c r="V73" s="3">
        <v>46007</v>
      </c>
      <c r="W73" s="215">
        <v>1919</v>
      </c>
      <c r="X73" s="215">
        <v>119</v>
      </c>
      <c r="Y73" s="2" t="s">
        <v>256</v>
      </c>
      <c r="AA73" s="1">
        <v>46135</v>
      </c>
      <c r="AB73" s="2">
        <v>1236</v>
      </c>
      <c r="AC73" s="2">
        <v>683</v>
      </c>
      <c r="AD73" s="2" t="s">
        <v>11</v>
      </c>
      <c r="AF73" s="3">
        <v>45912</v>
      </c>
      <c r="AH73" s="2">
        <v>216</v>
      </c>
      <c r="AI73" s="2" t="s">
        <v>261</v>
      </c>
      <c r="AK73" s="3">
        <v>45989</v>
      </c>
      <c r="AM73" s="2">
        <v>138</v>
      </c>
      <c r="AN73" s="2" t="s">
        <v>1</v>
      </c>
      <c r="AP73" s="3">
        <v>46139</v>
      </c>
      <c r="AR73" s="2">
        <v>161</v>
      </c>
    </row>
    <row r="74" spans="2:44">
      <c r="B74" s="1">
        <v>46168</v>
      </c>
      <c r="C74" s="2">
        <v>1230</v>
      </c>
      <c r="D74" s="2">
        <v>509</v>
      </c>
      <c r="E74" s="2" t="s">
        <v>255</v>
      </c>
      <c r="G74" s="1">
        <v>45872</v>
      </c>
      <c r="H74" s="2">
        <v>378</v>
      </c>
      <c r="I74" s="2">
        <v>538</v>
      </c>
      <c r="J74" s="2" t="s">
        <v>11</v>
      </c>
      <c r="Q74" s="3">
        <v>46006</v>
      </c>
      <c r="R74" s="2">
        <v>1146</v>
      </c>
      <c r="S74" s="2">
        <v>488</v>
      </c>
      <c r="T74" s="2" t="s">
        <v>256</v>
      </c>
      <c r="V74" s="3">
        <v>46007</v>
      </c>
      <c r="W74" s="215">
        <v>1918</v>
      </c>
      <c r="X74" s="215">
        <v>127</v>
      </c>
      <c r="Y74" s="2" t="s">
        <v>256</v>
      </c>
      <c r="AA74" s="1">
        <v>46135</v>
      </c>
      <c r="AB74" s="2">
        <v>918</v>
      </c>
      <c r="AC74" s="2">
        <v>553</v>
      </c>
      <c r="AD74" s="2" t="s">
        <v>11</v>
      </c>
      <c r="AF74" s="3">
        <v>45912</v>
      </c>
      <c r="AH74" s="2">
        <v>241</v>
      </c>
      <c r="AI74" s="2" t="s">
        <v>261</v>
      </c>
      <c r="AK74" s="3">
        <v>45989</v>
      </c>
      <c r="AM74" s="2">
        <v>159</v>
      </c>
      <c r="AN74" s="2" t="s">
        <v>1</v>
      </c>
      <c r="AP74" s="3">
        <v>46139</v>
      </c>
      <c r="AR74" s="2">
        <v>134</v>
      </c>
    </row>
    <row r="75" spans="2:44">
      <c r="B75" s="1">
        <v>46168</v>
      </c>
      <c r="C75" s="2">
        <v>461</v>
      </c>
      <c r="D75" s="2">
        <v>509</v>
      </c>
      <c r="E75" s="2" t="s">
        <v>255</v>
      </c>
      <c r="G75" s="1">
        <v>45872</v>
      </c>
      <c r="H75" s="2">
        <v>325</v>
      </c>
      <c r="I75" s="2">
        <v>535</v>
      </c>
      <c r="J75" s="2" t="s">
        <v>11</v>
      </c>
      <c r="Q75" s="3">
        <v>46006</v>
      </c>
      <c r="R75" s="2">
        <v>1145</v>
      </c>
      <c r="S75" s="2">
        <v>455</v>
      </c>
      <c r="T75" s="2" t="s">
        <v>256</v>
      </c>
      <c r="V75" s="3">
        <v>46007</v>
      </c>
      <c r="W75" s="215">
        <v>1917</v>
      </c>
      <c r="X75" s="215">
        <v>107</v>
      </c>
      <c r="Y75" s="2" t="s">
        <v>256</v>
      </c>
      <c r="AA75" s="1">
        <v>46135</v>
      </c>
      <c r="AB75" s="2">
        <v>1012</v>
      </c>
      <c r="AC75" s="2">
        <v>574</v>
      </c>
      <c r="AD75" s="2" t="s">
        <v>11</v>
      </c>
      <c r="AF75" s="3">
        <v>45912</v>
      </c>
      <c r="AH75" s="2">
        <v>184</v>
      </c>
      <c r="AI75" s="2" t="s">
        <v>261</v>
      </c>
      <c r="AK75" s="3">
        <v>45989</v>
      </c>
      <c r="AM75" s="2">
        <v>123</v>
      </c>
      <c r="AN75" s="2" t="s">
        <v>1</v>
      </c>
      <c r="AP75" s="3">
        <v>46139</v>
      </c>
      <c r="AR75" s="2">
        <v>127</v>
      </c>
    </row>
    <row r="76" spans="2:44">
      <c r="B76" s="1">
        <v>46168</v>
      </c>
      <c r="C76" s="2">
        <v>438</v>
      </c>
      <c r="D76" s="2">
        <v>509</v>
      </c>
      <c r="E76" s="2" t="s">
        <v>255</v>
      </c>
      <c r="G76" s="1">
        <v>45872</v>
      </c>
      <c r="H76" s="2">
        <v>1183</v>
      </c>
      <c r="I76" s="2">
        <v>504</v>
      </c>
      <c r="J76" s="2" t="s">
        <v>11</v>
      </c>
      <c r="Q76" s="3">
        <v>46006</v>
      </c>
      <c r="R76" s="2">
        <v>1085</v>
      </c>
      <c r="S76" s="2">
        <v>309</v>
      </c>
      <c r="T76" s="2" t="s">
        <v>256</v>
      </c>
      <c r="V76" s="3">
        <v>46007</v>
      </c>
      <c r="W76" s="215">
        <v>1916</v>
      </c>
      <c r="X76" s="215">
        <v>124</v>
      </c>
      <c r="Y76" s="2" t="s">
        <v>256</v>
      </c>
      <c r="AA76" s="1">
        <v>46135</v>
      </c>
      <c r="AB76" s="2">
        <v>871</v>
      </c>
      <c r="AC76" s="2">
        <v>581</v>
      </c>
      <c r="AD76" s="2" t="s">
        <v>11</v>
      </c>
      <c r="AF76" s="3">
        <v>45912</v>
      </c>
      <c r="AH76" s="2">
        <v>216</v>
      </c>
      <c r="AI76" s="2" t="s">
        <v>261</v>
      </c>
      <c r="AK76" s="3">
        <v>45989</v>
      </c>
      <c r="AM76" s="2">
        <v>137</v>
      </c>
      <c r="AN76" s="2" t="s">
        <v>1</v>
      </c>
      <c r="AP76" s="3">
        <v>46139</v>
      </c>
      <c r="AR76" s="2">
        <v>108</v>
      </c>
    </row>
    <row r="77" spans="2:44">
      <c r="B77" s="1">
        <v>46168</v>
      </c>
      <c r="C77" s="2">
        <v>411</v>
      </c>
      <c r="D77" s="2">
        <v>509</v>
      </c>
      <c r="E77" s="2" t="s">
        <v>255</v>
      </c>
      <c r="G77" s="1">
        <v>45872</v>
      </c>
      <c r="H77" s="2">
        <v>826</v>
      </c>
      <c r="I77" s="2">
        <v>520</v>
      </c>
      <c r="J77" s="2" t="s">
        <v>11</v>
      </c>
      <c r="Q77" s="3">
        <v>46006</v>
      </c>
      <c r="R77" s="2">
        <v>1074</v>
      </c>
      <c r="S77" s="2">
        <v>447</v>
      </c>
      <c r="T77" s="2" t="s">
        <v>256</v>
      </c>
      <c r="V77" s="3">
        <v>46007</v>
      </c>
      <c r="W77" s="215">
        <v>1915</v>
      </c>
      <c r="X77" s="215">
        <v>103</v>
      </c>
      <c r="Y77" s="2" t="s">
        <v>256</v>
      </c>
      <c r="AA77" s="1">
        <v>46135</v>
      </c>
      <c r="AB77" s="2">
        <v>1135</v>
      </c>
      <c r="AC77" s="2">
        <v>581</v>
      </c>
      <c r="AD77" s="2" t="s">
        <v>11</v>
      </c>
      <c r="AF77" s="3">
        <v>45912</v>
      </c>
      <c r="AH77" s="2">
        <v>220</v>
      </c>
      <c r="AI77" s="2" t="s">
        <v>261</v>
      </c>
      <c r="AK77" s="3">
        <v>45989</v>
      </c>
      <c r="AM77" s="2">
        <v>152</v>
      </c>
      <c r="AN77" s="2" t="s">
        <v>1</v>
      </c>
      <c r="AP77" s="3">
        <v>46139</v>
      </c>
      <c r="AR77" s="2">
        <v>128</v>
      </c>
    </row>
    <row r="78" spans="2:44">
      <c r="B78" s="1">
        <v>46168</v>
      </c>
      <c r="C78" s="2">
        <v>333</v>
      </c>
      <c r="D78" s="2">
        <v>509</v>
      </c>
      <c r="E78" s="2" t="s">
        <v>255</v>
      </c>
      <c r="G78" s="1">
        <v>45872</v>
      </c>
      <c r="H78" s="2">
        <v>1270</v>
      </c>
      <c r="I78" s="2">
        <v>492</v>
      </c>
      <c r="J78" s="2" t="s">
        <v>11</v>
      </c>
      <c r="Q78" s="3">
        <v>46006</v>
      </c>
      <c r="R78" s="2">
        <v>1058</v>
      </c>
      <c r="S78" s="2">
        <v>411</v>
      </c>
      <c r="T78" s="2" t="s">
        <v>256</v>
      </c>
      <c r="V78" s="3">
        <v>46007</v>
      </c>
      <c r="W78" s="215">
        <v>1914</v>
      </c>
      <c r="X78" s="215">
        <v>135</v>
      </c>
      <c r="Y78" s="2" t="s">
        <v>256</v>
      </c>
      <c r="AA78" s="1">
        <v>46135</v>
      </c>
      <c r="AB78" s="2">
        <v>487</v>
      </c>
      <c r="AC78" s="2">
        <v>588</v>
      </c>
      <c r="AD78" s="2" t="s">
        <v>11</v>
      </c>
      <c r="AF78" s="3">
        <v>45912</v>
      </c>
      <c r="AH78" s="2">
        <v>186</v>
      </c>
      <c r="AI78" s="2" t="s">
        <v>261</v>
      </c>
      <c r="AK78" s="3">
        <v>45989</v>
      </c>
      <c r="AM78" s="2">
        <v>134</v>
      </c>
      <c r="AN78" s="2" t="s">
        <v>1</v>
      </c>
      <c r="AP78" s="3">
        <v>46139</v>
      </c>
      <c r="AR78" s="2">
        <v>148</v>
      </c>
    </row>
    <row r="79" spans="2:44">
      <c r="B79" s="1">
        <v>46168</v>
      </c>
      <c r="C79" s="2">
        <v>387</v>
      </c>
      <c r="D79" s="2">
        <v>508</v>
      </c>
      <c r="E79" s="2" t="s">
        <v>255</v>
      </c>
      <c r="G79" s="1">
        <v>45872</v>
      </c>
      <c r="H79" s="2">
        <v>559</v>
      </c>
      <c r="I79" s="2">
        <v>571</v>
      </c>
      <c r="J79" s="2" t="s">
        <v>11</v>
      </c>
      <c r="Q79" s="3">
        <v>46006</v>
      </c>
      <c r="R79" s="2">
        <v>1052</v>
      </c>
      <c r="S79" s="2">
        <v>440</v>
      </c>
      <c r="T79" s="2" t="s">
        <v>256</v>
      </c>
      <c r="V79" s="3">
        <v>46007</v>
      </c>
      <c r="W79" s="215">
        <v>1913</v>
      </c>
      <c r="X79" s="215">
        <v>125</v>
      </c>
      <c r="Y79" s="2" t="s">
        <v>256</v>
      </c>
      <c r="AA79" s="1">
        <v>46135</v>
      </c>
      <c r="AB79" s="2">
        <v>908</v>
      </c>
      <c r="AC79" s="2">
        <v>623</v>
      </c>
      <c r="AD79" s="2" t="s">
        <v>11</v>
      </c>
      <c r="AF79" s="3">
        <v>45912</v>
      </c>
      <c r="AH79" s="2">
        <v>182</v>
      </c>
      <c r="AI79" s="2" t="s">
        <v>261</v>
      </c>
      <c r="AK79" s="3">
        <v>45989</v>
      </c>
      <c r="AM79" s="2">
        <v>162</v>
      </c>
      <c r="AN79" s="2" t="s">
        <v>1</v>
      </c>
      <c r="AP79" s="3">
        <v>46139</v>
      </c>
      <c r="AR79" s="2">
        <v>174</v>
      </c>
    </row>
    <row r="80" spans="2:44">
      <c r="B80" s="1">
        <v>46168</v>
      </c>
      <c r="C80" s="2">
        <v>373</v>
      </c>
      <c r="D80" s="2">
        <v>508</v>
      </c>
      <c r="E80" s="2" t="s">
        <v>255</v>
      </c>
      <c r="G80" s="1">
        <v>45872</v>
      </c>
      <c r="H80" s="2">
        <v>1176</v>
      </c>
      <c r="I80" s="2">
        <v>510</v>
      </c>
      <c r="J80" s="2" t="s">
        <v>11</v>
      </c>
      <c r="Q80" s="3">
        <v>46006</v>
      </c>
      <c r="R80" s="2">
        <v>1045</v>
      </c>
      <c r="S80" s="2">
        <v>439</v>
      </c>
      <c r="T80" s="2" t="s">
        <v>256</v>
      </c>
      <c r="V80" s="3">
        <v>46007</v>
      </c>
      <c r="W80" s="215">
        <v>1912</v>
      </c>
      <c r="X80" s="215">
        <v>135</v>
      </c>
      <c r="Y80" s="2" t="s">
        <v>256</v>
      </c>
      <c r="AA80" s="1">
        <v>46135</v>
      </c>
      <c r="AB80" s="2">
        <v>504</v>
      </c>
      <c r="AC80" s="2">
        <v>568</v>
      </c>
      <c r="AD80" s="2" t="s">
        <v>11</v>
      </c>
      <c r="AF80" s="3">
        <v>45912</v>
      </c>
      <c r="AH80" s="2">
        <v>189</v>
      </c>
      <c r="AI80" s="2" t="s">
        <v>261</v>
      </c>
      <c r="AK80" s="3">
        <v>45989</v>
      </c>
      <c r="AM80" s="2">
        <v>113</v>
      </c>
      <c r="AN80" s="2" t="s">
        <v>1</v>
      </c>
      <c r="AP80" s="3">
        <v>46139</v>
      </c>
      <c r="AR80" s="2">
        <v>127</v>
      </c>
    </row>
    <row r="81" spans="2:44">
      <c r="B81" s="1">
        <v>46168</v>
      </c>
      <c r="C81" s="2">
        <v>1193</v>
      </c>
      <c r="D81" s="2">
        <v>507</v>
      </c>
      <c r="E81" s="2" t="s">
        <v>255</v>
      </c>
      <c r="G81" s="1">
        <v>45872</v>
      </c>
      <c r="H81" s="2">
        <v>554</v>
      </c>
      <c r="I81" s="2">
        <v>531</v>
      </c>
      <c r="J81" s="2" t="s">
        <v>11</v>
      </c>
      <c r="Q81" s="3">
        <v>46006</v>
      </c>
      <c r="R81" s="2">
        <v>1036</v>
      </c>
      <c r="S81" s="2">
        <v>411</v>
      </c>
      <c r="T81" s="2" t="s">
        <v>256</v>
      </c>
      <c r="V81" s="3">
        <v>46007</v>
      </c>
      <c r="W81" s="215">
        <v>1911</v>
      </c>
      <c r="X81" s="215">
        <v>129</v>
      </c>
      <c r="Y81" s="2" t="s">
        <v>256</v>
      </c>
      <c r="AA81" s="1">
        <v>46135</v>
      </c>
      <c r="AB81" s="2">
        <v>502</v>
      </c>
      <c r="AC81" s="2">
        <v>559</v>
      </c>
      <c r="AD81" s="2" t="s">
        <v>11</v>
      </c>
      <c r="AF81" s="3">
        <v>45912</v>
      </c>
      <c r="AH81" s="2">
        <v>255</v>
      </c>
      <c r="AI81" s="2" t="s">
        <v>261</v>
      </c>
      <c r="AK81" s="3">
        <v>45989</v>
      </c>
      <c r="AM81" s="2">
        <v>133</v>
      </c>
      <c r="AN81" s="2" t="s">
        <v>1</v>
      </c>
      <c r="AP81" s="3">
        <v>46139</v>
      </c>
      <c r="AR81" s="2">
        <v>119</v>
      </c>
    </row>
    <row r="82" spans="2:44">
      <c r="B82" s="1">
        <v>46168</v>
      </c>
      <c r="C82" s="2">
        <v>540</v>
      </c>
      <c r="D82" s="2">
        <v>507</v>
      </c>
      <c r="E82" s="2" t="s">
        <v>255</v>
      </c>
      <c r="G82" s="1">
        <v>45872</v>
      </c>
      <c r="H82" s="2">
        <v>832</v>
      </c>
      <c r="I82" s="2">
        <v>511</v>
      </c>
      <c r="J82" s="2" t="s">
        <v>11</v>
      </c>
      <c r="Q82" s="3">
        <v>46006</v>
      </c>
      <c r="R82" s="2">
        <v>1029</v>
      </c>
      <c r="S82" s="2">
        <v>434</v>
      </c>
      <c r="T82" s="2" t="s">
        <v>256</v>
      </c>
      <c r="V82" s="3">
        <v>46007</v>
      </c>
      <c r="W82" s="215">
        <v>1910</v>
      </c>
      <c r="X82" s="215">
        <v>154</v>
      </c>
      <c r="Y82" s="2" t="s">
        <v>256</v>
      </c>
      <c r="AA82" s="1">
        <v>46135</v>
      </c>
      <c r="AB82" s="2">
        <v>1186</v>
      </c>
      <c r="AC82" s="2">
        <v>588</v>
      </c>
      <c r="AD82" s="2" t="s">
        <v>11</v>
      </c>
      <c r="AF82" s="3">
        <v>45912</v>
      </c>
      <c r="AH82" s="2">
        <v>135</v>
      </c>
      <c r="AI82" s="2" t="s">
        <v>261</v>
      </c>
      <c r="AK82" s="3">
        <v>45989</v>
      </c>
      <c r="AM82" s="2">
        <v>127</v>
      </c>
      <c r="AN82" s="2" t="s">
        <v>1</v>
      </c>
      <c r="AP82" s="3">
        <v>46139</v>
      </c>
      <c r="AR82" s="2">
        <v>107</v>
      </c>
    </row>
    <row r="83" spans="2:44">
      <c r="B83" s="1">
        <v>46168</v>
      </c>
      <c r="C83" s="2">
        <v>441</v>
      </c>
      <c r="D83" s="2">
        <v>507</v>
      </c>
      <c r="E83" s="2" t="s">
        <v>255</v>
      </c>
      <c r="G83" s="1">
        <v>45872</v>
      </c>
      <c r="H83" s="2">
        <v>1030</v>
      </c>
      <c r="I83" s="2">
        <v>489</v>
      </c>
      <c r="J83" s="2" t="s">
        <v>11</v>
      </c>
      <c r="Q83" s="3">
        <v>46006</v>
      </c>
      <c r="R83" s="2">
        <v>1022</v>
      </c>
      <c r="S83" s="2">
        <v>406</v>
      </c>
      <c r="T83" s="2" t="s">
        <v>256</v>
      </c>
      <c r="V83" s="3">
        <v>46007</v>
      </c>
      <c r="W83" s="215">
        <v>1909</v>
      </c>
      <c r="X83" s="215">
        <v>128</v>
      </c>
      <c r="Y83" s="2" t="s">
        <v>256</v>
      </c>
      <c r="AA83" s="1">
        <v>46135</v>
      </c>
      <c r="AB83" s="2">
        <v>437</v>
      </c>
      <c r="AC83" s="2">
        <v>563</v>
      </c>
      <c r="AD83" s="2" t="s">
        <v>11</v>
      </c>
      <c r="AF83" s="3">
        <v>45912</v>
      </c>
      <c r="AH83" s="2">
        <v>144</v>
      </c>
      <c r="AI83" s="2" t="s">
        <v>261</v>
      </c>
      <c r="AK83" s="3">
        <v>45989</v>
      </c>
      <c r="AM83" s="2">
        <v>139</v>
      </c>
      <c r="AN83" s="2" t="s">
        <v>1</v>
      </c>
      <c r="AP83" s="3">
        <v>46139</v>
      </c>
      <c r="AR83" s="2">
        <v>100</v>
      </c>
    </row>
    <row r="84" spans="2:44">
      <c r="B84" s="1">
        <v>46168</v>
      </c>
      <c r="C84" s="2">
        <v>357</v>
      </c>
      <c r="D84" s="2">
        <v>507</v>
      </c>
      <c r="E84" s="2" t="s">
        <v>255</v>
      </c>
      <c r="G84" s="1">
        <v>45872</v>
      </c>
      <c r="H84" s="2">
        <v>3409</v>
      </c>
      <c r="I84" s="2">
        <v>569</v>
      </c>
      <c r="J84" s="2" t="s">
        <v>11</v>
      </c>
      <c r="Q84" s="3">
        <v>46006</v>
      </c>
      <c r="R84" s="2">
        <v>1019</v>
      </c>
      <c r="S84" s="2">
        <v>478</v>
      </c>
      <c r="T84" s="2" t="s">
        <v>256</v>
      </c>
      <c r="V84" s="3">
        <v>46007</v>
      </c>
      <c r="W84" s="215">
        <v>1908</v>
      </c>
      <c r="X84" s="215">
        <v>165</v>
      </c>
      <c r="Y84" s="2" t="s">
        <v>256</v>
      </c>
      <c r="AF84" s="3">
        <v>45912</v>
      </c>
      <c r="AH84" s="2">
        <v>154</v>
      </c>
      <c r="AI84" s="2" t="s">
        <v>261</v>
      </c>
      <c r="AK84" s="3">
        <v>45989</v>
      </c>
      <c r="AM84" s="2">
        <v>157</v>
      </c>
      <c r="AN84" s="2" t="s">
        <v>1</v>
      </c>
      <c r="AP84" s="3">
        <v>46139</v>
      </c>
      <c r="AR84" s="2">
        <v>122</v>
      </c>
    </row>
    <row r="85" spans="2:44">
      <c r="B85" s="1">
        <v>46168</v>
      </c>
      <c r="C85" s="2">
        <v>483</v>
      </c>
      <c r="D85" s="2">
        <v>506</v>
      </c>
      <c r="E85" s="2" t="s">
        <v>255</v>
      </c>
      <c r="G85" s="1">
        <v>45872</v>
      </c>
      <c r="H85" s="2">
        <v>358</v>
      </c>
      <c r="I85" s="2">
        <v>503</v>
      </c>
      <c r="J85" s="2" t="s">
        <v>11</v>
      </c>
      <c r="Q85" s="3">
        <v>46006</v>
      </c>
      <c r="R85" s="2">
        <v>1017</v>
      </c>
      <c r="S85" s="2">
        <v>453</v>
      </c>
      <c r="T85" s="2" t="s">
        <v>256</v>
      </c>
      <c r="V85" s="3">
        <v>46007</v>
      </c>
      <c r="W85" s="215">
        <v>1907</v>
      </c>
      <c r="X85" s="215">
        <v>121</v>
      </c>
      <c r="Y85" s="2" t="s">
        <v>256</v>
      </c>
      <c r="AF85" s="3">
        <v>45912</v>
      </c>
      <c r="AH85" s="2">
        <v>106</v>
      </c>
      <c r="AI85" s="2" t="s">
        <v>261</v>
      </c>
      <c r="AK85" s="3">
        <v>45989</v>
      </c>
      <c r="AM85" s="2">
        <v>140</v>
      </c>
      <c r="AN85" s="2" t="s">
        <v>1</v>
      </c>
      <c r="AP85" s="3">
        <v>46139</v>
      </c>
      <c r="AR85" s="2">
        <v>136</v>
      </c>
    </row>
    <row r="86" spans="2:44">
      <c r="B86" s="1">
        <v>46168</v>
      </c>
      <c r="C86" s="2">
        <v>1212</v>
      </c>
      <c r="D86" s="2">
        <v>505</v>
      </c>
      <c r="E86" s="2" t="s">
        <v>255</v>
      </c>
      <c r="G86" s="1">
        <v>45872</v>
      </c>
      <c r="H86" s="2">
        <v>438</v>
      </c>
      <c r="I86" s="2">
        <v>524</v>
      </c>
      <c r="J86" s="2" t="s">
        <v>11</v>
      </c>
      <c r="Q86" s="3">
        <v>46006</v>
      </c>
      <c r="R86" s="2">
        <v>1013</v>
      </c>
      <c r="S86" s="2">
        <v>451</v>
      </c>
      <c r="T86" s="2" t="s">
        <v>256</v>
      </c>
      <c r="V86" s="3">
        <v>46007</v>
      </c>
      <c r="W86" s="215">
        <v>1906</v>
      </c>
      <c r="X86" s="215">
        <v>152</v>
      </c>
      <c r="Y86" s="2" t="s">
        <v>256</v>
      </c>
      <c r="AC86" s="2"/>
      <c r="AF86" s="3">
        <v>45912</v>
      </c>
      <c r="AH86" s="2">
        <v>238</v>
      </c>
      <c r="AI86" s="2" t="s">
        <v>261</v>
      </c>
      <c r="AK86" s="3">
        <v>45989</v>
      </c>
      <c r="AM86" s="2">
        <v>168</v>
      </c>
      <c r="AN86" s="2" t="s">
        <v>1</v>
      </c>
      <c r="AP86" s="3">
        <v>46139</v>
      </c>
      <c r="AR86" s="2">
        <v>134</v>
      </c>
    </row>
    <row r="87" spans="2:44">
      <c r="B87" s="1">
        <v>46168</v>
      </c>
      <c r="C87" s="2">
        <v>358</v>
      </c>
      <c r="D87" s="2">
        <v>504</v>
      </c>
      <c r="E87" s="2" t="s">
        <v>255</v>
      </c>
      <c r="Q87" s="3">
        <v>46006</v>
      </c>
      <c r="R87" s="2">
        <v>1001</v>
      </c>
      <c r="S87" s="2">
        <v>385</v>
      </c>
      <c r="T87" s="2" t="s">
        <v>256</v>
      </c>
      <c r="V87" s="3">
        <v>46007</v>
      </c>
      <c r="W87" s="215">
        <v>1905</v>
      </c>
      <c r="X87" s="215">
        <v>194</v>
      </c>
      <c r="Y87" s="2" t="s">
        <v>256</v>
      </c>
      <c r="AF87" s="3">
        <v>45912</v>
      </c>
      <c r="AH87" s="2">
        <v>184</v>
      </c>
      <c r="AI87" s="2" t="s">
        <v>261</v>
      </c>
      <c r="AK87" s="3">
        <v>45989</v>
      </c>
      <c r="AM87" s="2">
        <v>158</v>
      </c>
      <c r="AN87" s="2" t="s">
        <v>1</v>
      </c>
      <c r="AP87" s="3">
        <v>46139</v>
      </c>
      <c r="AR87" s="2">
        <v>154</v>
      </c>
    </row>
    <row r="88" spans="2:44">
      <c r="B88" s="1">
        <v>46168</v>
      </c>
      <c r="C88" s="2">
        <v>1172</v>
      </c>
      <c r="D88" s="2">
        <v>503</v>
      </c>
      <c r="E88" s="2" t="s">
        <v>255</v>
      </c>
      <c r="Q88" s="3">
        <v>46006</v>
      </c>
      <c r="R88" s="2">
        <v>986</v>
      </c>
      <c r="S88" s="2">
        <v>410</v>
      </c>
      <c r="T88" s="2" t="s">
        <v>256</v>
      </c>
      <c r="V88" s="3">
        <v>46007</v>
      </c>
      <c r="W88" s="215">
        <v>1904</v>
      </c>
      <c r="X88" s="215">
        <v>134</v>
      </c>
      <c r="Y88" s="2" t="s">
        <v>256</v>
      </c>
      <c r="AF88" s="3">
        <v>45912</v>
      </c>
      <c r="AH88" s="2">
        <v>262</v>
      </c>
      <c r="AI88" s="2" t="s">
        <v>261</v>
      </c>
      <c r="AK88" s="3">
        <v>45989</v>
      </c>
      <c r="AM88" s="2">
        <v>132</v>
      </c>
      <c r="AN88" s="2" t="s">
        <v>1</v>
      </c>
      <c r="AP88" s="3">
        <v>46139</v>
      </c>
      <c r="AR88" s="2">
        <v>114</v>
      </c>
    </row>
    <row r="89" spans="2:44">
      <c r="B89" s="1">
        <v>46168</v>
      </c>
      <c r="C89" s="2">
        <v>1020</v>
      </c>
      <c r="D89" s="2">
        <v>503</v>
      </c>
      <c r="E89" s="2" t="s">
        <v>255</v>
      </c>
      <c r="Q89" s="3">
        <v>46006</v>
      </c>
      <c r="R89" s="2">
        <v>957</v>
      </c>
      <c r="S89" s="2">
        <v>414</v>
      </c>
      <c r="T89" s="2" t="s">
        <v>256</v>
      </c>
      <c r="V89" s="3">
        <v>46007</v>
      </c>
      <c r="W89" s="215">
        <v>1903</v>
      </c>
      <c r="X89" s="215">
        <v>161</v>
      </c>
      <c r="Y89" s="2" t="s">
        <v>256</v>
      </c>
      <c r="AF89" s="3">
        <v>45912</v>
      </c>
      <c r="AH89" s="2">
        <v>151</v>
      </c>
      <c r="AI89" s="2" t="s">
        <v>261</v>
      </c>
      <c r="AK89" s="3">
        <v>45989</v>
      </c>
      <c r="AM89" s="2">
        <v>127</v>
      </c>
      <c r="AN89" s="2" t="s">
        <v>1</v>
      </c>
      <c r="AP89" s="3">
        <v>46139</v>
      </c>
      <c r="AR89" s="2">
        <v>115</v>
      </c>
    </row>
    <row r="90" spans="2:44">
      <c r="B90" s="1">
        <v>46168</v>
      </c>
      <c r="C90" s="2">
        <v>737</v>
      </c>
      <c r="D90" s="2">
        <v>503</v>
      </c>
      <c r="E90" s="2" t="s">
        <v>255</v>
      </c>
      <c r="Q90" s="3">
        <v>46006</v>
      </c>
      <c r="R90" s="2">
        <v>956</v>
      </c>
      <c r="S90" s="2">
        <v>411</v>
      </c>
      <c r="T90" s="2" t="s">
        <v>256</v>
      </c>
      <c r="V90" s="3">
        <v>46007</v>
      </c>
      <c r="W90" s="215">
        <v>1902</v>
      </c>
      <c r="X90" s="215">
        <v>163</v>
      </c>
      <c r="Y90" s="2" t="s">
        <v>256</v>
      </c>
      <c r="AF90" s="3">
        <v>45912</v>
      </c>
      <c r="AH90" s="2">
        <v>197</v>
      </c>
      <c r="AI90" s="2" t="s">
        <v>261</v>
      </c>
      <c r="AK90" s="3">
        <v>45989</v>
      </c>
      <c r="AM90" s="2">
        <v>138</v>
      </c>
      <c r="AN90" s="2" t="s">
        <v>1</v>
      </c>
      <c r="AP90" s="3">
        <v>46139</v>
      </c>
      <c r="AR90" s="2">
        <v>123</v>
      </c>
    </row>
    <row r="91" spans="2:44">
      <c r="B91" s="1">
        <v>46168</v>
      </c>
      <c r="C91" s="2">
        <v>935</v>
      </c>
      <c r="D91" s="2">
        <v>502</v>
      </c>
      <c r="E91" s="2" t="s">
        <v>255</v>
      </c>
      <c r="Q91" s="3">
        <v>46006</v>
      </c>
      <c r="R91" s="2">
        <v>922</v>
      </c>
      <c r="S91" s="2">
        <v>450</v>
      </c>
      <c r="T91" s="2" t="s">
        <v>256</v>
      </c>
      <c r="V91" s="3">
        <v>46007</v>
      </c>
      <c r="W91" s="215">
        <v>1901</v>
      </c>
      <c r="X91" s="215">
        <v>156</v>
      </c>
      <c r="Y91" s="2" t="s">
        <v>256</v>
      </c>
      <c r="AF91" s="3">
        <v>45912</v>
      </c>
      <c r="AH91" s="2">
        <v>317</v>
      </c>
      <c r="AI91" s="2" t="s">
        <v>261</v>
      </c>
      <c r="AK91" s="3">
        <v>45989</v>
      </c>
      <c r="AM91" s="2">
        <v>161</v>
      </c>
      <c r="AN91" s="2" t="s">
        <v>1</v>
      </c>
      <c r="AP91" s="3">
        <v>46139</v>
      </c>
      <c r="AR91" s="2">
        <v>117</v>
      </c>
    </row>
    <row r="92" spans="2:44">
      <c r="B92" s="1">
        <v>46168</v>
      </c>
      <c r="C92" s="2">
        <v>867</v>
      </c>
      <c r="D92" s="2">
        <v>502</v>
      </c>
      <c r="E92" s="2" t="s">
        <v>255</v>
      </c>
      <c r="Q92" s="3">
        <v>46006</v>
      </c>
      <c r="R92" s="2">
        <v>910</v>
      </c>
      <c r="S92" s="2">
        <v>510</v>
      </c>
      <c r="T92" s="2" t="s">
        <v>256</v>
      </c>
      <c r="V92" s="3">
        <v>46007</v>
      </c>
      <c r="W92" s="215">
        <v>1900</v>
      </c>
      <c r="X92" s="215">
        <v>128</v>
      </c>
      <c r="Y92" s="2" t="s">
        <v>256</v>
      </c>
      <c r="AF92" s="3">
        <v>45912</v>
      </c>
      <c r="AH92" s="2">
        <v>298</v>
      </c>
      <c r="AI92" s="2" t="s">
        <v>261</v>
      </c>
      <c r="AK92" s="3">
        <v>45989</v>
      </c>
      <c r="AM92" s="2">
        <v>114</v>
      </c>
      <c r="AN92" s="2" t="s">
        <v>1</v>
      </c>
      <c r="AP92" s="3">
        <v>46139</v>
      </c>
      <c r="AR92" s="2">
        <v>151</v>
      </c>
    </row>
    <row r="93" spans="2:44">
      <c r="B93" s="1">
        <v>46168</v>
      </c>
      <c r="C93" s="2">
        <v>365</v>
      </c>
      <c r="D93" s="2">
        <v>502</v>
      </c>
      <c r="E93" s="2" t="s">
        <v>255</v>
      </c>
      <c r="Q93" s="3">
        <v>46006</v>
      </c>
      <c r="R93" s="2">
        <v>894</v>
      </c>
      <c r="S93" s="2">
        <v>534</v>
      </c>
      <c r="T93" s="2" t="s">
        <v>256</v>
      </c>
      <c r="V93" s="3">
        <v>46007</v>
      </c>
      <c r="W93" s="215">
        <v>1899</v>
      </c>
      <c r="X93" s="215">
        <v>151</v>
      </c>
      <c r="Y93" s="2" t="s">
        <v>256</v>
      </c>
      <c r="AF93" s="3">
        <v>45912</v>
      </c>
      <c r="AH93" s="2">
        <v>171</v>
      </c>
      <c r="AI93" s="2" t="s">
        <v>261</v>
      </c>
      <c r="AK93" s="3">
        <v>45989</v>
      </c>
      <c r="AM93" s="2">
        <v>168</v>
      </c>
      <c r="AN93" s="2" t="s">
        <v>1</v>
      </c>
      <c r="AP93" s="3">
        <v>46139</v>
      </c>
      <c r="AR93" s="2">
        <v>144</v>
      </c>
    </row>
    <row r="94" spans="2:44">
      <c r="B94" s="1">
        <v>46168</v>
      </c>
      <c r="C94" s="2">
        <v>614</v>
      </c>
      <c r="D94" s="2">
        <v>501</v>
      </c>
      <c r="E94" s="2" t="s">
        <v>255</v>
      </c>
      <c r="Q94" s="3">
        <v>46006</v>
      </c>
      <c r="R94" s="2">
        <v>888</v>
      </c>
      <c r="S94" s="2">
        <v>452</v>
      </c>
      <c r="T94" s="2" t="s">
        <v>256</v>
      </c>
      <c r="V94" s="3">
        <v>46007</v>
      </c>
      <c r="W94" s="215">
        <v>1898</v>
      </c>
      <c r="X94" s="215">
        <v>157</v>
      </c>
      <c r="Y94" s="2" t="s">
        <v>256</v>
      </c>
      <c r="AF94" s="3">
        <v>45912</v>
      </c>
      <c r="AH94" s="2">
        <v>258</v>
      </c>
      <c r="AI94" s="2" t="s">
        <v>261</v>
      </c>
      <c r="AK94" s="3">
        <v>45989</v>
      </c>
      <c r="AM94" s="2">
        <v>138</v>
      </c>
      <c r="AN94" s="2" t="s">
        <v>1</v>
      </c>
      <c r="AP94" s="3">
        <v>46139</v>
      </c>
      <c r="AR94" s="2">
        <v>120</v>
      </c>
    </row>
    <row r="95" spans="2:44">
      <c r="B95" s="1">
        <v>46168</v>
      </c>
      <c r="C95" s="2">
        <v>499</v>
      </c>
      <c r="D95" s="2">
        <v>501</v>
      </c>
      <c r="E95" s="2" t="s">
        <v>255</v>
      </c>
      <c r="Q95" s="3">
        <v>46006</v>
      </c>
      <c r="R95" s="2">
        <v>887</v>
      </c>
      <c r="S95" s="2">
        <v>447</v>
      </c>
      <c r="T95" s="2" t="s">
        <v>256</v>
      </c>
      <c r="V95" s="3">
        <v>46007</v>
      </c>
      <c r="W95" s="215">
        <v>1897</v>
      </c>
      <c r="X95" s="215">
        <v>146</v>
      </c>
      <c r="Y95" s="2" t="s">
        <v>256</v>
      </c>
      <c r="AF95" s="3">
        <v>45912</v>
      </c>
      <c r="AH95" s="2">
        <v>265</v>
      </c>
      <c r="AI95" s="2" t="s">
        <v>261</v>
      </c>
      <c r="AK95" s="3">
        <v>45989</v>
      </c>
      <c r="AM95" s="2">
        <v>120</v>
      </c>
      <c r="AN95" s="2" t="s">
        <v>1</v>
      </c>
      <c r="AP95" s="3">
        <v>46139</v>
      </c>
      <c r="AR95" s="2">
        <v>169</v>
      </c>
    </row>
    <row r="96" spans="2:44">
      <c r="B96" s="1">
        <v>46168</v>
      </c>
      <c r="C96" s="2">
        <v>1219</v>
      </c>
      <c r="D96" s="2">
        <v>500</v>
      </c>
      <c r="E96" s="2" t="s">
        <v>255</v>
      </c>
      <c r="Q96" s="3">
        <v>46006</v>
      </c>
      <c r="R96" s="2">
        <v>874</v>
      </c>
      <c r="S96" s="2">
        <v>416</v>
      </c>
      <c r="T96" s="2" t="s">
        <v>256</v>
      </c>
      <c r="V96" s="3">
        <v>46007</v>
      </c>
      <c r="W96" s="215">
        <v>1896</v>
      </c>
      <c r="X96" s="215">
        <v>170</v>
      </c>
      <c r="Y96" s="2" t="s">
        <v>256</v>
      </c>
      <c r="AF96" s="3">
        <v>45912</v>
      </c>
      <c r="AH96" s="2">
        <v>301</v>
      </c>
      <c r="AI96" s="2" t="s">
        <v>261</v>
      </c>
      <c r="AK96" s="3">
        <v>45989</v>
      </c>
      <c r="AM96" s="2">
        <v>140</v>
      </c>
      <c r="AN96" s="2" t="s">
        <v>1</v>
      </c>
      <c r="AP96" s="3">
        <v>46139</v>
      </c>
      <c r="AR96" s="2">
        <v>133</v>
      </c>
    </row>
    <row r="97" spans="2:44">
      <c r="B97" s="1">
        <v>46168</v>
      </c>
      <c r="C97" s="2">
        <v>1190</v>
      </c>
      <c r="D97" s="2">
        <v>500</v>
      </c>
      <c r="E97" s="2" t="s">
        <v>255</v>
      </c>
      <c r="Q97" s="3">
        <v>46006</v>
      </c>
      <c r="R97" s="2">
        <v>861</v>
      </c>
      <c r="S97" s="2">
        <v>442</v>
      </c>
      <c r="T97" s="2" t="s">
        <v>256</v>
      </c>
      <c r="V97" s="3">
        <v>46007</v>
      </c>
      <c r="W97" s="215">
        <v>1895</v>
      </c>
      <c r="X97" s="215">
        <v>150</v>
      </c>
      <c r="Y97" s="2" t="s">
        <v>256</v>
      </c>
      <c r="AF97" s="3">
        <v>45912</v>
      </c>
      <c r="AH97" s="2">
        <v>237</v>
      </c>
      <c r="AI97" s="2" t="s">
        <v>261</v>
      </c>
      <c r="AK97" s="3">
        <v>45989</v>
      </c>
      <c r="AM97" s="2">
        <v>130</v>
      </c>
      <c r="AN97" s="2" t="s">
        <v>1</v>
      </c>
      <c r="AP97" s="3">
        <v>46139</v>
      </c>
      <c r="AR97" s="2">
        <v>120</v>
      </c>
    </row>
    <row r="98" spans="2:44">
      <c r="B98" s="1">
        <v>46168</v>
      </c>
      <c r="C98" s="2">
        <v>1056</v>
      </c>
      <c r="D98" s="2">
        <v>500</v>
      </c>
      <c r="E98" s="2" t="s">
        <v>255</v>
      </c>
      <c r="Q98" s="3">
        <v>46006</v>
      </c>
      <c r="R98" s="2">
        <v>840</v>
      </c>
      <c r="S98" s="2">
        <v>477</v>
      </c>
      <c r="T98" s="2" t="s">
        <v>256</v>
      </c>
      <c r="V98" s="3">
        <v>46007</v>
      </c>
      <c r="W98" s="215">
        <v>1893</v>
      </c>
      <c r="X98" s="215">
        <v>184</v>
      </c>
      <c r="Y98" s="2" t="s">
        <v>256</v>
      </c>
      <c r="AF98" s="3">
        <v>45912</v>
      </c>
      <c r="AH98" s="2">
        <v>188</v>
      </c>
      <c r="AI98" s="2" t="s">
        <v>261</v>
      </c>
      <c r="AK98" s="3">
        <v>45989</v>
      </c>
      <c r="AM98" s="2">
        <v>159</v>
      </c>
      <c r="AN98" s="2" t="s">
        <v>1</v>
      </c>
      <c r="AP98" s="3">
        <v>46139</v>
      </c>
      <c r="AR98" s="2">
        <v>148</v>
      </c>
    </row>
    <row r="99" spans="2:44">
      <c r="B99" s="1">
        <v>46168</v>
      </c>
      <c r="C99" s="2">
        <v>983</v>
      </c>
      <c r="D99" s="2">
        <v>500</v>
      </c>
      <c r="E99" s="2" t="s">
        <v>255</v>
      </c>
      <c r="Q99" s="3">
        <v>46006</v>
      </c>
      <c r="R99" s="2">
        <v>827</v>
      </c>
      <c r="S99" s="2">
        <v>347</v>
      </c>
      <c r="T99" s="2" t="s">
        <v>256</v>
      </c>
      <c r="V99" s="3">
        <v>46007</v>
      </c>
      <c r="W99" s="215">
        <v>1892</v>
      </c>
      <c r="X99" s="215">
        <v>139</v>
      </c>
      <c r="Y99" s="2" t="s">
        <v>256</v>
      </c>
      <c r="AF99" s="3">
        <v>45912</v>
      </c>
      <c r="AH99" s="2">
        <v>190</v>
      </c>
      <c r="AI99" s="2" t="s">
        <v>261</v>
      </c>
      <c r="AK99" s="3">
        <v>45989</v>
      </c>
      <c r="AM99" s="2">
        <v>130</v>
      </c>
      <c r="AN99" s="2" t="s">
        <v>1</v>
      </c>
      <c r="AP99" s="3">
        <v>46139</v>
      </c>
      <c r="AR99" s="2">
        <v>147</v>
      </c>
    </row>
    <row r="100" spans="2:44">
      <c r="B100" s="1">
        <v>46168</v>
      </c>
      <c r="C100" s="2">
        <v>884</v>
      </c>
      <c r="D100" s="2">
        <v>500</v>
      </c>
      <c r="E100" s="2" t="s">
        <v>255</v>
      </c>
      <c r="Q100" s="3">
        <v>46006</v>
      </c>
      <c r="R100" s="2">
        <v>753</v>
      </c>
      <c r="S100" s="2">
        <v>464</v>
      </c>
      <c r="T100" s="2" t="s">
        <v>256</v>
      </c>
      <c r="V100" s="3">
        <v>46007</v>
      </c>
      <c r="W100" s="215">
        <v>1891</v>
      </c>
      <c r="X100" s="215">
        <v>161</v>
      </c>
      <c r="Y100" s="2" t="s">
        <v>256</v>
      </c>
      <c r="AF100" s="3">
        <v>45912</v>
      </c>
      <c r="AH100" s="2">
        <v>218</v>
      </c>
      <c r="AI100" s="2" t="s">
        <v>261</v>
      </c>
      <c r="AK100" s="3">
        <v>45989</v>
      </c>
      <c r="AM100" s="2">
        <v>152</v>
      </c>
      <c r="AN100" s="2" t="s">
        <v>1</v>
      </c>
      <c r="AP100" s="3">
        <v>46139</v>
      </c>
      <c r="AR100" s="2">
        <v>150</v>
      </c>
    </row>
    <row r="101" spans="2:44">
      <c r="B101" s="1">
        <v>46168</v>
      </c>
      <c r="C101" s="2">
        <v>751</v>
      </c>
      <c r="D101" s="2">
        <v>500</v>
      </c>
      <c r="E101" s="2" t="s">
        <v>255</v>
      </c>
      <c r="Q101" s="3">
        <v>46006</v>
      </c>
      <c r="R101" s="2">
        <v>746</v>
      </c>
      <c r="S101" s="2">
        <v>462</v>
      </c>
      <c r="T101" s="2" t="s">
        <v>256</v>
      </c>
      <c r="V101" s="3">
        <v>46007</v>
      </c>
      <c r="W101" s="215">
        <v>1890</v>
      </c>
      <c r="X101" s="215">
        <v>156</v>
      </c>
      <c r="Y101" s="2" t="s">
        <v>256</v>
      </c>
      <c r="AF101" s="3">
        <v>45912</v>
      </c>
      <c r="AH101" s="2">
        <v>182</v>
      </c>
      <c r="AI101" s="2" t="s">
        <v>261</v>
      </c>
      <c r="AK101" s="3">
        <v>45989</v>
      </c>
      <c r="AM101" s="2">
        <v>182</v>
      </c>
      <c r="AN101" s="2" t="s">
        <v>1</v>
      </c>
      <c r="AP101" s="3">
        <v>46139</v>
      </c>
      <c r="AR101" s="2">
        <v>156</v>
      </c>
    </row>
    <row r="102" spans="2:44">
      <c r="B102" s="1">
        <v>46168</v>
      </c>
      <c r="C102" s="2">
        <v>543</v>
      </c>
      <c r="D102" s="2">
        <v>500</v>
      </c>
      <c r="E102" s="2" t="s">
        <v>255</v>
      </c>
      <c r="Q102" s="3">
        <v>46006</v>
      </c>
      <c r="R102" s="2">
        <v>738</v>
      </c>
      <c r="S102" s="2">
        <v>360</v>
      </c>
      <c r="T102" s="2" t="s">
        <v>256</v>
      </c>
      <c r="V102" s="3">
        <v>46007</v>
      </c>
      <c r="W102" s="215">
        <v>1889</v>
      </c>
      <c r="X102" s="215">
        <v>169</v>
      </c>
      <c r="Y102" s="2" t="s">
        <v>256</v>
      </c>
      <c r="AF102" s="3">
        <v>45912</v>
      </c>
      <c r="AH102" s="2">
        <v>108</v>
      </c>
      <c r="AI102" s="2" t="s">
        <v>261</v>
      </c>
      <c r="AK102" s="3">
        <v>45989</v>
      </c>
      <c r="AM102" s="2">
        <v>194</v>
      </c>
      <c r="AN102" s="2" t="s">
        <v>1</v>
      </c>
      <c r="AP102" s="3">
        <v>46139</v>
      </c>
      <c r="AR102" s="2">
        <v>122</v>
      </c>
    </row>
    <row r="103" spans="2:44">
      <c r="B103" s="1">
        <v>46168</v>
      </c>
      <c r="C103" s="2">
        <v>334</v>
      </c>
      <c r="D103" s="2">
        <v>500</v>
      </c>
      <c r="E103" s="2" t="s">
        <v>255</v>
      </c>
      <c r="Q103" s="3">
        <v>46006</v>
      </c>
      <c r="R103" s="2">
        <v>736</v>
      </c>
      <c r="S103" s="2">
        <v>327</v>
      </c>
      <c r="T103" s="2" t="s">
        <v>256</v>
      </c>
      <c r="V103" s="3">
        <v>46007</v>
      </c>
      <c r="W103" s="215">
        <v>1888</v>
      </c>
      <c r="X103" s="215">
        <v>144</v>
      </c>
      <c r="Y103" s="2" t="s">
        <v>256</v>
      </c>
      <c r="AF103" s="3">
        <v>45912</v>
      </c>
      <c r="AH103" s="2">
        <v>225</v>
      </c>
      <c r="AI103" s="2" t="s">
        <v>261</v>
      </c>
      <c r="AK103" s="3">
        <v>45989</v>
      </c>
      <c r="AM103" s="2">
        <v>167</v>
      </c>
      <c r="AN103" s="2" t="s">
        <v>1</v>
      </c>
      <c r="AP103" s="3">
        <v>46139</v>
      </c>
      <c r="AR103" s="2">
        <v>132</v>
      </c>
    </row>
    <row r="104" spans="2:44">
      <c r="B104" s="1">
        <v>46168</v>
      </c>
      <c r="C104" s="2" t="s">
        <v>257</v>
      </c>
      <c r="D104" s="2">
        <v>500</v>
      </c>
      <c r="E104" s="2" t="s">
        <v>255</v>
      </c>
      <c r="Q104" s="3">
        <v>46006</v>
      </c>
      <c r="R104" s="2">
        <v>734</v>
      </c>
      <c r="S104" s="2">
        <v>372</v>
      </c>
      <c r="T104" s="2" t="s">
        <v>256</v>
      </c>
      <c r="V104" s="3">
        <v>46007</v>
      </c>
      <c r="W104" s="215">
        <v>1887</v>
      </c>
      <c r="X104" s="215">
        <v>131</v>
      </c>
      <c r="Y104" s="2" t="s">
        <v>256</v>
      </c>
      <c r="AF104" s="3">
        <v>45912</v>
      </c>
      <c r="AH104" s="2">
        <v>203</v>
      </c>
      <c r="AI104" s="2" t="s">
        <v>261</v>
      </c>
      <c r="AK104" s="3">
        <v>45989</v>
      </c>
      <c r="AM104" s="2">
        <v>203</v>
      </c>
      <c r="AN104" s="2" t="s">
        <v>1</v>
      </c>
      <c r="AP104" s="3">
        <v>46139</v>
      </c>
      <c r="AR104" s="2">
        <v>157</v>
      </c>
    </row>
    <row r="105" spans="2:44">
      <c r="B105" s="1">
        <v>46168</v>
      </c>
      <c r="C105" s="2" t="s">
        <v>257</v>
      </c>
      <c r="D105" s="2">
        <v>500</v>
      </c>
      <c r="E105" s="2" t="s">
        <v>255</v>
      </c>
      <c r="Q105" s="3">
        <v>46006</v>
      </c>
      <c r="R105" s="2">
        <v>699</v>
      </c>
      <c r="S105" s="2">
        <v>433</v>
      </c>
      <c r="T105" s="2" t="s">
        <v>256</v>
      </c>
      <c r="V105" s="3">
        <v>46007</v>
      </c>
      <c r="W105" s="215">
        <v>1886</v>
      </c>
      <c r="X105" s="215">
        <v>127</v>
      </c>
      <c r="Y105" s="2" t="s">
        <v>256</v>
      </c>
      <c r="AF105" s="3">
        <v>45912</v>
      </c>
      <c r="AH105" s="2">
        <v>256</v>
      </c>
      <c r="AI105" s="2" t="s">
        <v>261</v>
      </c>
      <c r="AK105" s="3">
        <v>45989</v>
      </c>
      <c r="AM105" s="2">
        <v>149</v>
      </c>
      <c r="AN105" s="2" t="s">
        <v>1</v>
      </c>
      <c r="AP105" s="3">
        <v>46139</v>
      </c>
      <c r="AR105" s="2">
        <v>115</v>
      </c>
    </row>
    <row r="106" spans="2:44">
      <c r="B106" s="1">
        <v>46168</v>
      </c>
      <c r="C106" s="2" t="s">
        <v>257</v>
      </c>
      <c r="D106" s="2">
        <v>500</v>
      </c>
      <c r="E106" s="2" t="s">
        <v>255</v>
      </c>
      <c r="Q106" s="3">
        <v>46006</v>
      </c>
      <c r="R106" s="2">
        <v>692</v>
      </c>
      <c r="S106" s="2">
        <v>456</v>
      </c>
      <c r="T106" s="2" t="s">
        <v>256</v>
      </c>
      <c r="V106" s="3">
        <v>46007</v>
      </c>
      <c r="W106" s="215">
        <v>1885</v>
      </c>
      <c r="X106" s="215">
        <v>130</v>
      </c>
      <c r="Y106" s="2" t="s">
        <v>256</v>
      </c>
      <c r="AF106" s="3">
        <v>45912</v>
      </c>
      <c r="AH106" s="2">
        <v>221</v>
      </c>
      <c r="AI106" s="2" t="s">
        <v>261</v>
      </c>
      <c r="AK106" s="3">
        <v>45989</v>
      </c>
      <c r="AM106" s="2">
        <v>160</v>
      </c>
      <c r="AN106" s="2" t="s">
        <v>1</v>
      </c>
      <c r="AP106" s="3">
        <v>46139</v>
      </c>
      <c r="AR106" s="2">
        <v>101</v>
      </c>
    </row>
    <row r="107" spans="2:44">
      <c r="B107" s="1">
        <v>46168</v>
      </c>
      <c r="C107" s="2" t="s">
        <v>257</v>
      </c>
      <c r="D107" s="2">
        <v>500</v>
      </c>
      <c r="E107" s="2" t="s">
        <v>255</v>
      </c>
      <c r="Q107" s="3">
        <v>46006</v>
      </c>
      <c r="R107" s="2">
        <v>690</v>
      </c>
      <c r="S107" s="2">
        <v>446</v>
      </c>
      <c r="T107" s="2" t="s">
        <v>256</v>
      </c>
      <c r="V107" s="3">
        <v>46007</v>
      </c>
      <c r="W107" s="215">
        <v>1884</v>
      </c>
      <c r="X107" s="215">
        <v>149</v>
      </c>
      <c r="Y107" s="2" t="s">
        <v>256</v>
      </c>
      <c r="AF107" s="3">
        <v>45912</v>
      </c>
      <c r="AH107" s="2">
        <v>179</v>
      </c>
      <c r="AI107" s="2" t="s">
        <v>261</v>
      </c>
      <c r="AK107" s="3">
        <v>45989</v>
      </c>
      <c r="AM107" s="2">
        <v>155</v>
      </c>
      <c r="AN107" s="2" t="s">
        <v>1</v>
      </c>
      <c r="AP107" s="3">
        <v>46139</v>
      </c>
      <c r="AR107" s="2">
        <v>159</v>
      </c>
    </row>
    <row r="108" spans="2:44">
      <c r="B108" s="1">
        <v>46168</v>
      </c>
      <c r="C108" s="2" t="s">
        <v>257</v>
      </c>
      <c r="D108" s="2">
        <v>500</v>
      </c>
      <c r="E108" s="2" t="s">
        <v>255</v>
      </c>
      <c r="Q108" s="3">
        <v>46006</v>
      </c>
      <c r="R108" s="2">
        <v>676</v>
      </c>
      <c r="S108" s="2">
        <v>501</v>
      </c>
      <c r="T108" s="2" t="s">
        <v>256</v>
      </c>
      <c r="V108" s="3">
        <v>46007</v>
      </c>
      <c r="W108" s="215">
        <v>1883</v>
      </c>
      <c r="X108" s="215">
        <v>145</v>
      </c>
      <c r="Y108" s="2" t="s">
        <v>256</v>
      </c>
      <c r="AF108" s="3">
        <v>45912</v>
      </c>
      <c r="AH108" s="2">
        <v>160</v>
      </c>
      <c r="AI108" s="2" t="s">
        <v>261</v>
      </c>
      <c r="AK108" s="3">
        <v>45989</v>
      </c>
      <c r="AM108" s="2">
        <v>156</v>
      </c>
      <c r="AN108" s="2" t="s">
        <v>1</v>
      </c>
      <c r="AP108" s="3">
        <v>46139</v>
      </c>
      <c r="AR108" s="2">
        <v>122</v>
      </c>
    </row>
    <row r="109" spans="2:44">
      <c r="B109" s="1">
        <v>46168</v>
      </c>
      <c r="C109" s="2" t="s">
        <v>257</v>
      </c>
      <c r="D109" s="2">
        <v>500</v>
      </c>
      <c r="E109" s="2" t="s">
        <v>255</v>
      </c>
      <c r="Q109" s="3">
        <v>46006</v>
      </c>
      <c r="R109" s="2">
        <v>655</v>
      </c>
      <c r="S109" s="2">
        <v>349</v>
      </c>
      <c r="T109" s="2" t="s">
        <v>256</v>
      </c>
      <c r="V109" s="3">
        <v>46007</v>
      </c>
      <c r="W109" s="215">
        <v>1882</v>
      </c>
      <c r="X109" s="215">
        <v>116</v>
      </c>
      <c r="Y109" s="2" t="s">
        <v>256</v>
      </c>
      <c r="AF109" s="3">
        <v>45912</v>
      </c>
      <c r="AH109" s="2">
        <v>193</v>
      </c>
      <c r="AI109" s="2" t="s">
        <v>261</v>
      </c>
      <c r="AK109" s="3">
        <v>45989</v>
      </c>
      <c r="AM109" s="2">
        <v>136</v>
      </c>
      <c r="AN109" s="2" t="s">
        <v>1</v>
      </c>
      <c r="AP109" s="3">
        <v>46139</v>
      </c>
      <c r="AR109" s="2">
        <v>142</v>
      </c>
    </row>
    <row r="110" spans="2:44">
      <c r="B110" s="1">
        <v>46168</v>
      </c>
      <c r="C110" s="2" t="s">
        <v>257</v>
      </c>
      <c r="D110" s="2">
        <v>500</v>
      </c>
      <c r="E110" s="2" t="s">
        <v>255</v>
      </c>
      <c r="Q110" s="3">
        <v>46006</v>
      </c>
      <c r="R110" s="2">
        <v>645</v>
      </c>
      <c r="S110" s="2">
        <v>452</v>
      </c>
      <c r="T110" s="2" t="s">
        <v>256</v>
      </c>
      <c r="V110" s="3">
        <v>46007</v>
      </c>
      <c r="W110" s="215">
        <v>1881</v>
      </c>
      <c r="X110" s="215">
        <v>165</v>
      </c>
      <c r="Y110" s="2" t="s">
        <v>256</v>
      </c>
      <c r="AF110" s="3">
        <v>45912</v>
      </c>
      <c r="AH110" s="2">
        <v>218</v>
      </c>
      <c r="AI110" s="2" t="s">
        <v>261</v>
      </c>
      <c r="AK110" s="3">
        <v>45989</v>
      </c>
      <c r="AM110" s="2">
        <v>157</v>
      </c>
      <c r="AN110" s="2" t="s">
        <v>1</v>
      </c>
      <c r="AP110" s="3">
        <v>46139</v>
      </c>
      <c r="AR110" s="2">
        <v>148</v>
      </c>
    </row>
    <row r="111" spans="2:44">
      <c r="B111" s="1">
        <v>46168</v>
      </c>
      <c r="C111" s="2" t="s">
        <v>257</v>
      </c>
      <c r="D111" s="2">
        <v>500</v>
      </c>
      <c r="E111" s="2" t="s">
        <v>255</v>
      </c>
      <c r="Q111" s="3">
        <v>46006</v>
      </c>
      <c r="R111" s="2">
        <v>630</v>
      </c>
      <c r="S111" s="2">
        <v>454</v>
      </c>
      <c r="T111" s="2" t="s">
        <v>256</v>
      </c>
      <c r="V111" s="3">
        <v>46007</v>
      </c>
      <c r="W111" s="215">
        <v>1880</v>
      </c>
      <c r="X111" s="215">
        <v>169</v>
      </c>
      <c r="Y111" s="2" t="s">
        <v>256</v>
      </c>
      <c r="AF111" s="3">
        <v>45912</v>
      </c>
      <c r="AH111" s="2">
        <v>286</v>
      </c>
      <c r="AI111" s="2" t="s">
        <v>261</v>
      </c>
      <c r="AK111" s="3">
        <v>45989</v>
      </c>
      <c r="AM111" s="2">
        <v>140</v>
      </c>
      <c r="AN111" s="2" t="s">
        <v>1</v>
      </c>
      <c r="AP111" s="3">
        <v>46139</v>
      </c>
      <c r="AR111" s="2">
        <v>108</v>
      </c>
    </row>
    <row r="112" spans="2:44">
      <c r="B112" s="1">
        <v>46168</v>
      </c>
      <c r="C112" s="2" t="s">
        <v>257</v>
      </c>
      <c r="D112" s="2">
        <v>500</v>
      </c>
      <c r="E112" s="2" t="s">
        <v>255</v>
      </c>
      <c r="Q112" s="3">
        <v>46006</v>
      </c>
      <c r="R112" s="2">
        <v>625</v>
      </c>
      <c r="S112" s="2">
        <v>451</v>
      </c>
      <c r="T112" s="2" t="s">
        <v>256</v>
      </c>
      <c r="V112" s="3">
        <v>46007</v>
      </c>
      <c r="W112" s="215">
        <v>1879</v>
      </c>
      <c r="X112" s="215">
        <v>154</v>
      </c>
      <c r="Y112" s="2" t="s">
        <v>256</v>
      </c>
      <c r="AF112" s="3">
        <v>45912</v>
      </c>
      <c r="AH112" s="2">
        <v>272</v>
      </c>
      <c r="AI112" s="2" t="s">
        <v>261</v>
      </c>
      <c r="AK112" s="3">
        <v>45989</v>
      </c>
      <c r="AM112" s="2">
        <v>156</v>
      </c>
      <c r="AN112" s="2" t="s">
        <v>1</v>
      </c>
      <c r="AP112" s="3">
        <v>46139</v>
      </c>
      <c r="AR112" s="2">
        <v>115</v>
      </c>
    </row>
    <row r="113" spans="2:44">
      <c r="B113" s="1">
        <v>46168</v>
      </c>
      <c r="C113" s="2" t="s">
        <v>257</v>
      </c>
      <c r="D113" s="2">
        <v>500</v>
      </c>
      <c r="E113" s="2" t="s">
        <v>255</v>
      </c>
      <c r="Q113" s="3">
        <v>46006</v>
      </c>
      <c r="R113" s="2">
        <v>617</v>
      </c>
      <c r="S113" s="2">
        <v>528</v>
      </c>
      <c r="T113" s="2" t="s">
        <v>256</v>
      </c>
      <c r="V113" s="3">
        <v>46007</v>
      </c>
      <c r="W113" s="215">
        <v>1878</v>
      </c>
      <c r="X113" s="215">
        <v>181</v>
      </c>
      <c r="Y113" s="2" t="s">
        <v>256</v>
      </c>
      <c r="AF113" s="3">
        <v>45912</v>
      </c>
      <c r="AH113" s="2">
        <v>249</v>
      </c>
      <c r="AI113" s="2" t="s">
        <v>261</v>
      </c>
      <c r="AK113" s="3">
        <v>45989</v>
      </c>
      <c r="AM113" s="2">
        <v>120</v>
      </c>
      <c r="AN113" s="2" t="s">
        <v>1</v>
      </c>
      <c r="AP113" s="3">
        <v>46139</v>
      </c>
      <c r="AR113" s="2">
        <v>93</v>
      </c>
    </row>
    <row r="114" spans="2:44">
      <c r="B114" s="1">
        <v>46168</v>
      </c>
      <c r="C114" s="2" t="s">
        <v>257</v>
      </c>
      <c r="D114" s="2">
        <v>500</v>
      </c>
      <c r="E114" s="2" t="s">
        <v>255</v>
      </c>
      <c r="Q114" s="3">
        <v>46006</v>
      </c>
      <c r="R114" s="2">
        <v>614</v>
      </c>
      <c r="S114" s="2">
        <v>532</v>
      </c>
      <c r="T114" s="2" t="s">
        <v>256</v>
      </c>
      <c r="V114" s="3">
        <v>46007</v>
      </c>
      <c r="W114" s="215">
        <v>1877</v>
      </c>
      <c r="X114" s="215">
        <v>144</v>
      </c>
      <c r="Y114" s="2" t="s">
        <v>256</v>
      </c>
      <c r="AF114" s="3">
        <v>45912</v>
      </c>
      <c r="AH114" s="2">
        <v>248</v>
      </c>
      <c r="AI114" s="2" t="s">
        <v>261</v>
      </c>
      <c r="AK114" s="3">
        <v>45989</v>
      </c>
      <c r="AM114" s="2">
        <v>131</v>
      </c>
      <c r="AN114" s="2" t="s">
        <v>1</v>
      </c>
      <c r="AP114" s="3">
        <v>46139</v>
      </c>
      <c r="AR114" s="2">
        <v>189</v>
      </c>
    </row>
    <row r="115" spans="2:44">
      <c r="B115" s="1">
        <v>46168</v>
      </c>
      <c r="C115" s="2" t="s">
        <v>257</v>
      </c>
      <c r="D115" s="2">
        <v>500</v>
      </c>
      <c r="E115" s="2" t="s">
        <v>255</v>
      </c>
      <c r="Q115" s="3">
        <v>46006</v>
      </c>
      <c r="R115" s="2">
        <v>603</v>
      </c>
      <c r="S115" s="2">
        <v>503</v>
      </c>
      <c r="T115" s="2" t="s">
        <v>256</v>
      </c>
      <c r="V115" s="3">
        <v>46007</v>
      </c>
      <c r="W115" s="215">
        <v>1876</v>
      </c>
      <c r="X115" s="215">
        <v>130</v>
      </c>
      <c r="Y115" s="2" t="s">
        <v>256</v>
      </c>
      <c r="AF115" s="3">
        <v>45912</v>
      </c>
      <c r="AH115" s="2">
        <v>178</v>
      </c>
      <c r="AI115" s="2" t="s">
        <v>261</v>
      </c>
      <c r="AK115" s="3">
        <v>45989</v>
      </c>
      <c r="AM115" s="2">
        <v>125</v>
      </c>
      <c r="AN115" s="2" t="s">
        <v>1</v>
      </c>
      <c r="AP115" s="3">
        <v>46139</v>
      </c>
      <c r="AR115" s="2">
        <v>151</v>
      </c>
    </row>
    <row r="116" spans="2:44">
      <c r="B116" s="1">
        <v>46168</v>
      </c>
      <c r="C116" s="2" t="s">
        <v>257</v>
      </c>
      <c r="D116" s="2">
        <v>500</v>
      </c>
      <c r="E116" s="2" t="s">
        <v>255</v>
      </c>
      <c r="Q116" s="3">
        <v>46006</v>
      </c>
      <c r="R116" s="2">
        <v>592</v>
      </c>
      <c r="S116" s="2">
        <v>460</v>
      </c>
      <c r="T116" s="2" t="s">
        <v>256</v>
      </c>
      <c r="V116" s="3">
        <v>46007</v>
      </c>
      <c r="W116" s="215">
        <v>1875</v>
      </c>
      <c r="X116" s="215">
        <v>136</v>
      </c>
      <c r="Y116" s="2" t="s">
        <v>256</v>
      </c>
      <c r="AF116" s="3">
        <v>45912</v>
      </c>
      <c r="AH116" s="2">
        <v>285</v>
      </c>
      <c r="AI116" s="2" t="s">
        <v>261</v>
      </c>
      <c r="AK116" s="3">
        <v>45989</v>
      </c>
      <c r="AM116" s="2">
        <v>157</v>
      </c>
      <c r="AN116" s="2" t="s">
        <v>1</v>
      </c>
      <c r="AP116" s="3">
        <v>46139</v>
      </c>
      <c r="AR116" s="2">
        <v>139</v>
      </c>
    </row>
    <row r="117" spans="2:44">
      <c r="B117" s="1">
        <v>46168</v>
      </c>
      <c r="C117" s="2" t="s">
        <v>257</v>
      </c>
      <c r="D117" s="2">
        <v>500</v>
      </c>
      <c r="E117" s="2" t="s">
        <v>255</v>
      </c>
      <c r="Q117" s="3">
        <v>46006</v>
      </c>
      <c r="R117" s="2">
        <v>577</v>
      </c>
      <c r="S117" s="2">
        <v>426</v>
      </c>
      <c r="T117" s="2" t="s">
        <v>256</v>
      </c>
      <c r="V117" s="3">
        <v>46007</v>
      </c>
      <c r="W117" s="215">
        <v>1874</v>
      </c>
      <c r="X117" s="215">
        <v>123</v>
      </c>
      <c r="Y117" s="2" t="s">
        <v>256</v>
      </c>
      <c r="AF117" s="3">
        <v>45912</v>
      </c>
      <c r="AH117" s="2">
        <v>211</v>
      </c>
      <c r="AI117" s="2" t="s">
        <v>261</v>
      </c>
      <c r="AK117" s="3">
        <v>45989</v>
      </c>
      <c r="AM117" s="2">
        <v>151</v>
      </c>
      <c r="AN117" s="2" t="s">
        <v>1</v>
      </c>
      <c r="AP117" s="3">
        <v>46139</v>
      </c>
      <c r="AR117" s="2">
        <v>122</v>
      </c>
    </row>
    <row r="118" spans="2:44">
      <c r="B118" s="1">
        <v>46168</v>
      </c>
      <c r="C118" s="2" t="s">
        <v>257</v>
      </c>
      <c r="D118" s="2">
        <v>500</v>
      </c>
      <c r="E118" s="2" t="s">
        <v>255</v>
      </c>
      <c r="Q118" s="3">
        <v>46006</v>
      </c>
      <c r="R118" s="2">
        <v>565</v>
      </c>
      <c r="S118" s="2">
        <v>350</v>
      </c>
      <c r="T118" s="2" t="s">
        <v>256</v>
      </c>
      <c r="V118" s="3">
        <v>46007</v>
      </c>
      <c r="W118" s="215">
        <v>1873</v>
      </c>
      <c r="X118" s="215">
        <v>135</v>
      </c>
      <c r="Y118" s="2" t="s">
        <v>256</v>
      </c>
      <c r="AF118" s="3">
        <v>45912</v>
      </c>
      <c r="AH118" s="2">
        <v>235</v>
      </c>
      <c r="AI118" s="2" t="s">
        <v>261</v>
      </c>
      <c r="AK118" s="3">
        <v>45989</v>
      </c>
      <c r="AM118" s="2">
        <v>160</v>
      </c>
      <c r="AN118" s="2" t="s">
        <v>1</v>
      </c>
      <c r="AP118" s="3">
        <v>46139</v>
      </c>
      <c r="AR118" s="2">
        <v>107</v>
      </c>
    </row>
    <row r="119" spans="2:44">
      <c r="B119" s="1">
        <v>46168</v>
      </c>
      <c r="C119" s="2" t="s">
        <v>257</v>
      </c>
      <c r="D119" s="2">
        <v>500</v>
      </c>
      <c r="E119" s="2" t="s">
        <v>255</v>
      </c>
      <c r="Q119" s="3">
        <v>46006</v>
      </c>
      <c r="R119" s="2">
        <v>546</v>
      </c>
      <c r="S119" s="2">
        <v>523</v>
      </c>
      <c r="T119" s="2" t="s">
        <v>256</v>
      </c>
      <c r="V119" s="3">
        <v>46007</v>
      </c>
      <c r="W119" s="215">
        <v>1872</v>
      </c>
      <c r="X119" s="215">
        <v>156</v>
      </c>
      <c r="Y119" s="2" t="s">
        <v>256</v>
      </c>
      <c r="AF119" s="3">
        <v>45912</v>
      </c>
      <c r="AH119" s="2">
        <v>193</v>
      </c>
      <c r="AI119" s="2" t="s">
        <v>261</v>
      </c>
      <c r="AK119" s="3">
        <v>45989</v>
      </c>
      <c r="AM119" s="2">
        <v>130</v>
      </c>
      <c r="AN119" s="2" t="s">
        <v>1</v>
      </c>
      <c r="AP119" s="3">
        <v>46139</v>
      </c>
      <c r="AR119" s="2">
        <v>151</v>
      </c>
    </row>
    <row r="120" spans="2:44">
      <c r="B120" s="1">
        <v>46168</v>
      </c>
      <c r="C120" s="2">
        <v>1215</v>
      </c>
      <c r="D120" s="2">
        <v>499</v>
      </c>
      <c r="E120" s="2" t="s">
        <v>255</v>
      </c>
      <c r="Q120" s="3">
        <v>46006</v>
      </c>
      <c r="R120" s="2">
        <v>543</v>
      </c>
      <c r="S120" s="2">
        <v>540</v>
      </c>
      <c r="T120" s="2" t="s">
        <v>256</v>
      </c>
      <c r="V120" s="3">
        <v>46007</v>
      </c>
      <c r="W120" s="215">
        <v>1871</v>
      </c>
      <c r="X120" s="215">
        <v>160</v>
      </c>
      <c r="Y120" s="2" t="s">
        <v>256</v>
      </c>
      <c r="AF120" s="3">
        <v>45912</v>
      </c>
      <c r="AH120" s="2">
        <v>137</v>
      </c>
      <c r="AI120" s="2" t="s">
        <v>261</v>
      </c>
      <c r="AK120" s="3">
        <v>45989</v>
      </c>
      <c r="AM120" s="2">
        <v>132</v>
      </c>
      <c r="AN120" s="2" t="s">
        <v>1</v>
      </c>
      <c r="AP120" s="3">
        <v>46139</v>
      </c>
      <c r="AR120" s="2">
        <v>138</v>
      </c>
    </row>
    <row r="121" spans="2:44">
      <c r="B121" s="1">
        <v>46168</v>
      </c>
      <c r="C121" s="2">
        <v>619</v>
      </c>
      <c r="D121" s="2">
        <v>499</v>
      </c>
      <c r="E121" s="2" t="s">
        <v>255</v>
      </c>
      <c r="Q121" s="3">
        <v>46006</v>
      </c>
      <c r="R121" s="2">
        <v>539</v>
      </c>
      <c r="S121" s="2">
        <v>390</v>
      </c>
      <c r="T121" s="2" t="s">
        <v>256</v>
      </c>
      <c r="V121" s="3">
        <v>46007</v>
      </c>
      <c r="W121" s="215">
        <v>1870</v>
      </c>
      <c r="X121" s="215">
        <v>124</v>
      </c>
      <c r="Y121" s="2" t="s">
        <v>256</v>
      </c>
      <c r="AF121" s="3">
        <v>45912</v>
      </c>
      <c r="AH121" s="2">
        <v>157</v>
      </c>
      <c r="AI121" s="2" t="s">
        <v>261</v>
      </c>
      <c r="AK121" s="3">
        <v>45989</v>
      </c>
      <c r="AM121" s="2">
        <v>168</v>
      </c>
      <c r="AN121" s="2" t="s">
        <v>1</v>
      </c>
      <c r="AP121" s="3">
        <v>46139</v>
      </c>
      <c r="AR121" s="2">
        <v>124</v>
      </c>
    </row>
    <row r="122" spans="2:44">
      <c r="B122" s="1">
        <v>46168</v>
      </c>
      <c r="C122" s="2">
        <v>314</v>
      </c>
      <c r="D122" s="2">
        <v>499</v>
      </c>
      <c r="E122" s="2" t="s">
        <v>255</v>
      </c>
      <c r="Q122" s="3">
        <v>46006</v>
      </c>
      <c r="R122" s="2">
        <v>536</v>
      </c>
      <c r="S122" s="2">
        <v>478</v>
      </c>
      <c r="T122" s="2" t="s">
        <v>256</v>
      </c>
      <c r="V122" s="3">
        <v>46007</v>
      </c>
      <c r="W122" s="215">
        <v>1869</v>
      </c>
      <c r="X122" s="215">
        <v>131</v>
      </c>
      <c r="Y122" s="2" t="s">
        <v>256</v>
      </c>
      <c r="AF122" s="3">
        <v>45912</v>
      </c>
      <c r="AH122" s="2">
        <v>136</v>
      </c>
      <c r="AI122" s="2" t="s">
        <v>261</v>
      </c>
      <c r="AK122" s="3">
        <v>45989</v>
      </c>
      <c r="AM122" s="2">
        <v>153</v>
      </c>
      <c r="AN122" s="2" t="s">
        <v>1</v>
      </c>
      <c r="AP122" s="3">
        <v>46139</v>
      </c>
      <c r="AR122" s="2">
        <v>138</v>
      </c>
    </row>
    <row r="123" spans="2:44">
      <c r="B123" s="1">
        <v>46168</v>
      </c>
      <c r="C123" s="2">
        <v>980</v>
      </c>
      <c r="D123" s="2">
        <v>498</v>
      </c>
      <c r="E123" s="2" t="s">
        <v>255</v>
      </c>
      <c r="Q123" s="3">
        <v>46006</v>
      </c>
      <c r="R123" s="2">
        <v>533</v>
      </c>
      <c r="S123" s="2">
        <v>440</v>
      </c>
      <c r="T123" s="2" t="s">
        <v>256</v>
      </c>
      <c r="V123" s="3">
        <v>46007</v>
      </c>
      <c r="W123" s="215">
        <v>1868</v>
      </c>
      <c r="X123" s="215">
        <v>146</v>
      </c>
      <c r="Y123" s="2" t="s">
        <v>256</v>
      </c>
      <c r="AF123" s="3">
        <v>45912</v>
      </c>
      <c r="AH123" s="2">
        <v>192</v>
      </c>
      <c r="AI123" s="2" t="s">
        <v>261</v>
      </c>
      <c r="AK123" s="3">
        <v>45989</v>
      </c>
      <c r="AM123" s="2">
        <v>146</v>
      </c>
      <c r="AN123" s="2" t="s">
        <v>1</v>
      </c>
      <c r="AP123" s="3">
        <v>46139</v>
      </c>
      <c r="AR123" s="2">
        <v>140</v>
      </c>
    </row>
    <row r="124" spans="2:44">
      <c r="B124" s="1">
        <v>46168</v>
      </c>
      <c r="C124" s="2">
        <v>623</v>
      </c>
      <c r="D124" s="2">
        <v>498</v>
      </c>
      <c r="E124" s="2" t="s">
        <v>255</v>
      </c>
      <c r="Q124" s="3">
        <v>46006</v>
      </c>
      <c r="R124" s="2">
        <v>531</v>
      </c>
      <c r="S124" s="2">
        <v>511</v>
      </c>
      <c r="T124" s="2" t="s">
        <v>256</v>
      </c>
      <c r="V124" s="3">
        <v>46007</v>
      </c>
      <c r="W124" s="215">
        <v>1867</v>
      </c>
      <c r="X124" s="215">
        <v>124</v>
      </c>
      <c r="Y124" s="2" t="s">
        <v>256</v>
      </c>
      <c r="AF124" s="3">
        <v>45912</v>
      </c>
      <c r="AH124" s="2">
        <v>203</v>
      </c>
      <c r="AI124" s="2" t="s">
        <v>261</v>
      </c>
      <c r="AK124" s="3">
        <v>45989</v>
      </c>
      <c r="AM124" s="2">
        <v>115</v>
      </c>
      <c r="AN124" s="2" t="s">
        <v>1</v>
      </c>
      <c r="AP124" s="3">
        <v>46139</v>
      </c>
      <c r="AR124" s="2">
        <v>164</v>
      </c>
    </row>
    <row r="125" spans="2:44">
      <c r="B125" s="1">
        <v>46168</v>
      </c>
      <c r="C125" s="2">
        <v>622</v>
      </c>
      <c r="D125" s="2">
        <v>498</v>
      </c>
      <c r="E125" s="2" t="s">
        <v>255</v>
      </c>
      <c r="Q125" s="3">
        <v>46006</v>
      </c>
      <c r="R125" s="2">
        <v>522</v>
      </c>
      <c r="S125" s="2">
        <v>490</v>
      </c>
      <c r="T125" s="2" t="s">
        <v>256</v>
      </c>
      <c r="V125" s="3">
        <v>46007</v>
      </c>
      <c r="W125" s="215">
        <v>1866</v>
      </c>
      <c r="X125" s="215">
        <v>150</v>
      </c>
      <c r="Y125" s="2" t="s">
        <v>256</v>
      </c>
      <c r="AF125" s="3">
        <v>45912</v>
      </c>
      <c r="AH125" s="2">
        <v>260</v>
      </c>
      <c r="AI125" s="2" t="s">
        <v>261</v>
      </c>
      <c r="AK125" s="3">
        <v>45989</v>
      </c>
      <c r="AM125" s="2">
        <v>131</v>
      </c>
      <c r="AN125" s="2" t="s">
        <v>1</v>
      </c>
      <c r="AP125" s="3">
        <v>46139</v>
      </c>
      <c r="AR125" s="2">
        <v>122</v>
      </c>
    </row>
    <row r="126" spans="2:44">
      <c r="B126" s="1">
        <v>46168</v>
      </c>
      <c r="C126" s="2">
        <v>1228</v>
      </c>
      <c r="D126" s="2">
        <v>497</v>
      </c>
      <c r="E126" s="2" t="s">
        <v>255</v>
      </c>
      <c r="Q126" s="3">
        <v>46006</v>
      </c>
      <c r="R126" s="2">
        <v>518</v>
      </c>
      <c r="S126" s="2">
        <v>497</v>
      </c>
      <c r="T126" s="2" t="s">
        <v>256</v>
      </c>
      <c r="V126" s="3">
        <v>46007</v>
      </c>
      <c r="W126" s="215">
        <v>1865</v>
      </c>
      <c r="X126" s="215">
        <v>131</v>
      </c>
      <c r="Y126" s="2" t="s">
        <v>256</v>
      </c>
      <c r="AF126" s="3">
        <v>45912</v>
      </c>
      <c r="AH126" s="2">
        <v>202</v>
      </c>
      <c r="AI126" s="2" t="s">
        <v>261</v>
      </c>
      <c r="AK126" s="3">
        <v>45989</v>
      </c>
      <c r="AM126" s="2">
        <v>126</v>
      </c>
      <c r="AN126" s="2" t="s">
        <v>1</v>
      </c>
      <c r="AP126" s="3">
        <v>46139</v>
      </c>
      <c r="AR126" s="2">
        <v>129</v>
      </c>
    </row>
    <row r="127" spans="2:44">
      <c r="B127" s="1">
        <v>46168</v>
      </c>
      <c r="C127" s="2">
        <v>1216</v>
      </c>
      <c r="D127" s="2">
        <v>497</v>
      </c>
      <c r="E127" s="2" t="s">
        <v>255</v>
      </c>
      <c r="Q127" s="3">
        <v>46006</v>
      </c>
      <c r="R127" s="2">
        <v>514</v>
      </c>
      <c r="S127" s="2">
        <v>517</v>
      </c>
      <c r="T127" s="2" t="s">
        <v>256</v>
      </c>
      <c r="V127" s="3">
        <v>46007</v>
      </c>
      <c r="W127" s="215">
        <v>1864</v>
      </c>
      <c r="X127" s="215">
        <v>111</v>
      </c>
      <c r="Y127" s="2" t="s">
        <v>256</v>
      </c>
      <c r="AF127" s="3">
        <v>45912</v>
      </c>
      <c r="AH127" s="2">
        <v>250</v>
      </c>
      <c r="AI127" s="2" t="s">
        <v>261</v>
      </c>
      <c r="AK127" s="3">
        <v>45989</v>
      </c>
      <c r="AM127" s="2">
        <v>162</v>
      </c>
      <c r="AN127" s="2" t="s">
        <v>1</v>
      </c>
      <c r="AP127" s="3">
        <v>46139</v>
      </c>
      <c r="AR127" s="2">
        <v>124</v>
      </c>
    </row>
    <row r="128" spans="2:44">
      <c r="B128" s="1">
        <v>46168</v>
      </c>
      <c r="C128" s="2">
        <v>1181</v>
      </c>
      <c r="D128" s="2">
        <v>497</v>
      </c>
      <c r="E128" s="2" t="s">
        <v>255</v>
      </c>
      <c r="Q128" s="3">
        <v>46006</v>
      </c>
      <c r="R128" s="2">
        <v>510</v>
      </c>
      <c r="S128" s="2">
        <v>459</v>
      </c>
      <c r="T128" s="2" t="s">
        <v>256</v>
      </c>
      <c r="V128" s="3">
        <v>46007</v>
      </c>
      <c r="W128" s="215">
        <v>1863</v>
      </c>
      <c r="X128" s="215">
        <v>162</v>
      </c>
      <c r="Y128" s="2" t="s">
        <v>256</v>
      </c>
      <c r="AF128" s="3">
        <v>45912</v>
      </c>
      <c r="AH128" s="2">
        <v>187</v>
      </c>
      <c r="AI128" s="2" t="s">
        <v>261</v>
      </c>
      <c r="AK128" s="3">
        <v>45989</v>
      </c>
      <c r="AM128" s="2">
        <v>172</v>
      </c>
      <c r="AN128" s="2" t="s">
        <v>1</v>
      </c>
      <c r="AP128" s="3">
        <v>46139</v>
      </c>
      <c r="AR128" s="2">
        <v>132</v>
      </c>
    </row>
    <row r="129" spans="2:44">
      <c r="B129" s="1">
        <v>46168</v>
      </c>
      <c r="C129" s="2">
        <v>985</v>
      </c>
      <c r="D129" s="2">
        <v>497</v>
      </c>
      <c r="E129" s="2" t="s">
        <v>255</v>
      </c>
      <c r="Q129" s="3">
        <v>46006</v>
      </c>
      <c r="R129" s="2">
        <v>496</v>
      </c>
      <c r="S129" s="2">
        <v>475</v>
      </c>
      <c r="T129" s="2" t="s">
        <v>256</v>
      </c>
      <c r="V129" s="3">
        <v>46007</v>
      </c>
      <c r="W129" s="215">
        <v>1862</v>
      </c>
      <c r="X129" s="215">
        <v>159</v>
      </c>
      <c r="Y129" s="2" t="s">
        <v>256</v>
      </c>
      <c r="AF129" s="3">
        <v>45912</v>
      </c>
      <c r="AH129" s="2">
        <v>191</v>
      </c>
      <c r="AI129" s="2" t="s">
        <v>261</v>
      </c>
      <c r="AK129" s="3">
        <v>45989</v>
      </c>
      <c r="AM129" s="2">
        <v>160</v>
      </c>
      <c r="AN129" s="2" t="s">
        <v>1</v>
      </c>
      <c r="AP129" s="3">
        <v>46139</v>
      </c>
      <c r="AR129" s="2">
        <v>139</v>
      </c>
    </row>
    <row r="130" spans="2:44">
      <c r="B130" s="1">
        <v>46168</v>
      </c>
      <c r="C130" s="2">
        <v>945</v>
      </c>
      <c r="D130" s="2">
        <v>497</v>
      </c>
      <c r="E130" s="2" t="s">
        <v>255</v>
      </c>
      <c r="Q130" s="3">
        <v>46006</v>
      </c>
      <c r="R130" s="2">
        <v>485</v>
      </c>
      <c r="S130" s="2">
        <v>456</v>
      </c>
      <c r="T130" s="2" t="s">
        <v>256</v>
      </c>
      <c r="V130" s="3">
        <v>46007</v>
      </c>
      <c r="W130" s="215">
        <v>1861</v>
      </c>
      <c r="X130" s="215">
        <v>145</v>
      </c>
      <c r="Y130" s="2" t="s">
        <v>256</v>
      </c>
      <c r="AF130" s="3">
        <v>45912</v>
      </c>
      <c r="AH130" s="2">
        <v>208</v>
      </c>
      <c r="AI130" s="2" t="s">
        <v>261</v>
      </c>
      <c r="AK130" s="3">
        <v>45989</v>
      </c>
      <c r="AM130" s="2">
        <v>143</v>
      </c>
      <c r="AN130" s="2" t="s">
        <v>1</v>
      </c>
      <c r="AP130" s="3">
        <v>46139</v>
      </c>
      <c r="AR130" s="2">
        <v>119</v>
      </c>
    </row>
    <row r="131" spans="2:44">
      <c r="B131" s="1">
        <v>46168</v>
      </c>
      <c r="C131" s="2">
        <v>490</v>
      </c>
      <c r="D131" s="2">
        <v>497</v>
      </c>
      <c r="E131" s="2" t="s">
        <v>255</v>
      </c>
      <c r="Q131" s="3">
        <v>46006</v>
      </c>
      <c r="R131" s="2">
        <v>472</v>
      </c>
      <c r="S131" s="2">
        <v>541</v>
      </c>
      <c r="T131" s="2" t="s">
        <v>256</v>
      </c>
      <c r="V131" s="3">
        <v>46007</v>
      </c>
      <c r="W131" s="215">
        <v>1860</v>
      </c>
      <c r="X131" s="215">
        <v>118</v>
      </c>
      <c r="Y131" s="2" t="s">
        <v>256</v>
      </c>
      <c r="AF131" s="3">
        <v>45912</v>
      </c>
      <c r="AH131" s="2">
        <v>167</v>
      </c>
      <c r="AI131" s="2" t="s">
        <v>261</v>
      </c>
      <c r="AK131" s="3">
        <v>45989</v>
      </c>
      <c r="AM131" s="2">
        <v>142</v>
      </c>
      <c r="AN131" s="2" t="s">
        <v>1</v>
      </c>
      <c r="AP131" s="3">
        <v>46139</v>
      </c>
      <c r="AR131" s="2">
        <v>138</v>
      </c>
    </row>
    <row r="132" spans="2:44">
      <c r="B132" s="1">
        <v>46168</v>
      </c>
      <c r="C132" s="2">
        <v>539</v>
      </c>
      <c r="D132" s="2">
        <v>496</v>
      </c>
      <c r="E132" s="2" t="s">
        <v>255</v>
      </c>
      <c r="Q132" s="3">
        <v>46006</v>
      </c>
      <c r="R132" s="2">
        <v>442</v>
      </c>
      <c r="S132" s="2">
        <v>464</v>
      </c>
      <c r="T132" s="2" t="s">
        <v>256</v>
      </c>
      <c r="V132" s="3">
        <v>46007</v>
      </c>
      <c r="W132" s="215">
        <v>1859</v>
      </c>
      <c r="X132" s="215">
        <v>127</v>
      </c>
      <c r="Y132" s="2" t="s">
        <v>256</v>
      </c>
      <c r="AF132" s="3">
        <v>45912</v>
      </c>
      <c r="AH132" s="2">
        <v>136</v>
      </c>
      <c r="AI132" s="2" t="s">
        <v>261</v>
      </c>
      <c r="AK132" s="3">
        <v>45989</v>
      </c>
      <c r="AM132" s="2">
        <v>153</v>
      </c>
      <c r="AN132" s="2" t="s">
        <v>1</v>
      </c>
      <c r="AP132" s="3">
        <v>46139</v>
      </c>
      <c r="AR132" s="2">
        <v>156</v>
      </c>
    </row>
    <row r="133" spans="2:44">
      <c r="B133" s="1">
        <v>46168</v>
      </c>
      <c r="C133" s="2">
        <v>1227</v>
      </c>
      <c r="D133" s="2">
        <v>495</v>
      </c>
      <c r="E133" s="2" t="s">
        <v>255</v>
      </c>
      <c r="Q133" s="3">
        <v>46006</v>
      </c>
      <c r="R133" s="2">
        <v>433</v>
      </c>
      <c r="S133" s="2">
        <v>445</v>
      </c>
      <c r="T133" s="2" t="s">
        <v>256</v>
      </c>
      <c r="V133" s="3">
        <v>46007</v>
      </c>
      <c r="W133" s="215">
        <v>1858</v>
      </c>
      <c r="X133" s="215">
        <v>154</v>
      </c>
      <c r="Y133" s="2" t="s">
        <v>256</v>
      </c>
      <c r="AF133" s="3">
        <v>45912</v>
      </c>
      <c r="AH133" s="2">
        <v>230</v>
      </c>
      <c r="AI133" s="2" t="s">
        <v>261</v>
      </c>
      <c r="AK133" s="3">
        <v>45989</v>
      </c>
      <c r="AM133" s="2">
        <v>143</v>
      </c>
      <c r="AN133" s="2" t="s">
        <v>1</v>
      </c>
      <c r="AP133" s="3">
        <v>46139</v>
      </c>
      <c r="AR133" s="2">
        <v>154</v>
      </c>
    </row>
    <row r="134" spans="2:44">
      <c r="B134" s="1">
        <v>46168</v>
      </c>
      <c r="C134" s="2">
        <v>1195</v>
      </c>
      <c r="D134" s="2">
        <v>495</v>
      </c>
      <c r="E134" s="2" t="s">
        <v>255</v>
      </c>
      <c r="Q134" s="3">
        <v>46006</v>
      </c>
      <c r="R134" s="2">
        <v>408</v>
      </c>
      <c r="S134" s="2">
        <v>403</v>
      </c>
      <c r="T134" s="2" t="s">
        <v>256</v>
      </c>
      <c r="V134" s="3">
        <v>46007</v>
      </c>
      <c r="W134" s="215">
        <v>1857</v>
      </c>
      <c r="X134" s="215">
        <v>135</v>
      </c>
      <c r="Y134" s="2" t="s">
        <v>256</v>
      </c>
      <c r="AF134" s="3">
        <v>45912</v>
      </c>
      <c r="AH134" s="2">
        <v>141</v>
      </c>
      <c r="AI134" s="2" t="s">
        <v>261</v>
      </c>
      <c r="AK134" s="3">
        <v>45989</v>
      </c>
      <c r="AM134" s="2">
        <v>133</v>
      </c>
      <c r="AN134" s="2" t="s">
        <v>1</v>
      </c>
      <c r="AP134" s="3">
        <v>46139</v>
      </c>
      <c r="AR134" s="2">
        <v>147</v>
      </c>
    </row>
    <row r="135" spans="2:44">
      <c r="B135" s="1">
        <v>46168</v>
      </c>
      <c r="C135" s="2">
        <v>1194</v>
      </c>
      <c r="D135" s="2">
        <v>495</v>
      </c>
      <c r="E135" s="2" t="s">
        <v>255</v>
      </c>
      <c r="Q135" s="3">
        <v>46006</v>
      </c>
      <c r="R135" s="2">
        <v>404</v>
      </c>
      <c r="S135" s="2">
        <v>481</v>
      </c>
      <c r="T135" s="2" t="s">
        <v>256</v>
      </c>
      <c r="V135" s="3">
        <v>46007</v>
      </c>
      <c r="W135" s="215">
        <v>1856</v>
      </c>
      <c r="X135" s="215">
        <v>160</v>
      </c>
      <c r="Y135" s="2" t="s">
        <v>256</v>
      </c>
      <c r="AF135" s="3">
        <v>45912</v>
      </c>
      <c r="AH135" s="2">
        <v>201</v>
      </c>
      <c r="AI135" s="2" t="s">
        <v>261</v>
      </c>
      <c r="AK135" s="3">
        <v>45989</v>
      </c>
      <c r="AM135" s="2">
        <v>185</v>
      </c>
      <c r="AN135" s="2" t="s">
        <v>1</v>
      </c>
      <c r="AP135" s="3">
        <v>46139</v>
      </c>
      <c r="AR135" s="2">
        <v>134</v>
      </c>
    </row>
    <row r="136" spans="2:44">
      <c r="B136" s="1">
        <v>46168</v>
      </c>
      <c r="C136" s="2">
        <v>1041</v>
      </c>
      <c r="D136" s="2">
        <v>495</v>
      </c>
      <c r="E136" s="2" t="s">
        <v>255</v>
      </c>
      <c r="Q136" s="3">
        <v>46006</v>
      </c>
      <c r="R136" s="2">
        <v>402</v>
      </c>
      <c r="S136" s="2">
        <v>487</v>
      </c>
      <c r="T136" s="2" t="s">
        <v>256</v>
      </c>
      <c r="V136" s="3">
        <v>46007</v>
      </c>
      <c r="W136" s="215">
        <v>1855</v>
      </c>
      <c r="X136" s="215">
        <v>130</v>
      </c>
      <c r="Y136" s="2" t="s">
        <v>256</v>
      </c>
      <c r="AK136" s="3">
        <v>45989</v>
      </c>
      <c r="AM136" s="2">
        <v>164</v>
      </c>
      <c r="AN136" s="2" t="s">
        <v>1</v>
      </c>
      <c r="AP136" s="3">
        <v>46139</v>
      </c>
      <c r="AR136" s="2">
        <v>143</v>
      </c>
    </row>
    <row r="137" spans="2:44">
      <c r="B137" s="1">
        <v>46168</v>
      </c>
      <c r="C137" s="2">
        <v>606</v>
      </c>
      <c r="D137" s="2">
        <v>495</v>
      </c>
      <c r="E137" s="2" t="s">
        <v>255</v>
      </c>
      <c r="Q137" s="3">
        <v>46006</v>
      </c>
      <c r="R137" s="2">
        <v>390</v>
      </c>
      <c r="S137" s="2">
        <v>494</v>
      </c>
      <c r="T137" s="2" t="s">
        <v>256</v>
      </c>
      <c r="V137" s="3">
        <v>46007</v>
      </c>
      <c r="W137" s="215">
        <v>1854</v>
      </c>
      <c r="X137" s="215">
        <v>133</v>
      </c>
      <c r="Y137" s="2" t="s">
        <v>256</v>
      </c>
      <c r="AK137" s="3">
        <v>45989</v>
      </c>
      <c r="AM137" s="2">
        <v>143</v>
      </c>
      <c r="AN137" s="2" t="s">
        <v>1</v>
      </c>
      <c r="AP137" s="3">
        <v>46139</v>
      </c>
      <c r="AR137" s="2">
        <v>144</v>
      </c>
    </row>
    <row r="138" spans="2:44">
      <c r="B138" s="1">
        <v>46168</v>
      </c>
      <c r="C138" s="2">
        <v>544</v>
      </c>
      <c r="D138" s="2">
        <v>495</v>
      </c>
      <c r="E138" s="2" t="s">
        <v>255</v>
      </c>
      <c r="Q138" s="3">
        <v>46006</v>
      </c>
      <c r="R138" s="2">
        <v>388</v>
      </c>
      <c r="S138" s="2">
        <v>463</v>
      </c>
      <c r="T138" s="2" t="s">
        <v>256</v>
      </c>
      <c r="V138" s="3">
        <v>46007</v>
      </c>
      <c r="W138" s="215">
        <v>1853</v>
      </c>
      <c r="X138" s="215">
        <v>192</v>
      </c>
      <c r="Y138" s="2" t="s">
        <v>256</v>
      </c>
      <c r="AK138" s="3">
        <v>45989</v>
      </c>
      <c r="AM138" s="2">
        <v>121</v>
      </c>
      <c r="AN138" s="2" t="s">
        <v>1</v>
      </c>
      <c r="AP138" s="3">
        <v>46139</v>
      </c>
      <c r="AR138" s="2">
        <v>137</v>
      </c>
    </row>
    <row r="139" spans="2:44">
      <c r="B139" s="1">
        <v>46168</v>
      </c>
      <c r="C139" s="2">
        <v>425</v>
      </c>
      <c r="D139" s="2">
        <v>495</v>
      </c>
      <c r="E139" s="2" t="s">
        <v>255</v>
      </c>
      <c r="Q139" s="3">
        <v>46006</v>
      </c>
      <c r="R139" s="2">
        <v>384</v>
      </c>
      <c r="S139" s="2">
        <v>450</v>
      </c>
      <c r="T139" s="2" t="s">
        <v>256</v>
      </c>
      <c r="V139" s="3">
        <v>46007</v>
      </c>
      <c r="W139" s="215">
        <v>1852</v>
      </c>
      <c r="X139" s="215">
        <v>150</v>
      </c>
      <c r="Y139" s="2" t="s">
        <v>256</v>
      </c>
      <c r="AK139" s="3">
        <v>45989</v>
      </c>
      <c r="AM139" s="2">
        <v>144</v>
      </c>
      <c r="AN139" s="2" t="s">
        <v>1</v>
      </c>
      <c r="AP139" s="3">
        <v>46139</v>
      </c>
      <c r="AR139" s="2">
        <v>150</v>
      </c>
    </row>
    <row r="140" spans="2:44">
      <c r="B140" s="1">
        <v>46168</v>
      </c>
      <c r="C140" s="2">
        <v>332</v>
      </c>
      <c r="D140" s="2">
        <v>495</v>
      </c>
      <c r="E140" s="2" t="s">
        <v>255</v>
      </c>
      <c r="Q140" s="3">
        <v>46006</v>
      </c>
      <c r="R140" s="2">
        <v>382</v>
      </c>
      <c r="S140" s="2">
        <v>472</v>
      </c>
      <c r="T140" s="2" t="s">
        <v>256</v>
      </c>
      <c r="V140" s="3">
        <v>46007</v>
      </c>
      <c r="W140" s="215">
        <v>1851</v>
      </c>
      <c r="X140" s="215">
        <v>162</v>
      </c>
      <c r="Y140" s="2" t="s">
        <v>256</v>
      </c>
      <c r="AK140" s="3">
        <v>45989</v>
      </c>
      <c r="AM140" s="2">
        <v>141</v>
      </c>
      <c r="AN140" s="2" t="s">
        <v>1</v>
      </c>
      <c r="AP140" s="3">
        <v>46139</v>
      </c>
      <c r="AR140" s="2">
        <v>108</v>
      </c>
    </row>
    <row r="141" spans="2:44">
      <c r="B141" s="1">
        <v>46168</v>
      </c>
      <c r="C141" s="2">
        <v>1224</v>
      </c>
      <c r="D141" s="2">
        <v>493</v>
      </c>
      <c r="E141" s="2" t="s">
        <v>255</v>
      </c>
      <c r="Q141" s="3">
        <v>46006</v>
      </c>
      <c r="R141" s="2">
        <v>363</v>
      </c>
      <c r="S141" s="2">
        <v>476</v>
      </c>
      <c r="T141" s="2" t="s">
        <v>256</v>
      </c>
      <c r="V141" s="3">
        <v>46007</v>
      </c>
      <c r="W141" s="215">
        <v>1850</v>
      </c>
      <c r="X141" s="215">
        <v>149</v>
      </c>
      <c r="Y141" s="2" t="s">
        <v>256</v>
      </c>
      <c r="AK141" s="3">
        <v>45989</v>
      </c>
      <c r="AM141" s="2">
        <v>152</v>
      </c>
      <c r="AN141" s="2" t="s">
        <v>1</v>
      </c>
      <c r="AP141" s="3">
        <v>46139</v>
      </c>
      <c r="AR141" s="2">
        <v>122</v>
      </c>
    </row>
    <row r="142" spans="2:44">
      <c r="B142" s="1">
        <v>46168</v>
      </c>
      <c r="C142" s="2">
        <v>1177</v>
      </c>
      <c r="D142" s="2">
        <v>493</v>
      </c>
      <c r="E142" s="2" t="s">
        <v>255</v>
      </c>
      <c r="Q142" s="3">
        <v>46006</v>
      </c>
      <c r="R142" s="2">
        <v>359</v>
      </c>
      <c r="S142" s="2">
        <v>488</v>
      </c>
      <c r="T142" s="2" t="s">
        <v>256</v>
      </c>
      <c r="V142" s="3">
        <v>46007</v>
      </c>
      <c r="W142" s="215">
        <v>1849</v>
      </c>
      <c r="X142" s="215">
        <v>137</v>
      </c>
      <c r="Y142" s="2" t="s">
        <v>256</v>
      </c>
      <c r="AK142" s="3">
        <v>45989</v>
      </c>
      <c r="AM142" s="2">
        <v>184</v>
      </c>
      <c r="AN142" s="2" t="s">
        <v>1</v>
      </c>
      <c r="AP142" s="3">
        <v>46139</v>
      </c>
      <c r="AR142" s="2">
        <v>120</v>
      </c>
    </row>
    <row r="143" spans="2:44">
      <c r="B143" s="1">
        <v>46168</v>
      </c>
      <c r="C143" s="2">
        <v>1108</v>
      </c>
      <c r="D143" s="2">
        <v>493</v>
      </c>
      <c r="E143" s="2" t="s">
        <v>255</v>
      </c>
      <c r="Q143" s="3">
        <v>46006</v>
      </c>
      <c r="R143" s="2">
        <v>353</v>
      </c>
      <c r="S143" s="2">
        <v>373</v>
      </c>
      <c r="T143" s="2" t="s">
        <v>256</v>
      </c>
      <c r="V143" s="3">
        <v>46007</v>
      </c>
      <c r="W143" s="215">
        <v>1848</v>
      </c>
      <c r="X143" s="215">
        <v>157</v>
      </c>
      <c r="Y143" s="2" t="s">
        <v>256</v>
      </c>
      <c r="AK143" s="3">
        <v>45989</v>
      </c>
      <c r="AM143" s="2">
        <v>166</v>
      </c>
      <c r="AN143" s="2" t="s">
        <v>1</v>
      </c>
      <c r="AP143" s="3">
        <v>46139</v>
      </c>
      <c r="AR143" s="2">
        <v>156</v>
      </c>
    </row>
    <row r="144" spans="2:44">
      <c r="B144" s="1">
        <v>46168</v>
      </c>
      <c r="C144" s="2">
        <v>1049</v>
      </c>
      <c r="D144" s="2">
        <v>493</v>
      </c>
      <c r="E144" s="2" t="s">
        <v>255</v>
      </c>
      <c r="Q144" s="3">
        <v>46006</v>
      </c>
      <c r="R144" s="2">
        <v>334</v>
      </c>
      <c r="S144" s="2">
        <v>481</v>
      </c>
      <c r="T144" s="2" t="s">
        <v>256</v>
      </c>
      <c r="V144" s="3">
        <v>46007</v>
      </c>
      <c r="W144" s="215">
        <v>1847</v>
      </c>
      <c r="X144" s="215">
        <v>178</v>
      </c>
      <c r="Y144" s="2" t="s">
        <v>256</v>
      </c>
      <c r="AK144" s="3">
        <v>45989</v>
      </c>
      <c r="AM144" s="2">
        <v>161</v>
      </c>
      <c r="AN144" s="2" t="s">
        <v>1</v>
      </c>
      <c r="AP144" s="3">
        <v>46139</v>
      </c>
      <c r="AR144" s="2">
        <v>151</v>
      </c>
    </row>
    <row r="145" spans="2:44">
      <c r="B145" s="1">
        <v>46168</v>
      </c>
      <c r="C145" s="2">
        <v>693</v>
      </c>
      <c r="D145" s="2">
        <v>493</v>
      </c>
      <c r="E145" s="2" t="s">
        <v>255</v>
      </c>
      <c r="Q145" s="3">
        <v>46006</v>
      </c>
      <c r="R145" s="2">
        <v>330</v>
      </c>
      <c r="S145" s="2">
        <v>383</v>
      </c>
      <c r="T145" s="2" t="s">
        <v>256</v>
      </c>
      <c r="V145" s="3">
        <v>46007</v>
      </c>
      <c r="W145" s="215">
        <v>1846</v>
      </c>
      <c r="X145" s="215">
        <v>134</v>
      </c>
      <c r="Y145" s="2" t="s">
        <v>256</v>
      </c>
      <c r="AK145" s="3">
        <v>45989</v>
      </c>
      <c r="AM145" s="2">
        <v>169</v>
      </c>
      <c r="AN145" s="2" t="s">
        <v>1</v>
      </c>
      <c r="AP145" s="3">
        <v>46139</v>
      </c>
      <c r="AR145" s="2">
        <v>141</v>
      </c>
    </row>
    <row r="146" spans="2:44">
      <c r="B146" s="1">
        <v>46168</v>
      </c>
      <c r="C146" s="2">
        <v>422</v>
      </c>
      <c r="D146" s="2">
        <v>493</v>
      </c>
      <c r="E146" s="2" t="s">
        <v>255</v>
      </c>
      <c r="Q146" s="3">
        <v>46006</v>
      </c>
      <c r="R146" s="2">
        <v>326</v>
      </c>
      <c r="S146" s="2">
        <v>500</v>
      </c>
      <c r="T146" s="2" t="s">
        <v>256</v>
      </c>
      <c r="V146" s="3">
        <v>46007</v>
      </c>
      <c r="W146" s="215">
        <v>1845</v>
      </c>
      <c r="X146" s="215">
        <v>173</v>
      </c>
      <c r="Y146" s="2" t="s">
        <v>256</v>
      </c>
      <c r="AK146" s="3">
        <v>45989</v>
      </c>
      <c r="AM146" s="2">
        <v>173</v>
      </c>
      <c r="AN146" s="2" t="s">
        <v>1</v>
      </c>
      <c r="AP146" s="3">
        <v>46139</v>
      </c>
      <c r="AR146" s="2">
        <v>130</v>
      </c>
    </row>
    <row r="147" spans="2:44">
      <c r="B147" s="1">
        <v>46168</v>
      </c>
      <c r="C147" s="2">
        <v>750</v>
      </c>
      <c r="D147" s="2">
        <v>491</v>
      </c>
      <c r="E147" s="2" t="s">
        <v>255</v>
      </c>
      <c r="Q147" s="3">
        <v>46006</v>
      </c>
      <c r="R147" s="2">
        <v>323</v>
      </c>
      <c r="S147" s="2">
        <v>460</v>
      </c>
      <c r="T147" s="2" t="s">
        <v>256</v>
      </c>
      <c r="V147" s="3">
        <v>46007</v>
      </c>
      <c r="W147" s="215">
        <v>1844</v>
      </c>
      <c r="X147" s="215">
        <v>142</v>
      </c>
      <c r="Y147" s="2" t="s">
        <v>256</v>
      </c>
      <c r="AK147" s="3">
        <v>45989</v>
      </c>
      <c r="AM147" s="2">
        <v>122</v>
      </c>
      <c r="AN147" s="2" t="s">
        <v>1</v>
      </c>
      <c r="AP147" s="3">
        <v>46139</v>
      </c>
      <c r="AR147" s="2">
        <v>138</v>
      </c>
    </row>
    <row r="148" spans="2:44">
      <c r="B148" s="1">
        <v>46168</v>
      </c>
      <c r="C148" s="2">
        <v>552</v>
      </c>
      <c r="D148" s="2">
        <v>491</v>
      </c>
      <c r="E148" s="2" t="s">
        <v>255</v>
      </c>
      <c r="Q148" s="3">
        <v>46006</v>
      </c>
      <c r="R148" s="2">
        <v>321</v>
      </c>
      <c r="S148" s="2">
        <v>439</v>
      </c>
      <c r="T148" s="2" t="s">
        <v>256</v>
      </c>
      <c r="V148" s="3">
        <v>46007</v>
      </c>
      <c r="W148" s="215">
        <v>1843</v>
      </c>
      <c r="X148" s="215">
        <v>145</v>
      </c>
      <c r="Y148" s="2" t="s">
        <v>256</v>
      </c>
      <c r="AK148" s="3">
        <v>45989</v>
      </c>
      <c r="AM148" s="2">
        <v>125</v>
      </c>
      <c r="AN148" s="2" t="s">
        <v>1</v>
      </c>
      <c r="AP148" s="3">
        <v>46139</v>
      </c>
      <c r="AR148" s="2">
        <v>155</v>
      </c>
    </row>
    <row r="149" spans="2:44">
      <c r="B149" s="1">
        <v>46168</v>
      </c>
      <c r="C149" s="2">
        <v>325</v>
      </c>
      <c r="D149" s="2">
        <v>491</v>
      </c>
      <c r="E149" s="2" t="s">
        <v>255</v>
      </c>
      <c r="Q149" s="3">
        <v>46006</v>
      </c>
      <c r="R149" s="2">
        <v>320</v>
      </c>
      <c r="S149" s="2">
        <v>517</v>
      </c>
      <c r="T149" s="2" t="s">
        <v>256</v>
      </c>
      <c r="V149" s="3">
        <v>46007</v>
      </c>
      <c r="W149" s="215">
        <v>1842</v>
      </c>
      <c r="X149" s="215">
        <v>154</v>
      </c>
      <c r="Y149" s="2" t="s">
        <v>256</v>
      </c>
      <c r="AK149" s="3">
        <v>45989</v>
      </c>
      <c r="AM149" s="2">
        <v>184</v>
      </c>
      <c r="AN149" s="2" t="s">
        <v>1</v>
      </c>
      <c r="AP149" s="3">
        <v>46139</v>
      </c>
      <c r="AR149" s="2">
        <v>118</v>
      </c>
    </row>
    <row r="150" spans="2:44">
      <c r="B150" s="1">
        <v>46168</v>
      </c>
      <c r="C150" s="2">
        <v>1208</v>
      </c>
      <c r="D150" s="2">
        <v>490</v>
      </c>
      <c r="E150" s="2" t="s">
        <v>255</v>
      </c>
      <c r="Q150" s="3">
        <v>46006</v>
      </c>
      <c r="R150" s="2">
        <v>298</v>
      </c>
      <c r="S150" s="2">
        <v>258</v>
      </c>
      <c r="T150" s="2" t="s">
        <v>256</v>
      </c>
      <c r="V150" s="3">
        <v>46007</v>
      </c>
      <c r="W150" s="215">
        <v>1841</v>
      </c>
      <c r="X150" s="215">
        <v>168</v>
      </c>
      <c r="Y150" s="2" t="s">
        <v>256</v>
      </c>
      <c r="AK150" s="3">
        <v>45989</v>
      </c>
      <c r="AM150" s="2">
        <v>163</v>
      </c>
      <c r="AN150" s="2" t="s">
        <v>1</v>
      </c>
      <c r="AP150" s="3">
        <v>46139</v>
      </c>
      <c r="AR150" s="2">
        <v>149</v>
      </c>
    </row>
    <row r="151" spans="2:44">
      <c r="B151" s="1">
        <v>46168</v>
      </c>
      <c r="C151" s="2">
        <v>1203</v>
      </c>
      <c r="D151" s="2">
        <v>490</v>
      </c>
      <c r="E151" s="2" t="s">
        <v>255</v>
      </c>
      <c r="Q151" s="3">
        <v>46006</v>
      </c>
      <c r="R151" s="2">
        <v>297</v>
      </c>
      <c r="S151" s="2">
        <v>191</v>
      </c>
      <c r="T151" s="2" t="s">
        <v>256</v>
      </c>
      <c r="V151" s="3">
        <v>46007</v>
      </c>
      <c r="W151" s="215">
        <v>1840</v>
      </c>
      <c r="X151" s="215">
        <v>181</v>
      </c>
      <c r="Y151" s="2" t="s">
        <v>256</v>
      </c>
      <c r="AK151" s="3">
        <v>45989</v>
      </c>
      <c r="AM151" s="2">
        <v>174</v>
      </c>
      <c r="AN151" s="2" t="s">
        <v>1</v>
      </c>
      <c r="AP151" s="3">
        <v>46139</v>
      </c>
      <c r="AR151" s="2">
        <v>129</v>
      </c>
    </row>
    <row r="152" spans="2:44">
      <c r="B152" s="1">
        <v>46168</v>
      </c>
      <c r="C152" s="2">
        <v>1067</v>
      </c>
      <c r="D152" s="2">
        <v>490</v>
      </c>
      <c r="E152" s="2" t="s">
        <v>255</v>
      </c>
      <c r="Q152" s="3">
        <v>46006</v>
      </c>
      <c r="R152" s="2">
        <v>293</v>
      </c>
      <c r="S152" s="2">
        <v>252</v>
      </c>
      <c r="T152" s="2" t="s">
        <v>256</v>
      </c>
      <c r="V152" s="3">
        <v>46007</v>
      </c>
      <c r="W152" s="215">
        <v>1839</v>
      </c>
      <c r="X152" s="215">
        <v>153</v>
      </c>
      <c r="Y152" s="2" t="s">
        <v>256</v>
      </c>
      <c r="AK152" s="3">
        <v>45989</v>
      </c>
      <c r="AM152" s="2">
        <v>132</v>
      </c>
      <c r="AN152" s="2" t="s">
        <v>1</v>
      </c>
      <c r="AP152" s="3">
        <v>46139</v>
      </c>
      <c r="AR152" s="2">
        <v>144</v>
      </c>
    </row>
    <row r="153" spans="2:44">
      <c r="B153" s="1">
        <v>46168</v>
      </c>
      <c r="C153" s="2">
        <v>496</v>
      </c>
      <c r="D153" s="2">
        <v>490</v>
      </c>
      <c r="E153" s="2" t="s">
        <v>255</v>
      </c>
      <c r="Q153" s="3">
        <v>46006</v>
      </c>
      <c r="R153" s="2">
        <v>291</v>
      </c>
      <c r="S153" s="2">
        <v>240</v>
      </c>
      <c r="T153" s="2" t="s">
        <v>256</v>
      </c>
      <c r="V153" s="3">
        <v>46007</v>
      </c>
      <c r="W153" s="215">
        <v>1838</v>
      </c>
      <c r="X153" s="215">
        <v>155</v>
      </c>
      <c r="Y153" s="2" t="s">
        <v>256</v>
      </c>
      <c r="AK153" s="3">
        <v>45989</v>
      </c>
      <c r="AM153" s="2">
        <v>153</v>
      </c>
      <c r="AN153" s="2" t="s">
        <v>1</v>
      </c>
      <c r="AP153" s="3">
        <v>46139</v>
      </c>
      <c r="AR153" s="2">
        <v>118</v>
      </c>
    </row>
    <row r="154" spans="2:44">
      <c r="B154" s="1">
        <v>46168</v>
      </c>
      <c r="C154" s="2">
        <v>449</v>
      </c>
      <c r="D154" s="2">
        <v>490</v>
      </c>
      <c r="E154" s="2" t="s">
        <v>255</v>
      </c>
      <c r="Q154" s="3">
        <v>46006</v>
      </c>
      <c r="R154" s="2">
        <v>287</v>
      </c>
      <c r="S154" s="2">
        <v>195</v>
      </c>
      <c r="T154" s="2" t="s">
        <v>256</v>
      </c>
      <c r="V154" s="3">
        <v>46007</v>
      </c>
      <c r="W154" s="215">
        <v>1837</v>
      </c>
      <c r="X154" s="215">
        <v>137</v>
      </c>
      <c r="Y154" s="2" t="s">
        <v>256</v>
      </c>
      <c r="AK154" s="3">
        <v>45989</v>
      </c>
      <c r="AM154" s="2">
        <v>167</v>
      </c>
      <c r="AN154" s="2" t="s">
        <v>1</v>
      </c>
      <c r="AP154" s="3">
        <v>46139</v>
      </c>
      <c r="AR154" s="2">
        <v>111</v>
      </c>
    </row>
    <row r="155" spans="2:44">
      <c r="B155" s="1">
        <v>46168</v>
      </c>
      <c r="C155" s="2">
        <v>1187</v>
      </c>
      <c r="D155" s="2">
        <v>489</v>
      </c>
      <c r="E155" s="2" t="s">
        <v>255</v>
      </c>
      <c r="Q155" s="3">
        <v>46006</v>
      </c>
      <c r="R155" s="2">
        <v>286</v>
      </c>
      <c r="S155" s="2">
        <v>236</v>
      </c>
      <c r="T155" s="2" t="s">
        <v>256</v>
      </c>
      <c r="V155" s="3">
        <v>46007</v>
      </c>
      <c r="W155" s="215">
        <v>1836</v>
      </c>
      <c r="X155" s="215">
        <v>145</v>
      </c>
      <c r="Y155" s="2" t="s">
        <v>256</v>
      </c>
      <c r="AK155" s="3">
        <v>45989</v>
      </c>
      <c r="AM155" s="2">
        <v>145</v>
      </c>
      <c r="AN155" s="2" t="s">
        <v>1</v>
      </c>
      <c r="AP155" s="3">
        <v>46139</v>
      </c>
      <c r="AR155" s="2">
        <v>151</v>
      </c>
    </row>
    <row r="156" spans="2:44">
      <c r="B156" s="1">
        <v>46168</v>
      </c>
      <c r="C156" s="2">
        <v>1171</v>
      </c>
      <c r="D156" s="2">
        <v>489</v>
      </c>
      <c r="E156" s="2" t="s">
        <v>255</v>
      </c>
      <c r="Q156" s="3">
        <v>46006</v>
      </c>
      <c r="R156" s="2">
        <v>284</v>
      </c>
      <c r="S156" s="2">
        <v>260</v>
      </c>
      <c r="T156" s="2" t="s">
        <v>256</v>
      </c>
      <c r="V156" s="3">
        <v>46007</v>
      </c>
      <c r="W156" s="215">
        <v>1835</v>
      </c>
      <c r="X156" s="215">
        <v>143</v>
      </c>
      <c r="Y156" s="2" t="s">
        <v>256</v>
      </c>
      <c r="AK156" s="3">
        <v>45989</v>
      </c>
      <c r="AM156" s="2">
        <v>182</v>
      </c>
      <c r="AN156" s="2" t="s">
        <v>1</v>
      </c>
      <c r="AP156" s="3">
        <v>46139</v>
      </c>
      <c r="AR156" s="2">
        <v>138</v>
      </c>
    </row>
    <row r="157" spans="2:44">
      <c r="B157" s="1">
        <v>46168</v>
      </c>
      <c r="C157" s="2">
        <v>1010</v>
      </c>
      <c r="D157" s="2">
        <v>489</v>
      </c>
      <c r="E157" s="2" t="s">
        <v>255</v>
      </c>
      <c r="Q157" s="3">
        <v>46006</v>
      </c>
      <c r="R157" s="2">
        <v>283</v>
      </c>
      <c r="S157" s="2">
        <v>199</v>
      </c>
      <c r="T157" s="2" t="s">
        <v>256</v>
      </c>
      <c r="V157" s="3">
        <v>46007</v>
      </c>
      <c r="W157" s="215">
        <v>1834</v>
      </c>
      <c r="X157" s="215">
        <v>122</v>
      </c>
      <c r="Y157" s="2" t="s">
        <v>256</v>
      </c>
      <c r="AK157" s="3">
        <v>45989</v>
      </c>
      <c r="AM157" s="2">
        <v>134</v>
      </c>
      <c r="AN157" s="2" t="s">
        <v>1</v>
      </c>
      <c r="AP157" s="3">
        <v>46139</v>
      </c>
      <c r="AR157" s="2">
        <v>117</v>
      </c>
    </row>
    <row r="158" spans="2:44">
      <c r="B158" s="1">
        <v>46168</v>
      </c>
      <c r="C158" s="2">
        <v>497</v>
      </c>
      <c r="D158" s="2">
        <v>489</v>
      </c>
      <c r="E158" s="2" t="s">
        <v>255</v>
      </c>
      <c r="Q158" s="3">
        <v>46006</v>
      </c>
      <c r="R158" s="2">
        <v>282</v>
      </c>
      <c r="S158" s="2">
        <v>218</v>
      </c>
      <c r="T158" s="2" t="s">
        <v>256</v>
      </c>
      <c r="V158" s="3">
        <v>46007</v>
      </c>
      <c r="W158" s="215">
        <v>1833</v>
      </c>
      <c r="X158" s="215">
        <v>184</v>
      </c>
      <c r="Y158" s="2" t="s">
        <v>256</v>
      </c>
      <c r="AK158" s="3">
        <v>45989</v>
      </c>
      <c r="AM158" s="2">
        <v>145</v>
      </c>
      <c r="AN158" s="2" t="s">
        <v>1</v>
      </c>
      <c r="AP158" s="3">
        <v>46139</v>
      </c>
      <c r="AR158" s="2">
        <v>125</v>
      </c>
    </row>
    <row r="159" spans="2:44">
      <c r="B159" s="1">
        <v>46168</v>
      </c>
      <c r="C159" s="2">
        <v>429</v>
      </c>
      <c r="D159" s="2">
        <v>489</v>
      </c>
      <c r="E159" s="2" t="s">
        <v>255</v>
      </c>
      <c r="Q159" s="3">
        <v>46006</v>
      </c>
      <c r="R159" s="2">
        <v>281</v>
      </c>
      <c r="S159" s="2">
        <v>255</v>
      </c>
      <c r="T159" s="2" t="s">
        <v>256</v>
      </c>
      <c r="V159" s="3">
        <v>46007</v>
      </c>
      <c r="W159" s="215">
        <v>1832</v>
      </c>
      <c r="X159" s="215">
        <v>133</v>
      </c>
      <c r="Y159" s="2" t="s">
        <v>256</v>
      </c>
      <c r="AK159" s="3">
        <v>45989</v>
      </c>
      <c r="AM159" s="2">
        <v>142</v>
      </c>
      <c r="AN159" s="2" t="s">
        <v>1</v>
      </c>
      <c r="AP159" s="3">
        <v>46139</v>
      </c>
      <c r="AR159" s="2">
        <v>113</v>
      </c>
    </row>
    <row r="160" spans="2:44">
      <c r="B160" s="1">
        <v>46168</v>
      </c>
      <c r="C160" s="2">
        <v>840</v>
      </c>
      <c r="D160" s="2">
        <v>488</v>
      </c>
      <c r="E160" s="2" t="s">
        <v>255</v>
      </c>
      <c r="Q160" s="3">
        <v>46006</v>
      </c>
      <c r="R160" s="2">
        <v>280</v>
      </c>
      <c r="S160" s="2">
        <v>181</v>
      </c>
      <c r="T160" s="2" t="s">
        <v>256</v>
      </c>
      <c r="V160" s="3">
        <v>46007</v>
      </c>
      <c r="W160" s="215">
        <v>1831</v>
      </c>
      <c r="X160" s="215">
        <v>168</v>
      </c>
      <c r="Y160" s="2" t="s">
        <v>256</v>
      </c>
      <c r="AK160" s="3">
        <v>45989</v>
      </c>
      <c r="AM160" s="2">
        <v>119</v>
      </c>
      <c r="AN160" s="2" t="s">
        <v>1</v>
      </c>
      <c r="AP160" s="3">
        <v>46139</v>
      </c>
      <c r="AR160" s="2">
        <v>140</v>
      </c>
    </row>
    <row r="161" spans="2:44">
      <c r="B161" s="1">
        <v>46168</v>
      </c>
      <c r="C161" s="2">
        <v>754</v>
      </c>
      <c r="D161" s="2">
        <v>488</v>
      </c>
      <c r="E161" s="2" t="s">
        <v>255</v>
      </c>
      <c r="Q161" s="3">
        <v>46006</v>
      </c>
      <c r="R161" s="2">
        <v>279</v>
      </c>
      <c r="S161" s="2">
        <v>225</v>
      </c>
      <c r="T161" s="2" t="s">
        <v>256</v>
      </c>
      <c r="V161" s="3">
        <v>46007</v>
      </c>
      <c r="W161" s="215">
        <v>1830</v>
      </c>
      <c r="X161" s="215">
        <v>171</v>
      </c>
      <c r="Y161" s="2" t="s">
        <v>256</v>
      </c>
      <c r="AK161" s="3">
        <v>45989</v>
      </c>
      <c r="AM161" s="2">
        <v>147</v>
      </c>
      <c r="AN161" s="2" t="s">
        <v>1</v>
      </c>
      <c r="AP161" s="3">
        <v>46139</v>
      </c>
      <c r="AR161" s="2">
        <v>125</v>
      </c>
    </row>
    <row r="162" spans="2:44">
      <c r="B162" s="1">
        <v>46168</v>
      </c>
      <c r="C162" s="2">
        <v>671</v>
      </c>
      <c r="D162" s="2">
        <v>488</v>
      </c>
      <c r="E162" s="2" t="s">
        <v>255</v>
      </c>
      <c r="Q162" s="3">
        <v>46006</v>
      </c>
      <c r="R162" s="2">
        <v>277</v>
      </c>
      <c r="S162" s="2">
        <v>277</v>
      </c>
      <c r="T162" s="2" t="s">
        <v>256</v>
      </c>
      <c r="V162" s="3">
        <v>46007</v>
      </c>
      <c r="W162" s="215">
        <v>1829</v>
      </c>
      <c r="X162" s="215">
        <v>145</v>
      </c>
      <c r="Y162" s="2" t="s">
        <v>256</v>
      </c>
      <c r="AK162" s="3">
        <v>45989</v>
      </c>
      <c r="AM162" s="2">
        <v>155</v>
      </c>
      <c r="AN162" s="2" t="s">
        <v>1</v>
      </c>
      <c r="AP162" s="3">
        <v>46139</v>
      </c>
      <c r="AR162" s="2">
        <v>143</v>
      </c>
    </row>
    <row r="163" spans="2:44">
      <c r="B163" s="1">
        <v>46168</v>
      </c>
      <c r="C163" s="2">
        <v>531</v>
      </c>
      <c r="D163" s="2">
        <v>488</v>
      </c>
      <c r="E163" s="2" t="s">
        <v>255</v>
      </c>
      <c r="Q163" s="3">
        <v>46006</v>
      </c>
      <c r="R163" s="2">
        <v>276</v>
      </c>
      <c r="S163" s="2">
        <v>267</v>
      </c>
      <c r="T163" s="2" t="s">
        <v>256</v>
      </c>
      <c r="V163" s="3">
        <v>46007</v>
      </c>
      <c r="W163" s="215">
        <v>1828</v>
      </c>
      <c r="X163" s="215">
        <v>157</v>
      </c>
      <c r="Y163" s="2" t="s">
        <v>256</v>
      </c>
      <c r="AK163" s="3">
        <v>45989</v>
      </c>
      <c r="AM163" s="2">
        <v>146</v>
      </c>
      <c r="AN163" s="2" t="s">
        <v>1</v>
      </c>
      <c r="AP163" s="3">
        <v>46139</v>
      </c>
      <c r="AR163" s="2">
        <v>146</v>
      </c>
    </row>
    <row r="164" spans="2:44">
      <c r="B164" s="1">
        <v>46168</v>
      </c>
      <c r="C164" s="2">
        <v>492</v>
      </c>
      <c r="D164" s="2">
        <v>488</v>
      </c>
      <c r="E164" s="2" t="s">
        <v>255</v>
      </c>
      <c r="Q164" s="3">
        <v>46006</v>
      </c>
      <c r="R164" s="2">
        <v>274</v>
      </c>
      <c r="S164" s="2">
        <v>238</v>
      </c>
      <c r="T164" s="2" t="s">
        <v>256</v>
      </c>
      <c r="V164" s="3">
        <v>46007</v>
      </c>
      <c r="W164" s="215">
        <v>1827</v>
      </c>
      <c r="X164" s="215">
        <v>147</v>
      </c>
      <c r="Y164" s="2" t="s">
        <v>256</v>
      </c>
      <c r="AK164" s="3">
        <v>45989</v>
      </c>
      <c r="AM164" s="2">
        <v>196</v>
      </c>
      <c r="AN164" s="2" t="s">
        <v>1</v>
      </c>
      <c r="AP164" s="3">
        <v>46139</v>
      </c>
      <c r="AR164" s="2">
        <v>133</v>
      </c>
    </row>
    <row r="165" spans="2:44">
      <c r="B165" s="1">
        <v>46168</v>
      </c>
      <c r="C165" s="2">
        <v>488</v>
      </c>
      <c r="D165" s="2">
        <v>488</v>
      </c>
      <c r="E165" s="2" t="s">
        <v>255</v>
      </c>
      <c r="Q165" s="3">
        <v>46006</v>
      </c>
      <c r="R165" s="2">
        <v>273</v>
      </c>
      <c r="S165" s="2">
        <v>243</v>
      </c>
      <c r="T165" s="2" t="s">
        <v>256</v>
      </c>
      <c r="V165" s="3">
        <v>46007</v>
      </c>
      <c r="W165" s="215">
        <v>1826</v>
      </c>
      <c r="X165" s="215">
        <v>157</v>
      </c>
      <c r="Y165" s="2" t="s">
        <v>256</v>
      </c>
      <c r="AK165" s="3">
        <v>45989</v>
      </c>
      <c r="AM165" s="2">
        <v>144</v>
      </c>
      <c r="AN165" s="2" t="s">
        <v>1</v>
      </c>
      <c r="AP165" s="3">
        <v>46139</v>
      </c>
      <c r="AR165" s="2">
        <v>135</v>
      </c>
    </row>
    <row r="166" spans="2:44">
      <c r="B166" s="1">
        <v>46168</v>
      </c>
      <c r="C166" s="2">
        <v>966</v>
      </c>
      <c r="D166" s="2">
        <v>487</v>
      </c>
      <c r="E166" s="2" t="s">
        <v>255</v>
      </c>
      <c r="Q166" s="3">
        <v>46006</v>
      </c>
      <c r="R166" s="2">
        <v>272</v>
      </c>
      <c r="S166" s="2">
        <v>231</v>
      </c>
      <c r="T166" s="2" t="s">
        <v>256</v>
      </c>
      <c r="V166" s="3">
        <v>46007</v>
      </c>
      <c r="W166" s="215">
        <v>1825</v>
      </c>
      <c r="X166" s="215">
        <v>135</v>
      </c>
      <c r="Y166" s="2" t="s">
        <v>256</v>
      </c>
      <c r="AK166" s="3">
        <v>45989</v>
      </c>
      <c r="AM166" s="2">
        <v>116</v>
      </c>
      <c r="AN166" s="2" t="s">
        <v>1</v>
      </c>
      <c r="AP166" s="3">
        <v>46139</v>
      </c>
      <c r="AR166" s="2">
        <v>107</v>
      </c>
    </row>
    <row r="167" spans="2:44">
      <c r="B167" s="1">
        <v>46168</v>
      </c>
      <c r="C167" s="2">
        <v>609</v>
      </c>
      <c r="D167" s="2">
        <v>487</v>
      </c>
      <c r="E167" s="2" t="s">
        <v>255</v>
      </c>
      <c r="Q167" s="3">
        <v>46006</v>
      </c>
      <c r="R167" s="2">
        <v>271</v>
      </c>
      <c r="S167" s="2">
        <v>211</v>
      </c>
      <c r="T167" s="2" t="s">
        <v>256</v>
      </c>
      <c r="V167" s="3">
        <v>46007</v>
      </c>
      <c r="W167" s="215">
        <v>1824</v>
      </c>
      <c r="X167" s="215">
        <v>148</v>
      </c>
      <c r="Y167" s="2" t="s">
        <v>256</v>
      </c>
      <c r="AK167" s="3">
        <v>45989</v>
      </c>
      <c r="AM167" s="2">
        <v>156</v>
      </c>
      <c r="AN167" s="2" t="s">
        <v>1</v>
      </c>
      <c r="AP167" s="3">
        <v>46139</v>
      </c>
      <c r="AR167" s="2">
        <v>156</v>
      </c>
    </row>
    <row r="168" spans="2:44">
      <c r="B168" s="1">
        <v>46168</v>
      </c>
      <c r="C168" s="2">
        <v>1213</v>
      </c>
      <c r="D168" s="2">
        <v>486</v>
      </c>
      <c r="E168" s="2" t="s">
        <v>255</v>
      </c>
      <c r="Q168" s="3">
        <v>46006</v>
      </c>
      <c r="R168" s="2">
        <v>267</v>
      </c>
      <c r="S168" s="2">
        <v>174</v>
      </c>
      <c r="T168" s="2" t="s">
        <v>256</v>
      </c>
      <c r="V168" s="3">
        <v>46007</v>
      </c>
      <c r="W168" s="215">
        <v>1823</v>
      </c>
      <c r="X168" s="215">
        <v>137</v>
      </c>
      <c r="Y168" s="2" t="s">
        <v>256</v>
      </c>
      <c r="AK168" s="3">
        <v>45989</v>
      </c>
      <c r="AM168" s="2">
        <v>136</v>
      </c>
      <c r="AN168" s="2" t="s">
        <v>1</v>
      </c>
      <c r="AP168" s="3">
        <v>46139</v>
      </c>
      <c r="AR168" s="2">
        <v>127</v>
      </c>
    </row>
    <row r="169" spans="2:44">
      <c r="B169" s="1">
        <v>46168</v>
      </c>
      <c r="C169" s="2">
        <v>1206</v>
      </c>
      <c r="D169" s="2">
        <v>486</v>
      </c>
      <c r="E169" s="2" t="s">
        <v>255</v>
      </c>
      <c r="Q169" s="3">
        <v>46006</v>
      </c>
      <c r="R169" s="2">
        <v>266</v>
      </c>
      <c r="S169" s="2">
        <v>300</v>
      </c>
      <c r="T169" s="2" t="s">
        <v>256</v>
      </c>
      <c r="V169" s="3">
        <v>46007</v>
      </c>
      <c r="W169" s="215">
        <v>1822</v>
      </c>
      <c r="X169" s="215">
        <v>138</v>
      </c>
      <c r="Y169" s="2" t="s">
        <v>256</v>
      </c>
      <c r="AK169" s="3">
        <v>45989</v>
      </c>
      <c r="AM169" s="2">
        <v>169</v>
      </c>
      <c r="AN169" s="2" t="s">
        <v>1</v>
      </c>
      <c r="AP169" s="3">
        <v>46139</v>
      </c>
      <c r="AR169" s="2">
        <v>145</v>
      </c>
    </row>
    <row r="170" spans="2:44">
      <c r="B170" s="1">
        <v>46168</v>
      </c>
      <c r="C170" s="2">
        <v>1012</v>
      </c>
      <c r="D170" s="2">
        <v>486</v>
      </c>
      <c r="E170" s="2" t="s">
        <v>255</v>
      </c>
      <c r="Q170" s="3">
        <v>46006</v>
      </c>
      <c r="R170" s="2">
        <v>264</v>
      </c>
      <c r="S170" s="2">
        <v>258</v>
      </c>
      <c r="T170" s="2" t="s">
        <v>256</v>
      </c>
      <c r="V170" s="3">
        <v>46007</v>
      </c>
      <c r="W170" s="215">
        <v>1821</v>
      </c>
      <c r="X170" s="215">
        <v>143</v>
      </c>
      <c r="Y170" s="2" t="s">
        <v>256</v>
      </c>
      <c r="AK170" s="3">
        <v>45989</v>
      </c>
      <c r="AM170" s="2">
        <v>154</v>
      </c>
      <c r="AN170" s="2" t="s">
        <v>1</v>
      </c>
      <c r="AP170" s="3">
        <v>46139</v>
      </c>
      <c r="AR170" s="2">
        <v>123</v>
      </c>
    </row>
    <row r="171" spans="2:44">
      <c r="B171" s="1">
        <v>46168</v>
      </c>
      <c r="C171" s="2">
        <v>442</v>
      </c>
      <c r="D171" s="2">
        <v>486</v>
      </c>
      <c r="E171" s="2" t="s">
        <v>255</v>
      </c>
      <c r="Q171" s="3">
        <v>46006</v>
      </c>
      <c r="R171" s="2">
        <v>263</v>
      </c>
      <c r="S171" s="2">
        <v>228</v>
      </c>
      <c r="T171" s="2" t="s">
        <v>256</v>
      </c>
      <c r="V171" s="3">
        <v>46007</v>
      </c>
      <c r="W171" s="215">
        <v>1820</v>
      </c>
      <c r="X171" s="215">
        <v>164</v>
      </c>
      <c r="Y171" s="2" t="s">
        <v>256</v>
      </c>
      <c r="AK171" s="3">
        <v>45989</v>
      </c>
      <c r="AM171" s="2">
        <v>134</v>
      </c>
      <c r="AN171" s="2" t="s">
        <v>1</v>
      </c>
      <c r="AP171" s="3">
        <v>46139</v>
      </c>
      <c r="AR171" s="2">
        <v>143</v>
      </c>
    </row>
    <row r="172" spans="2:44">
      <c r="B172" s="1">
        <v>46168</v>
      </c>
      <c r="C172" s="2">
        <v>381</v>
      </c>
      <c r="D172" s="2">
        <v>486</v>
      </c>
      <c r="E172" s="2" t="s">
        <v>255</v>
      </c>
      <c r="Q172" s="3">
        <v>46006</v>
      </c>
      <c r="R172" s="2">
        <v>260</v>
      </c>
      <c r="S172" s="2">
        <v>194</v>
      </c>
      <c r="T172" s="2" t="s">
        <v>256</v>
      </c>
      <c r="V172" s="3">
        <v>46007</v>
      </c>
      <c r="W172" s="215">
        <v>1819</v>
      </c>
      <c r="X172" s="215">
        <v>190</v>
      </c>
      <c r="Y172" s="2" t="s">
        <v>256</v>
      </c>
      <c r="AK172" s="3">
        <v>45989</v>
      </c>
      <c r="AM172" s="2">
        <v>148</v>
      </c>
      <c r="AN172" s="2" t="s">
        <v>1</v>
      </c>
      <c r="AP172" s="3">
        <v>46139</v>
      </c>
      <c r="AR172" s="2">
        <v>149</v>
      </c>
    </row>
    <row r="173" spans="2:44">
      <c r="B173" s="1">
        <v>46168</v>
      </c>
      <c r="C173" s="2">
        <v>326</v>
      </c>
      <c r="D173" s="2">
        <v>486</v>
      </c>
      <c r="E173" s="2" t="s">
        <v>255</v>
      </c>
      <c r="Q173" s="3">
        <v>46006</v>
      </c>
      <c r="R173" s="2">
        <v>259</v>
      </c>
      <c r="S173" s="2">
        <v>231</v>
      </c>
      <c r="T173" s="2" t="s">
        <v>256</v>
      </c>
      <c r="V173" s="3">
        <v>46007</v>
      </c>
      <c r="W173" s="215">
        <v>1818</v>
      </c>
      <c r="X173" s="215">
        <v>192</v>
      </c>
      <c r="Y173" s="2" t="s">
        <v>256</v>
      </c>
      <c r="AK173" s="3">
        <v>45989</v>
      </c>
      <c r="AM173" s="2">
        <v>174</v>
      </c>
      <c r="AN173" s="2" t="s">
        <v>1</v>
      </c>
      <c r="AP173" s="3">
        <v>46139</v>
      </c>
      <c r="AR173" s="2">
        <v>139</v>
      </c>
    </row>
    <row r="174" spans="2:44">
      <c r="B174" s="1">
        <v>46168</v>
      </c>
      <c r="C174" s="2">
        <v>546</v>
      </c>
      <c r="D174" s="2">
        <v>485</v>
      </c>
      <c r="E174" s="2" t="s">
        <v>255</v>
      </c>
      <c r="Q174" s="3">
        <v>46006</v>
      </c>
      <c r="R174" s="2">
        <v>258</v>
      </c>
      <c r="S174" s="2">
        <v>347</v>
      </c>
      <c r="T174" s="2" t="s">
        <v>256</v>
      </c>
      <c r="V174" s="3">
        <v>46007</v>
      </c>
      <c r="W174" s="215">
        <v>1817</v>
      </c>
      <c r="X174" s="215">
        <v>177</v>
      </c>
      <c r="Y174" s="2" t="s">
        <v>256</v>
      </c>
      <c r="AK174" s="3">
        <v>45989</v>
      </c>
      <c r="AM174" s="2">
        <v>114</v>
      </c>
      <c r="AN174" s="2" t="s">
        <v>1</v>
      </c>
      <c r="AP174" s="3">
        <v>46139</v>
      </c>
      <c r="AR174" s="2">
        <v>101</v>
      </c>
    </row>
    <row r="175" spans="2:44">
      <c r="B175" s="1">
        <v>46168</v>
      </c>
      <c r="C175" s="2">
        <v>947</v>
      </c>
      <c r="D175" s="2">
        <v>484</v>
      </c>
      <c r="E175" s="2" t="s">
        <v>255</v>
      </c>
      <c r="Q175" s="3">
        <v>46006</v>
      </c>
      <c r="R175" s="2">
        <v>257</v>
      </c>
      <c r="S175" s="2">
        <v>293</v>
      </c>
      <c r="T175" s="2" t="s">
        <v>256</v>
      </c>
      <c r="V175" s="3">
        <v>46007</v>
      </c>
      <c r="W175" s="215">
        <v>1816</v>
      </c>
      <c r="X175" s="215">
        <v>127</v>
      </c>
      <c r="Y175" s="2" t="s">
        <v>256</v>
      </c>
      <c r="AK175" s="3">
        <v>45989</v>
      </c>
      <c r="AM175" s="2">
        <v>117</v>
      </c>
      <c r="AN175" s="2" t="s">
        <v>1</v>
      </c>
      <c r="AP175" s="3">
        <v>46139</v>
      </c>
      <c r="AR175" s="2">
        <v>147</v>
      </c>
    </row>
    <row r="176" spans="2:44">
      <c r="B176" s="1">
        <v>46168</v>
      </c>
      <c r="C176" s="2">
        <v>846</v>
      </c>
      <c r="D176" s="2">
        <v>484</v>
      </c>
      <c r="E176" s="2" t="s">
        <v>255</v>
      </c>
      <c r="Q176" s="3">
        <v>46006</v>
      </c>
      <c r="R176" s="2">
        <v>256</v>
      </c>
      <c r="S176" s="2">
        <v>205</v>
      </c>
      <c r="T176" s="2" t="s">
        <v>256</v>
      </c>
      <c r="V176" s="3">
        <v>46007</v>
      </c>
      <c r="W176" s="215">
        <v>1815</v>
      </c>
      <c r="X176" s="215">
        <v>145</v>
      </c>
      <c r="Y176" s="2" t="s">
        <v>256</v>
      </c>
      <c r="AK176" s="3">
        <v>45989</v>
      </c>
      <c r="AM176" s="2">
        <v>181</v>
      </c>
      <c r="AN176" s="2" t="s">
        <v>1</v>
      </c>
      <c r="AP176" s="3">
        <v>46139</v>
      </c>
      <c r="AR176" s="2">
        <v>107</v>
      </c>
    </row>
    <row r="177" spans="2:44">
      <c r="B177" s="1">
        <v>46168</v>
      </c>
      <c r="C177" s="2">
        <v>730</v>
      </c>
      <c r="D177" s="2">
        <v>484</v>
      </c>
      <c r="E177" s="2" t="s">
        <v>255</v>
      </c>
      <c r="Q177" s="3">
        <v>46006</v>
      </c>
      <c r="R177" s="2">
        <v>252</v>
      </c>
      <c r="S177" s="2">
        <v>301</v>
      </c>
      <c r="T177" s="2" t="s">
        <v>256</v>
      </c>
      <c r="V177" s="3">
        <v>46007</v>
      </c>
      <c r="W177" s="215">
        <v>1814</v>
      </c>
      <c r="X177" s="215">
        <v>126</v>
      </c>
      <c r="Y177" s="2" t="s">
        <v>256</v>
      </c>
      <c r="AK177" s="3">
        <v>45989</v>
      </c>
      <c r="AM177" s="2">
        <v>179</v>
      </c>
      <c r="AN177" s="2" t="s">
        <v>1</v>
      </c>
      <c r="AP177" s="3">
        <v>46139</v>
      </c>
      <c r="AR177" s="2">
        <v>136</v>
      </c>
    </row>
    <row r="178" spans="2:44">
      <c r="B178" s="1">
        <v>46168</v>
      </c>
      <c r="C178" s="2">
        <v>1217</v>
      </c>
      <c r="D178" s="2">
        <v>483</v>
      </c>
      <c r="E178" s="2" t="s">
        <v>255</v>
      </c>
      <c r="Q178" s="3">
        <v>46006</v>
      </c>
      <c r="R178" s="2">
        <v>251</v>
      </c>
      <c r="S178" s="2">
        <v>249</v>
      </c>
      <c r="T178" s="2" t="s">
        <v>256</v>
      </c>
      <c r="V178" s="3">
        <v>46007</v>
      </c>
      <c r="W178" s="215">
        <v>1813</v>
      </c>
      <c r="X178" s="215">
        <v>145</v>
      </c>
      <c r="Y178" s="2" t="s">
        <v>256</v>
      </c>
      <c r="AK178" s="3">
        <v>45989</v>
      </c>
      <c r="AM178" s="2">
        <v>110</v>
      </c>
      <c r="AN178" s="2" t="s">
        <v>1</v>
      </c>
      <c r="AP178" s="3">
        <v>46139</v>
      </c>
      <c r="AR178" s="2">
        <v>98</v>
      </c>
    </row>
    <row r="179" spans="2:44">
      <c r="B179" s="1">
        <v>46168</v>
      </c>
      <c r="C179" s="2">
        <v>1170</v>
      </c>
      <c r="D179" s="2">
        <v>482</v>
      </c>
      <c r="E179" s="2" t="s">
        <v>255</v>
      </c>
      <c r="Q179" s="3">
        <v>46006</v>
      </c>
      <c r="R179" s="2">
        <v>250</v>
      </c>
      <c r="S179" s="2">
        <v>213</v>
      </c>
      <c r="T179" s="2" t="s">
        <v>256</v>
      </c>
      <c r="V179" s="3">
        <v>46007</v>
      </c>
      <c r="W179" s="215">
        <v>1812</v>
      </c>
      <c r="X179" s="215">
        <v>158</v>
      </c>
      <c r="Y179" s="2" t="s">
        <v>256</v>
      </c>
      <c r="AK179" s="3">
        <v>45989</v>
      </c>
      <c r="AM179" s="2">
        <v>180</v>
      </c>
      <c r="AN179" s="2" t="s">
        <v>1</v>
      </c>
      <c r="AP179" s="3">
        <v>46139</v>
      </c>
      <c r="AR179" s="2">
        <v>128</v>
      </c>
    </row>
    <row r="180" spans="2:44">
      <c r="B180" s="1">
        <v>46168</v>
      </c>
      <c r="C180" s="2">
        <v>1146</v>
      </c>
      <c r="D180" s="2">
        <v>482</v>
      </c>
      <c r="E180" s="2" t="s">
        <v>255</v>
      </c>
      <c r="Q180" s="3">
        <v>46006</v>
      </c>
      <c r="R180" s="2">
        <v>248</v>
      </c>
      <c r="S180" s="2">
        <v>253</v>
      </c>
      <c r="T180" s="2" t="s">
        <v>256</v>
      </c>
      <c r="V180" s="3">
        <v>46007</v>
      </c>
      <c r="W180" s="215">
        <v>1811</v>
      </c>
      <c r="X180" s="215">
        <v>175</v>
      </c>
      <c r="Y180" s="2" t="s">
        <v>256</v>
      </c>
      <c r="AK180" s="3">
        <v>45989</v>
      </c>
      <c r="AM180" s="2">
        <v>140</v>
      </c>
      <c r="AN180" s="2" t="s">
        <v>1</v>
      </c>
      <c r="AP180" s="3">
        <v>46139</v>
      </c>
      <c r="AR180" s="2">
        <v>145</v>
      </c>
    </row>
    <row r="181" spans="2:44">
      <c r="B181" s="1">
        <v>46168</v>
      </c>
      <c r="C181" s="2">
        <v>1081</v>
      </c>
      <c r="D181" s="2">
        <v>482</v>
      </c>
      <c r="E181" s="2" t="s">
        <v>255</v>
      </c>
      <c r="Q181" s="3">
        <v>46006</v>
      </c>
      <c r="R181" s="2">
        <v>246</v>
      </c>
      <c r="S181" s="2">
        <v>313</v>
      </c>
      <c r="T181" s="2" t="s">
        <v>256</v>
      </c>
      <c r="V181" s="3">
        <v>46007</v>
      </c>
      <c r="W181" s="215">
        <v>1810</v>
      </c>
      <c r="X181" s="215">
        <v>136</v>
      </c>
      <c r="Y181" s="2" t="s">
        <v>256</v>
      </c>
      <c r="AK181" s="3">
        <v>45989</v>
      </c>
      <c r="AM181" s="2">
        <v>136</v>
      </c>
      <c r="AN181" s="2" t="s">
        <v>1</v>
      </c>
      <c r="AP181" s="3">
        <v>46139</v>
      </c>
      <c r="AR181" s="2">
        <v>145</v>
      </c>
    </row>
    <row r="182" spans="2:44">
      <c r="B182" s="1">
        <v>46168</v>
      </c>
      <c r="C182" s="2">
        <v>921</v>
      </c>
      <c r="D182" s="2">
        <v>482</v>
      </c>
      <c r="E182" s="2" t="s">
        <v>255</v>
      </c>
      <c r="Q182" s="3">
        <v>46006</v>
      </c>
      <c r="R182" s="2">
        <v>245</v>
      </c>
      <c r="S182" s="2">
        <v>311</v>
      </c>
      <c r="T182" s="2" t="s">
        <v>256</v>
      </c>
      <c r="V182" s="3">
        <v>46007</v>
      </c>
      <c r="W182" s="215">
        <v>1809</v>
      </c>
      <c r="X182" s="215">
        <v>140</v>
      </c>
      <c r="Y182" s="2" t="s">
        <v>256</v>
      </c>
      <c r="AK182" s="3">
        <v>45989</v>
      </c>
      <c r="AM182" s="2">
        <v>187</v>
      </c>
      <c r="AN182" s="2" t="s">
        <v>1</v>
      </c>
      <c r="AP182" s="3">
        <v>46139</v>
      </c>
      <c r="AR182" s="2">
        <v>141</v>
      </c>
    </row>
    <row r="183" spans="2:44">
      <c r="B183" s="1">
        <v>46168</v>
      </c>
      <c r="C183" s="2">
        <v>919</v>
      </c>
      <c r="D183" s="2">
        <v>482</v>
      </c>
      <c r="E183" s="2" t="s">
        <v>255</v>
      </c>
      <c r="Q183" s="3">
        <v>46006</v>
      </c>
      <c r="R183" s="2">
        <v>236</v>
      </c>
      <c r="S183" s="2">
        <v>224</v>
      </c>
      <c r="T183" s="2" t="s">
        <v>256</v>
      </c>
      <c r="V183" s="3">
        <v>46007</v>
      </c>
      <c r="W183" s="215">
        <v>1808</v>
      </c>
      <c r="X183" s="215">
        <v>163</v>
      </c>
      <c r="Y183" s="2" t="s">
        <v>256</v>
      </c>
      <c r="AK183" s="3">
        <v>45989</v>
      </c>
      <c r="AM183" s="2">
        <v>150</v>
      </c>
      <c r="AN183" s="2" t="s">
        <v>1</v>
      </c>
      <c r="AP183" s="3">
        <v>46139</v>
      </c>
      <c r="AR183" s="2">
        <v>142</v>
      </c>
    </row>
    <row r="184" spans="2:44">
      <c r="B184" s="1">
        <v>46168</v>
      </c>
      <c r="C184" s="2">
        <v>791</v>
      </c>
      <c r="D184" s="2">
        <v>482</v>
      </c>
      <c r="E184" s="2" t="s">
        <v>255</v>
      </c>
      <c r="Q184" s="3">
        <v>46006</v>
      </c>
      <c r="R184" s="2">
        <v>233</v>
      </c>
      <c r="S184" s="2">
        <v>187</v>
      </c>
      <c r="T184" s="2" t="s">
        <v>256</v>
      </c>
      <c r="V184" s="3">
        <v>46007</v>
      </c>
      <c r="W184" s="215">
        <v>1807</v>
      </c>
      <c r="X184" s="215">
        <v>155</v>
      </c>
      <c r="Y184" s="2" t="s">
        <v>256</v>
      </c>
      <c r="AK184" s="3">
        <v>45989</v>
      </c>
      <c r="AM184" s="2">
        <v>121</v>
      </c>
      <c r="AN184" s="2" t="s">
        <v>1</v>
      </c>
      <c r="AP184" s="3">
        <v>46139</v>
      </c>
      <c r="AR184" s="2">
        <v>145</v>
      </c>
    </row>
    <row r="185" spans="2:44">
      <c r="B185" s="1">
        <v>46168</v>
      </c>
      <c r="C185" s="2">
        <v>506</v>
      </c>
      <c r="D185" s="2">
        <v>482</v>
      </c>
      <c r="E185" s="2" t="s">
        <v>255</v>
      </c>
      <c r="Q185" s="3">
        <v>46006</v>
      </c>
      <c r="R185" s="2">
        <v>226</v>
      </c>
      <c r="S185" s="2">
        <v>281</v>
      </c>
      <c r="T185" s="2" t="s">
        <v>256</v>
      </c>
      <c r="V185" s="3">
        <v>46007</v>
      </c>
      <c r="W185" s="215">
        <v>1806</v>
      </c>
      <c r="X185" s="215">
        <v>167</v>
      </c>
      <c r="Y185" s="2" t="s">
        <v>256</v>
      </c>
      <c r="AK185" s="3">
        <v>45989</v>
      </c>
      <c r="AM185" s="2">
        <v>111</v>
      </c>
      <c r="AN185" s="2" t="s">
        <v>1</v>
      </c>
      <c r="AP185" s="3">
        <v>46139</v>
      </c>
      <c r="AR185" s="2">
        <v>143</v>
      </c>
    </row>
    <row r="186" spans="2:44">
      <c r="B186" s="1">
        <v>46168</v>
      </c>
      <c r="C186" s="2">
        <v>474</v>
      </c>
      <c r="D186" s="2">
        <v>482</v>
      </c>
      <c r="E186" s="2" t="s">
        <v>255</v>
      </c>
      <c r="Q186" s="3">
        <v>46006</v>
      </c>
      <c r="R186" s="2">
        <v>223</v>
      </c>
      <c r="S186" s="2">
        <v>217</v>
      </c>
      <c r="T186" s="2" t="s">
        <v>256</v>
      </c>
      <c r="V186" s="3">
        <v>46007</v>
      </c>
      <c r="W186" s="215">
        <v>1805</v>
      </c>
      <c r="X186" s="215">
        <v>127</v>
      </c>
      <c r="Y186" s="2" t="s">
        <v>256</v>
      </c>
      <c r="AK186" s="3">
        <v>45989</v>
      </c>
      <c r="AM186" s="2">
        <v>153</v>
      </c>
      <c r="AN186" s="2" t="s">
        <v>1</v>
      </c>
      <c r="AP186" s="3">
        <v>46139</v>
      </c>
      <c r="AR186" s="2">
        <v>137</v>
      </c>
    </row>
    <row r="187" spans="2:44">
      <c r="B187" s="1">
        <v>46168</v>
      </c>
      <c r="C187" s="2">
        <v>394</v>
      </c>
      <c r="D187" s="2">
        <v>482</v>
      </c>
      <c r="E187" s="2" t="s">
        <v>255</v>
      </c>
      <c r="Q187" s="3">
        <v>46006</v>
      </c>
      <c r="R187" s="2">
        <v>217</v>
      </c>
      <c r="S187" s="2">
        <v>320</v>
      </c>
      <c r="T187" s="2" t="s">
        <v>256</v>
      </c>
      <c r="V187" s="3">
        <v>46007</v>
      </c>
      <c r="W187" s="215">
        <v>1804</v>
      </c>
      <c r="X187" s="215">
        <v>137</v>
      </c>
      <c r="Y187" s="2" t="s">
        <v>256</v>
      </c>
      <c r="AK187" s="3">
        <v>45989</v>
      </c>
      <c r="AM187" s="2">
        <v>151</v>
      </c>
      <c r="AN187" s="2" t="s">
        <v>1</v>
      </c>
      <c r="AP187" s="3">
        <v>46139</v>
      </c>
      <c r="AR187" s="2">
        <v>147</v>
      </c>
    </row>
    <row r="188" spans="2:44">
      <c r="B188" s="1">
        <v>46168</v>
      </c>
      <c r="C188" s="2">
        <v>320</v>
      </c>
      <c r="D188" s="2">
        <v>482</v>
      </c>
      <c r="E188" s="2" t="s">
        <v>255</v>
      </c>
      <c r="Q188" s="3">
        <v>46006</v>
      </c>
      <c r="R188" s="2">
        <v>216</v>
      </c>
      <c r="S188" s="2">
        <v>188</v>
      </c>
      <c r="T188" s="2" t="s">
        <v>256</v>
      </c>
      <c r="V188" s="3">
        <v>46007</v>
      </c>
      <c r="W188" s="215">
        <v>1803</v>
      </c>
      <c r="X188" s="215">
        <v>134</v>
      </c>
      <c r="Y188" s="2" t="s">
        <v>256</v>
      </c>
      <c r="AK188" s="3">
        <v>45989</v>
      </c>
      <c r="AM188" s="2">
        <v>152</v>
      </c>
      <c r="AN188" s="2" t="s">
        <v>1</v>
      </c>
      <c r="AP188" s="3">
        <v>46139</v>
      </c>
      <c r="AR188" s="2">
        <v>127</v>
      </c>
    </row>
    <row r="189" spans="2:44">
      <c r="B189" s="1">
        <v>46168</v>
      </c>
      <c r="C189" s="2">
        <v>1062</v>
      </c>
      <c r="D189" s="2">
        <v>481</v>
      </c>
      <c r="E189" s="2" t="s">
        <v>255</v>
      </c>
      <c r="Q189" s="3">
        <v>46006</v>
      </c>
      <c r="R189" s="2">
        <v>214</v>
      </c>
      <c r="S189" s="2">
        <v>205</v>
      </c>
      <c r="T189" s="2" t="s">
        <v>256</v>
      </c>
      <c r="V189" s="3">
        <v>46007</v>
      </c>
      <c r="W189" s="215">
        <v>1802</v>
      </c>
      <c r="X189" s="215">
        <v>162</v>
      </c>
      <c r="Y189" s="2" t="s">
        <v>256</v>
      </c>
      <c r="AK189" s="3">
        <v>45989</v>
      </c>
      <c r="AM189" s="2">
        <v>184</v>
      </c>
      <c r="AN189" s="2" t="s">
        <v>1</v>
      </c>
      <c r="AP189" s="3">
        <v>46139</v>
      </c>
      <c r="AR189" s="2">
        <v>156</v>
      </c>
    </row>
    <row r="190" spans="2:44">
      <c r="B190" s="1">
        <v>46168</v>
      </c>
      <c r="C190" s="2">
        <v>697</v>
      </c>
      <c r="D190" s="2">
        <v>481</v>
      </c>
      <c r="E190" s="2" t="s">
        <v>255</v>
      </c>
      <c r="Q190" s="3">
        <v>46006</v>
      </c>
      <c r="R190" s="2">
        <v>210</v>
      </c>
      <c r="S190" s="2">
        <v>248</v>
      </c>
      <c r="T190" s="2" t="s">
        <v>256</v>
      </c>
      <c r="V190" s="3">
        <v>46007</v>
      </c>
      <c r="W190" s="215">
        <v>1801</v>
      </c>
      <c r="X190" s="215">
        <v>146</v>
      </c>
      <c r="Y190" s="2" t="s">
        <v>256</v>
      </c>
      <c r="AK190" s="3">
        <v>45989</v>
      </c>
      <c r="AM190" s="2">
        <v>144</v>
      </c>
      <c r="AN190" s="2" t="s">
        <v>1</v>
      </c>
      <c r="AP190" s="3">
        <v>46139</v>
      </c>
      <c r="AR190" s="2">
        <v>151</v>
      </c>
    </row>
    <row r="191" spans="2:44">
      <c r="B191" s="1">
        <v>46168</v>
      </c>
      <c r="C191" s="2">
        <v>514</v>
      </c>
      <c r="D191" s="2">
        <v>481</v>
      </c>
      <c r="E191" s="2" t="s">
        <v>255</v>
      </c>
      <c r="Q191" s="3">
        <v>46006</v>
      </c>
      <c r="R191" s="2">
        <v>208</v>
      </c>
      <c r="S191" s="2">
        <v>233</v>
      </c>
      <c r="T191" s="2" t="s">
        <v>256</v>
      </c>
      <c r="V191" s="3">
        <v>46007</v>
      </c>
      <c r="W191" s="215">
        <v>1800</v>
      </c>
      <c r="X191" s="215">
        <v>171</v>
      </c>
      <c r="Y191" s="2" t="s">
        <v>256</v>
      </c>
      <c r="AK191" s="3">
        <v>45989</v>
      </c>
      <c r="AM191" s="2">
        <v>185</v>
      </c>
      <c r="AN191" s="2" t="s">
        <v>1</v>
      </c>
      <c r="AP191" s="3">
        <v>46139</v>
      </c>
      <c r="AR191" s="2">
        <v>107</v>
      </c>
    </row>
    <row r="192" spans="2:44">
      <c r="B192" s="1">
        <v>46168</v>
      </c>
      <c r="C192" s="2">
        <v>1472</v>
      </c>
      <c r="D192" s="2">
        <v>480</v>
      </c>
      <c r="E192" s="2" t="s">
        <v>255</v>
      </c>
      <c r="Q192" s="3">
        <v>46006</v>
      </c>
      <c r="R192" s="2">
        <v>199</v>
      </c>
      <c r="S192" s="2">
        <v>236</v>
      </c>
      <c r="T192" s="2" t="s">
        <v>256</v>
      </c>
      <c r="V192" s="3">
        <v>46007</v>
      </c>
      <c r="W192" s="215">
        <v>1799</v>
      </c>
      <c r="X192" s="215">
        <v>137</v>
      </c>
      <c r="Y192" s="2" t="s">
        <v>256</v>
      </c>
      <c r="AK192" s="3">
        <v>45989</v>
      </c>
      <c r="AM192" s="2">
        <v>178</v>
      </c>
      <c r="AN192" s="2" t="s">
        <v>1</v>
      </c>
      <c r="AP192" s="3">
        <v>46139</v>
      </c>
      <c r="AR192" s="2">
        <v>140</v>
      </c>
    </row>
    <row r="193" spans="2:44">
      <c r="B193" s="1">
        <v>46168</v>
      </c>
      <c r="C193" s="2">
        <v>1065</v>
      </c>
      <c r="D193" s="2">
        <v>480</v>
      </c>
      <c r="E193" s="2" t="s">
        <v>255</v>
      </c>
      <c r="Q193" s="3">
        <v>46006</v>
      </c>
      <c r="R193" s="2">
        <v>196</v>
      </c>
      <c r="S193" s="2">
        <v>246</v>
      </c>
      <c r="T193" s="2" t="s">
        <v>256</v>
      </c>
      <c r="V193" s="3">
        <v>46007</v>
      </c>
      <c r="W193" s="215">
        <v>1798</v>
      </c>
      <c r="X193" s="215">
        <v>172</v>
      </c>
      <c r="Y193" s="2" t="s">
        <v>256</v>
      </c>
      <c r="AP193" s="3">
        <v>46139</v>
      </c>
      <c r="AR193" s="2">
        <v>124</v>
      </c>
    </row>
    <row r="194" spans="2:44">
      <c r="B194" s="1">
        <v>46168</v>
      </c>
      <c r="C194" s="2">
        <v>996</v>
      </c>
      <c r="D194" s="2">
        <v>480</v>
      </c>
      <c r="E194" s="2" t="s">
        <v>255</v>
      </c>
      <c r="Q194" s="3">
        <v>46006</v>
      </c>
      <c r="R194" s="2">
        <v>191</v>
      </c>
      <c r="S194" s="2">
        <v>205</v>
      </c>
      <c r="T194" s="2" t="s">
        <v>256</v>
      </c>
      <c r="V194" s="3">
        <v>46007</v>
      </c>
      <c r="W194" s="215">
        <v>1797</v>
      </c>
      <c r="X194" s="215">
        <v>168</v>
      </c>
      <c r="Y194" s="2" t="s">
        <v>256</v>
      </c>
      <c r="AP194" s="3">
        <v>46139</v>
      </c>
      <c r="AR194" s="2">
        <v>163</v>
      </c>
    </row>
    <row r="195" spans="2:44">
      <c r="B195" s="1">
        <v>46168</v>
      </c>
      <c r="C195" s="2">
        <v>888</v>
      </c>
      <c r="D195" s="2">
        <v>480</v>
      </c>
      <c r="E195" s="2" t="s">
        <v>255</v>
      </c>
      <c r="Q195" s="3">
        <v>46006</v>
      </c>
      <c r="R195" s="2">
        <v>188</v>
      </c>
      <c r="S195" s="2">
        <v>259</v>
      </c>
      <c r="T195" s="2" t="s">
        <v>256</v>
      </c>
      <c r="V195" s="3">
        <v>46007</v>
      </c>
      <c r="W195" s="215">
        <v>1796</v>
      </c>
      <c r="X195" s="215">
        <v>177</v>
      </c>
      <c r="Y195" s="2" t="s">
        <v>256</v>
      </c>
      <c r="AP195" s="3">
        <v>46139</v>
      </c>
      <c r="AR195" s="2">
        <v>134</v>
      </c>
    </row>
    <row r="196" spans="2:44">
      <c r="B196" s="1">
        <v>46168</v>
      </c>
      <c r="C196" s="2">
        <v>772</v>
      </c>
      <c r="D196" s="2">
        <v>480</v>
      </c>
      <c r="E196" s="2" t="s">
        <v>255</v>
      </c>
      <c r="Q196" s="3">
        <v>46006</v>
      </c>
      <c r="R196" s="2">
        <v>187</v>
      </c>
      <c r="S196" s="2">
        <v>285</v>
      </c>
      <c r="T196" s="2" t="s">
        <v>256</v>
      </c>
      <c r="V196" s="3">
        <v>46007</v>
      </c>
      <c r="W196" s="215">
        <v>1795</v>
      </c>
      <c r="X196" s="215">
        <v>147</v>
      </c>
      <c r="Y196" s="2" t="s">
        <v>256</v>
      </c>
      <c r="AP196" s="3">
        <v>46139</v>
      </c>
      <c r="AR196" s="2">
        <v>137</v>
      </c>
    </row>
    <row r="197" spans="2:44">
      <c r="B197" s="1">
        <v>46168</v>
      </c>
      <c r="C197" s="2">
        <v>692</v>
      </c>
      <c r="D197" s="2">
        <v>480</v>
      </c>
      <c r="E197" s="2" t="s">
        <v>255</v>
      </c>
      <c r="Q197" s="3">
        <v>46006</v>
      </c>
      <c r="R197" s="2">
        <v>186</v>
      </c>
      <c r="S197" s="2">
        <v>180</v>
      </c>
      <c r="T197" s="2" t="s">
        <v>256</v>
      </c>
      <c r="V197" s="3">
        <v>46007</v>
      </c>
      <c r="W197" s="215">
        <v>1794</v>
      </c>
      <c r="X197" s="215">
        <v>215</v>
      </c>
      <c r="Y197" s="2" t="s">
        <v>256</v>
      </c>
      <c r="AP197" s="3">
        <v>46139</v>
      </c>
      <c r="AR197" s="2">
        <v>119</v>
      </c>
    </row>
    <row r="198" spans="2:44">
      <c r="B198" s="1">
        <v>46168</v>
      </c>
      <c r="C198" s="2">
        <v>304</v>
      </c>
      <c r="D198" s="2">
        <v>480</v>
      </c>
      <c r="E198" s="2" t="s">
        <v>255</v>
      </c>
      <c r="Q198" s="3">
        <v>46006</v>
      </c>
      <c r="R198" s="2">
        <v>183</v>
      </c>
      <c r="S198" s="2">
        <v>221</v>
      </c>
      <c r="T198" s="2" t="s">
        <v>256</v>
      </c>
      <c r="V198" s="3">
        <v>46007</v>
      </c>
      <c r="W198" s="215">
        <v>1793</v>
      </c>
      <c r="X198" s="215">
        <v>162</v>
      </c>
      <c r="Y198" s="2" t="s">
        <v>256</v>
      </c>
      <c r="AP198" s="3">
        <v>46139</v>
      </c>
      <c r="AR198" s="2">
        <v>104</v>
      </c>
    </row>
    <row r="199" spans="2:44">
      <c r="B199" s="1">
        <v>46168</v>
      </c>
      <c r="C199" s="2">
        <v>1189</v>
      </c>
      <c r="D199" s="2">
        <v>478</v>
      </c>
      <c r="E199" s="2" t="s">
        <v>255</v>
      </c>
      <c r="Q199" s="3">
        <v>46006</v>
      </c>
      <c r="R199" s="2">
        <v>182</v>
      </c>
      <c r="S199" s="2">
        <v>209</v>
      </c>
      <c r="T199" s="2" t="s">
        <v>256</v>
      </c>
      <c r="V199" s="3">
        <v>46007</v>
      </c>
      <c r="W199" s="215">
        <v>1792</v>
      </c>
      <c r="X199" s="215">
        <v>196</v>
      </c>
      <c r="Y199" s="2" t="s">
        <v>256</v>
      </c>
      <c r="AP199" s="3">
        <v>46139</v>
      </c>
      <c r="AR199" s="2">
        <v>140</v>
      </c>
    </row>
    <row r="200" spans="2:44">
      <c r="B200" s="1">
        <v>46168</v>
      </c>
      <c r="C200" s="2">
        <v>743</v>
      </c>
      <c r="D200" s="2">
        <v>478</v>
      </c>
      <c r="E200" s="2" t="s">
        <v>255</v>
      </c>
      <c r="Q200" s="3">
        <v>46006</v>
      </c>
      <c r="R200" s="2">
        <v>181</v>
      </c>
      <c r="S200" s="2">
        <v>251</v>
      </c>
      <c r="T200" s="2" t="s">
        <v>256</v>
      </c>
      <c r="V200" s="3">
        <v>46007</v>
      </c>
      <c r="W200" s="215">
        <v>1791</v>
      </c>
      <c r="X200" s="215">
        <v>164</v>
      </c>
      <c r="Y200" s="2" t="s">
        <v>256</v>
      </c>
      <c r="AP200" s="3">
        <v>46139</v>
      </c>
      <c r="AR200" s="2">
        <v>148</v>
      </c>
    </row>
    <row r="201" spans="2:44">
      <c r="B201" s="1">
        <v>46168</v>
      </c>
      <c r="C201" s="2">
        <v>676</v>
      </c>
      <c r="D201" s="2">
        <v>478</v>
      </c>
      <c r="E201" s="2" t="s">
        <v>255</v>
      </c>
      <c r="Q201" s="3">
        <v>46006</v>
      </c>
      <c r="R201" s="2">
        <v>180</v>
      </c>
      <c r="S201" s="2">
        <v>284</v>
      </c>
      <c r="T201" s="2" t="s">
        <v>256</v>
      </c>
      <c r="V201" s="3">
        <v>46007</v>
      </c>
      <c r="W201" s="215">
        <v>1790</v>
      </c>
      <c r="X201" s="215">
        <v>170</v>
      </c>
      <c r="Y201" s="2" t="s">
        <v>256</v>
      </c>
      <c r="AP201" s="3">
        <v>46139</v>
      </c>
      <c r="AR201" s="2">
        <v>143</v>
      </c>
    </row>
    <row r="202" spans="2:44">
      <c r="B202" s="1">
        <v>46168</v>
      </c>
      <c r="C202" s="2">
        <v>390</v>
      </c>
      <c r="D202" s="2">
        <v>478</v>
      </c>
      <c r="E202" s="2" t="s">
        <v>255</v>
      </c>
      <c r="Q202" s="3">
        <v>46006</v>
      </c>
      <c r="R202" s="2">
        <v>179</v>
      </c>
      <c r="S202" s="2">
        <v>234</v>
      </c>
      <c r="T202" s="2" t="s">
        <v>256</v>
      </c>
      <c r="V202" s="3">
        <v>46007</v>
      </c>
      <c r="W202" s="215">
        <v>1789</v>
      </c>
      <c r="X202" s="215">
        <v>129</v>
      </c>
      <c r="Y202" s="2" t="s">
        <v>256</v>
      </c>
      <c r="AP202" s="3">
        <v>46139</v>
      </c>
      <c r="AR202" s="2">
        <v>137</v>
      </c>
    </row>
    <row r="203" spans="2:44">
      <c r="B203" s="1">
        <v>46168</v>
      </c>
      <c r="C203" s="2">
        <v>729</v>
      </c>
      <c r="D203" s="2">
        <v>477</v>
      </c>
      <c r="E203" s="2" t="s">
        <v>255</v>
      </c>
      <c r="Q203" s="3">
        <v>46006</v>
      </c>
      <c r="R203" s="2">
        <v>165</v>
      </c>
      <c r="S203" s="2">
        <v>202</v>
      </c>
      <c r="T203" s="2" t="s">
        <v>256</v>
      </c>
      <c r="V203" s="3">
        <v>46007</v>
      </c>
      <c r="W203" s="215">
        <v>1788</v>
      </c>
      <c r="X203" s="215">
        <v>158</v>
      </c>
      <c r="Y203" s="2" t="s">
        <v>256</v>
      </c>
      <c r="AP203" s="3">
        <v>46139</v>
      </c>
      <c r="AR203" s="2">
        <v>146</v>
      </c>
    </row>
    <row r="204" spans="2:44">
      <c r="B204" s="1">
        <v>46168</v>
      </c>
      <c r="C204" s="2">
        <v>423</v>
      </c>
      <c r="D204" s="2">
        <v>477</v>
      </c>
      <c r="E204" s="2" t="s">
        <v>255</v>
      </c>
      <c r="Q204" s="3">
        <v>46006</v>
      </c>
      <c r="R204" s="2">
        <v>159</v>
      </c>
      <c r="S204" s="2">
        <v>226</v>
      </c>
      <c r="T204" s="2" t="s">
        <v>256</v>
      </c>
      <c r="V204" s="3">
        <v>46007</v>
      </c>
      <c r="W204" s="215">
        <v>1787</v>
      </c>
      <c r="X204" s="215">
        <v>138</v>
      </c>
      <c r="Y204" s="2" t="s">
        <v>256</v>
      </c>
      <c r="AP204" s="3">
        <v>46139</v>
      </c>
      <c r="AR204" s="2">
        <v>125</v>
      </c>
    </row>
    <row r="205" spans="2:44">
      <c r="B205" s="1">
        <v>46168</v>
      </c>
      <c r="C205" s="2">
        <v>982</v>
      </c>
      <c r="D205" s="2">
        <v>476</v>
      </c>
      <c r="E205" s="2" t="s">
        <v>255</v>
      </c>
      <c r="Q205" s="3">
        <v>46006</v>
      </c>
      <c r="R205" s="2">
        <v>148</v>
      </c>
      <c r="S205" s="2">
        <v>242</v>
      </c>
      <c r="T205" s="2" t="s">
        <v>256</v>
      </c>
      <c r="V205" s="3">
        <v>46007</v>
      </c>
      <c r="W205" s="215">
        <v>1786</v>
      </c>
      <c r="X205" s="215">
        <v>130</v>
      </c>
      <c r="Y205" s="2" t="s">
        <v>256</v>
      </c>
      <c r="AP205" s="3">
        <v>46139</v>
      </c>
      <c r="AR205" s="2">
        <v>135</v>
      </c>
    </row>
    <row r="206" spans="2:44">
      <c r="B206" s="1">
        <v>46168</v>
      </c>
      <c r="C206" s="2">
        <v>683</v>
      </c>
      <c r="D206" s="2">
        <v>476</v>
      </c>
      <c r="E206" s="2" t="s">
        <v>255</v>
      </c>
      <c r="Q206" s="3">
        <v>46006</v>
      </c>
      <c r="R206" s="2">
        <v>133</v>
      </c>
      <c r="S206" s="2">
        <v>296</v>
      </c>
      <c r="T206" s="2" t="s">
        <v>256</v>
      </c>
      <c r="V206" s="3">
        <v>46007</v>
      </c>
      <c r="W206" s="215">
        <v>1785</v>
      </c>
      <c r="X206" s="215">
        <v>147</v>
      </c>
      <c r="Y206" s="2" t="s">
        <v>256</v>
      </c>
      <c r="AP206" s="3">
        <v>46139</v>
      </c>
      <c r="AR206" s="2">
        <v>142</v>
      </c>
    </row>
    <row r="207" spans="2:44">
      <c r="B207" s="1">
        <v>46168</v>
      </c>
      <c r="C207" s="2">
        <v>1024</v>
      </c>
      <c r="D207" s="2">
        <v>475</v>
      </c>
      <c r="E207" s="2" t="s">
        <v>255</v>
      </c>
      <c r="Q207" s="3">
        <v>46006</v>
      </c>
      <c r="R207" s="2">
        <v>131</v>
      </c>
      <c r="S207" s="2">
        <v>193</v>
      </c>
      <c r="T207" s="2" t="s">
        <v>256</v>
      </c>
      <c r="V207" s="3">
        <v>46007</v>
      </c>
      <c r="W207" s="215">
        <v>1784</v>
      </c>
      <c r="X207" s="215">
        <v>148</v>
      </c>
      <c r="Y207" s="2" t="s">
        <v>256</v>
      </c>
      <c r="AP207" s="3">
        <v>46139</v>
      </c>
      <c r="AR207" s="2">
        <v>129</v>
      </c>
    </row>
    <row r="208" spans="2:44">
      <c r="B208" s="1">
        <v>46168</v>
      </c>
      <c r="C208" s="2">
        <v>968</v>
      </c>
      <c r="D208" s="2">
        <v>475</v>
      </c>
      <c r="E208" s="2" t="s">
        <v>255</v>
      </c>
      <c r="Q208" s="3">
        <v>46006</v>
      </c>
      <c r="R208" s="2">
        <v>97</v>
      </c>
      <c r="S208" s="2">
        <v>178</v>
      </c>
      <c r="T208" s="2" t="s">
        <v>256</v>
      </c>
      <c r="V208" s="3">
        <v>46007</v>
      </c>
      <c r="W208" s="215">
        <v>1783</v>
      </c>
      <c r="X208" s="215">
        <v>131</v>
      </c>
      <c r="Y208" s="2" t="s">
        <v>256</v>
      </c>
      <c r="AP208" s="3">
        <v>46139</v>
      </c>
      <c r="AR208" s="2">
        <v>145</v>
      </c>
    </row>
    <row r="209" spans="2:44">
      <c r="B209" s="1">
        <v>46168</v>
      </c>
      <c r="C209" s="2">
        <v>602</v>
      </c>
      <c r="D209" s="2">
        <v>475</v>
      </c>
      <c r="E209" s="2" t="s">
        <v>255</v>
      </c>
      <c r="Q209" s="3">
        <v>46006</v>
      </c>
      <c r="R209" s="2">
        <v>58</v>
      </c>
      <c r="S209" s="2">
        <v>200</v>
      </c>
      <c r="T209" s="2" t="s">
        <v>256</v>
      </c>
      <c r="V209" s="3">
        <v>46007</v>
      </c>
      <c r="W209" s="215">
        <v>1782</v>
      </c>
      <c r="X209" s="215">
        <v>184</v>
      </c>
      <c r="Y209" s="2" t="s">
        <v>256</v>
      </c>
      <c r="AP209" s="3">
        <v>46139</v>
      </c>
      <c r="AR209" s="2">
        <v>114</v>
      </c>
    </row>
    <row r="210" spans="2:44">
      <c r="B210" s="1">
        <v>46168</v>
      </c>
      <c r="C210" s="2">
        <v>402</v>
      </c>
      <c r="D210" s="2">
        <v>475</v>
      </c>
      <c r="E210" s="2" t="s">
        <v>255</v>
      </c>
      <c r="Q210" s="3">
        <v>46006</v>
      </c>
      <c r="R210" s="2">
        <v>49</v>
      </c>
      <c r="S210" s="2">
        <v>210</v>
      </c>
      <c r="T210" s="2" t="s">
        <v>256</v>
      </c>
      <c r="V210" s="3">
        <v>46007</v>
      </c>
      <c r="W210" s="215">
        <v>1781</v>
      </c>
      <c r="X210" s="215">
        <v>158</v>
      </c>
      <c r="Y210" s="2" t="s">
        <v>256</v>
      </c>
      <c r="AP210" s="3">
        <v>46139</v>
      </c>
      <c r="AR210" s="2">
        <v>158</v>
      </c>
    </row>
    <row r="211" spans="2:44">
      <c r="B211" s="1">
        <v>46168</v>
      </c>
      <c r="C211" s="2">
        <v>1050</v>
      </c>
      <c r="D211" s="2">
        <v>474</v>
      </c>
      <c r="E211" s="2" t="s">
        <v>255</v>
      </c>
      <c r="Q211" s="3">
        <v>46006</v>
      </c>
      <c r="R211" s="2">
        <v>29</v>
      </c>
      <c r="S211" s="2">
        <v>234</v>
      </c>
      <c r="T211" s="2" t="s">
        <v>256</v>
      </c>
      <c r="V211" s="3">
        <v>46007</v>
      </c>
      <c r="W211" s="215">
        <v>1780</v>
      </c>
      <c r="X211" s="215">
        <v>164</v>
      </c>
      <c r="Y211" s="2" t="s">
        <v>256</v>
      </c>
      <c r="AP211" s="3">
        <v>46139</v>
      </c>
      <c r="AR211" s="2">
        <v>137</v>
      </c>
    </row>
    <row r="212" spans="2:44">
      <c r="B212" s="1">
        <v>46168</v>
      </c>
      <c r="C212" s="2">
        <v>839</v>
      </c>
      <c r="D212" s="2">
        <v>474</v>
      </c>
      <c r="E212" s="2" t="s">
        <v>255</v>
      </c>
      <c r="Q212" s="3">
        <v>46006</v>
      </c>
      <c r="R212" s="2">
        <v>23</v>
      </c>
      <c r="S212" s="2">
        <v>228</v>
      </c>
      <c r="T212" s="2" t="s">
        <v>256</v>
      </c>
      <c r="V212" s="3">
        <v>46007</v>
      </c>
      <c r="W212" s="215">
        <v>1779</v>
      </c>
      <c r="X212" s="215">
        <v>160</v>
      </c>
      <c r="Y212" s="2" t="s">
        <v>256</v>
      </c>
      <c r="AP212" s="3">
        <v>46139</v>
      </c>
      <c r="AR212" s="2">
        <v>153</v>
      </c>
    </row>
    <row r="213" spans="2:44">
      <c r="B213" s="1">
        <v>46168</v>
      </c>
      <c r="C213" s="2">
        <v>691</v>
      </c>
      <c r="D213" s="2">
        <v>474</v>
      </c>
      <c r="E213" s="2" t="s">
        <v>255</v>
      </c>
      <c r="Q213" s="3">
        <v>46006</v>
      </c>
      <c r="R213" s="2">
        <v>4</v>
      </c>
      <c r="S213" s="2">
        <v>210</v>
      </c>
      <c r="T213" s="2" t="s">
        <v>256</v>
      </c>
      <c r="V213" s="3">
        <v>46007</v>
      </c>
      <c r="W213" s="215">
        <v>1778</v>
      </c>
      <c r="X213" s="215">
        <v>146</v>
      </c>
      <c r="Y213" s="2" t="s">
        <v>256</v>
      </c>
      <c r="AP213" s="3">
        <v>46139</v>
      </c>
      <c r="AR213" s="2">
        <v>143</v>
      </c>
    </row>
    <row r="214" spans="2:44">
      <c r="B214" s="1">
        <v>46168</v>
      </c>
      <c r="C214" s="2">
        <v>405</v>
      </c>
      <c r="D214" s="2">
        <v>474</v>
      </c>
      <c r="E214" s="2" t="s">
        <v>255</v>
      </c>
      <c r="Q214" s="3"/>
      <c r="V214" s="3">
        <v>46007</v>
      </c>
      <c r="W214" s="215">
        <v>1777</v>
      </c>
      <c r="X214" s="215">
        <v>172</v>
      </c>
      <c r="Y214" s="2" t="s">
        <v>256</v>
      </c>
      <c r="AP214" s="3">
        <v>46139</v>
      </c>
      <c r="AR214" s="2">
        <v>120</v>
      </c>
    </row>
    <row r="215" spans="2:44">
      <c r="B215" s="1">
        <v>46168</v>
      </c>
      <c r="C215" s="2">
        <v>829</v>
      </c>
      <c r="D215" s="2">
        <v>473</v>
      </c>
      <c r="E215" s="2" t="s">
        <v>255</v>
      </c>
      <c r="Q215" s="3"/>
      <c r="V215" s="3">
        <v>46007</v>
      </c>
      <c r="W215" s="215">
        <v>1776</v>
      </c>
      <c r="X215" s="215">
        <v>178</v>
      </c>
      <c r="Y215" s="2" t="s">
        <v>256</v>
      </c>
      <c r="AP215" s="3">
        <v>46139</v>
      </c>
      <c r="AR215" s="2">
        <v>144</v>
      </c>
    </row>
    <row r="216" spans="2:44">
      <c r="B216" s="1">
        <v>46168</v>
      </c>
      <c r="C216" s="2">
        <v>577</v>
      </c>
      <c r="D216" s="2">
        <v>473</v>
      </c>
      <c r="E216" s="2" t="s">
        <v>255</v>
      </c>
      <c r="Q216" s="3"/>
      <c r="V216" s="3">
        <v>46007</v>
      </c>
      <c r="W216" s="215">
        <v>1775</v>
      </c>
      <c r="X216" s="215">
        <v>202</v>
      </c>
      <c r="Y216" s="2" t="s">
        <v>256</v>
      </c>
      <c r="AP216" s="3">
        <v>46139</v>
      </c>
      <c r="AR216" s="2">
        <v>127</v>
      </c>
    </row>
    <row r="217" spans="2:44">
      <c r="B217" s="1">
        <v>46168</v>
      </c>
      <c r="C217" s="2">
        <v>519</v>
      </c>
      <c r="D217" s="2">
        <v>473</v>
      </c>
      <c r="E217" s="2" t="s">
        <v>255</v>
      </c>
      <c r="Q217" s="3"/>
      <c r="V217" s="3">
        <v>46007</v>
      </c>
      <c r="W217" s="215">
        <v>1774</v>
      </c>
      <c r="X217" s="215">
        <v>124</v>
      </c>
      <c r="Y217" s="2" t="s">
        <v>256</v>
      </c>
      <c r="AP217" s="3">
        <v>46139</v>
      </c>
      <c r="AR217" s="2">
        <v>109</v>
      </c>
    </row>
    <row r="218" spans="2:44">
      <c r="B218" s="1">
        <v>46168</v>
      </c>
      <c r="C218" s="2">
        <v>1148</v>
      </c>
      <c r="D218" s="2">
        <v>472</v>
      </c>
      <c r="E218" s="2" t="s">
        <v>255</v>
      </c>
      <c r="Q218" s="3"/>
      <c r="V218" s="3">
        <v>46007</v>
      </c>
      <c r="W218" s="215">
        <v>1773</v>
      </c>
      <c r="X218" s="215">
        <v>129</v>
      </c>
      <c r="Y218" s="2" t="s">
        <v>256</v>
      </c>
      <c r="AP218" s="3">
        <v>46139</v>
      </c>
      <c r="AR218" s="2">
        <v>123</v>
      </c>
    </row>
    <row r="219" spans="2:44">
      <c r="B219" s="1">
        <v>46168</v>
      </c>
      <c r="C219" s="2">
        <v>816</v>
      </c>
      <c r="D219" s="2">
        <v>472</v>
      </c>
      <c r="E219" s="2" t="s">
        <v>255</v>
      </c>
      <c r="Q219" s="3"/>
      <c r="V219" s="3">
        <v>46007</v>
      </c>
      <c r="W219" s="215">
        <v>1772</v>
      </c>
      <c r="X219" s="215">
        <v>188</v>
      </c>
      <c r="Y219" s="2" t="s">
        <v>256</v>
      </c>
      <c r="AP219" s="3">
        <v>46139</v>
      </c>
      <c r="AR219" s="2">
        <v>136</v>
      </c>
    </row>
    <row r="220" spans="2:44">
      <c r="B220" s="1">
        <v>46168</v>
      </c>
      <c r="C220" s="2">
        <v>1237</v>
      </c>
      <c r="D220" s="2">
        <v>471</v>
      </c>
      <c r="E220" s="2" t="s">
        <v>255</v>
      </c>
      <c r="Q220" s="3"/>
      <c r="V220" s="3">
        <v>46007</v>
      </c>
      <c r="W220" s="215">
        <v>1771</v>
      </c>
      <c r="X220" s="215">
        <v>180</v>
      </c>
      <c r="Y220" s="2" t="s">
        <v>256</v>
      </c>
      <c r="AP220" s="3">
        <v>46139</v>
      </c>
      <c r="AR220" s="2">
        <v>134</v>
      </c>
    </row>
    <row r="221" spans="2:44">
      <c r="B221" s="1">
        <v>46168</v>
      </c>
      <c r="C221" s="2">
        <v>790</v>
      </c>
      <c r="D221" s="2">
        <v>471</v>
      </c>
      <c r="E221" s="2" t="s">
        <v>255</v>
      </c>
      <c r="Q221" s="3"/>
      <c r="V221" s="3">
        <v>46007</v>
      </c>
      <c r="W221" s="215">
        <v>1770</v>
      </c>
      <c r="X221" s="215">
        <v>164</v>
      </c>
      <c r="Y221" s="2" t="s">
        <v>256</v>
      </c>
      <c r="AP221" s="3">
        <v>46139</v>
      </c>
      <c r="AR221" s="2">
        <v>138</v>
      </c>
    </row>
    <row r="222" spans="2:44">
      <c r="B222" s="1">
        <v>46168</v>
      </c>
      <c r="C222" s="2">
        <v>616</v>
      </c>
      <c r="D222" s="2">
        <v>471</v>
      </c>
      <c r="E222" s="2" t="s">
        <v>255</v>
      </c>
      <c r="Q222" s="3"/>
      <c r="V222" s="3">
        <v>46007</v>
      </c>
      <c r="W222" s="215">
        <v>1769</v>
      </c>
      <c r="X222" s="215">
        <v>126</v>
      </c>
      <c r="Y222" s="2" t="s">
        <v>256</v>
      </c>
      <c r="AP222" s="3">
        <v>46139</v>
      </c>
      <c r="AR222" s="2">
        <v>153</v>
      </c>
    </row>
    <row r="223" spans="2:44">
      <c r="B223" s="1">
        <v>46168</v>
      </c>
      <c r="C223" s="2">
        <v>518</v>
      </c>
      <c r="D223" s="2">
        <v>471</v>
      </c>
      <c r="E223" s="2" t="s">
        <v>255</v>
      </c>
      <c r="Q223" s="3"/>
      <c r="V223" s="3">
        <v>46007</v>
      </c>
      <c r="W223" s="215">
        <v>1769</v>
      </c>
      <c r="X223" s="215">
        <v>174</v>
      </c>
      <c r="Y223" s="2" t="s">
        <v>256</v>
      </c>
      <c r="AP223" s="3">
        <v>46139</v>
      </c>
      <c r="AR223" s="2">
        <v>129</v>
      </c>
    </row>
    <row r="224" spans="2:44">
      <c r="B224" s="1">
        <v>46168</v>
      </c>
      <c r="C224" s="2">
        <v>319</v>
      </c>
      <c r="D224" s="2">
        <v>471</v>
      </c>
      <c r="E224" s="2" t="s">
        <v>255</v>
      </c>
      <c r="Q224" s="3"/>
      <c r="V224" s="3">
        <v>46007</v>
      </c>
      <c r="W224" s="215">
        <v>1768</v>
      </c>
      <c r="X224" s="215">
        <v>185</v>
      </c>
      <c r="Y224" s="2" t="s">
        <v>256</v>
      </c>
      <c r="AP224" s="3">
        <v>46139</v>
      </c>
      <c r="AR224" s="2">
        <v>153</v>
      </c>
    </row>
    <row r="225" spans="2:44">
      <c r="B225" s="1">
        <v>46168</v>
      </c>
      <c r="C225" s="2">
        <v>1225</v>
      </c>
      <c r="D225" s="2">
        <v>470</v>
      </c>
      <c r="E225" s="2" t="s">
        <v>255</v>
      </c>
      <c r="Q225" s="3"/>
      <c r="V225" s="3">
        <v>46007</v>
      </c>
      <c r="W225" s="215">
        <v>1767</v>
      </c>
      <c r="X225" s="215">
        <v>167</v>
      </c>
      <c r="Y225" s="2" t="s">
        <v>256</v>
      </c>
      <c r="AP225" s="3">
        <v>46139</v>
      </c>
      <c r="AR225" s="2">
        <v>162</v>
      </c>
    </row>
    <row r="226" spans="2:44">
      <c r="B226" s="1">
        <v>46168</v>
      </c>
      <c r="C226" s="2">
        <v>1198</v>
      </c>
      <c r="D226" s="2">
        <v>470</v>
      </c>
      <c r="E226" s="2" t="s">
        <v>255</v>
      </c>
      <c r="Q226" s="3"/>
      <c r="V226" s="3">
        <v>46007</v>
      </c>
      <c r="W226" s="215">
        <v>1766</v>
      </c>
      <c r="X226" s="215">
        <v>145</v>
      </c>
      <c r="Y226" s="2" t="s">
        <v>256</v>
      </c>
      <c r="AP226" s="3">
        <v>46139</v>
      </c>
      <c r="AR226" s="2">
        <v>126</v>
      </c>
    </row>
    <row r="227" spans="2:44">
      <c r="B227" s="1">
        <v>46168</v>
      </c>
      <c r="C227" s="2">
        <v>1107</v>
      </c>
      <c r="D227" s="2">
        <v>470</v>
      </c>
      <c r="E227" s="2" t="s">
        <v>255</v>
      </c>
      <c r="Q227" s="3"/>
      <c r="V227" s="3">
        <v>46007</v>
      </c>
      <c r="W227" s="215">
        <v>1764</v>
      </c>
      <c r="X227" s="215">
        <v>130</v>
      </c>
      <c r="Y227" s="2" t="s">
        <v>256</v>
      </c>
      <c r="AP227" s="3">
        <v>46139</v>
      </c>
      <c r="AR227" s="2">
        <v>100</v>
      </c>
    </row>
    <row r="228" spans="2:44">
      <c r="B228" s="1">
        <v>46168</v>
      </c>
      <c r="C228" s="2">
        <v>1087</v>
      </c>
      <c r="D228" s="2">
        <v>470</v>
      </c>
      <c r="E228" s="2" t="s">
        <v>255</v>
      </c>
      <c r="Q228" s="3"/>
      <c r="V228" s="3">
        <v>46007</v>
      </c>
      <c r="W228" s="215">
        <v>1763</v>
      </c>
      <c r="X228" s="215">
        <v>156</v>
      </c>
      <c r="Y228" s="2" t="s">
        <v>256</v>
      </c>
      <c r="AP228" s="3">
        <v>46139</v>
      </c>
      <c r="AR228" s="2">
        <v>138</v>
      </c>
    </row>
    <row r="229" spans="2:44">
      <c r="B229" s="1">
        <v>46168</v>
      </c>
      <c r="C229" s="2">
        <v>1037</v>
      </c>
      <c r="D229" s="2">
        <v>470</v>
      </c>
      <c r="E229" s="2" t="s">
        <v>255</v>
      </c>
      <c r="Q229" s="3"/>
      <c r="V229" s="3">
        <v>46007</v>
      </c>
      <c r="W229" s="215">
        <v>1762</v>
      </c>
      <c r="X229" s="215">
        <v>175</v>
      </c>
      <c r="Y229" s="2" t="s">
        <v>256</v>
      </c>
      <c r="AP229" s="3">
        <v>46139</v>
      </c>
      <c r="AR229" s="2">
        <v>122</v>
      </c>
    </row>
    <row r="230" spans="2:44">
      <c r="B230" s="1">
        <v>46168</v>
      </c>
      <c r="C230" s="2">
        <v>1036</v>
      </c>
      <c r="D230" s="2">
        <v>470</v>
      </c>
      <c r="E230" s="2" t="s">
        <v>255</v>
      </c>
      <c r="Q230" s="3"/>
      <c r="V230" s="3">
        <v>46007</v>
      </c>
      <c r="W230" s="215">
        <v>1761</v>
      </c>
      <c r="X230" s="215">
        <v>183</v>
      </c>
      <c r="Y230" s="2" t="s">
        <v>256</v>
      </c>
      <c r="AP230" s="3">
        <v>46139</v>
      </c>
      <c r="AR230" s="2">
        <v>105</v>
      </c>
    </row>
    <row r="231" spans="2:44">
      <c r="B231" s="1">
        <v>46168</v>
      </c>
      <c r="C231" s="2">
        <v>1032</v>
      </c>
      <c r="D231" s="2">
        <v>470</v>
      </c>
      <c r="E231" s="2" t="s">
        <v>255</v>
      </c>
      <c r="Q231" s="3"/>
      <c r="V231" s="3">
        <v>46007</v>
      </c>
      <c r="W231" s="215">
        <v>1760</v>
      </c>
      <c r="X231" s="215">
        <v>128</v>
      </c>
      <c r="Y231" s="2" t="s">
        <v>256</v>
      </c>
      <c r="AP231" s="3">
        <v>46139</v>
      </c>
      <c r="AR231" s="2">
        <v>150</v>
      </c>
    </row>
    <row r="232" spans="2:44">
      <c r="B232" s="1">
        <v>46168</v>
      </c>
      <c r="C232" s="2">
        <v>1028</v>
      </c>
      <c r="D232" s="2">
        <v>470</v>
      </c>
      <c r="E232" s="2" t="s">
        <v>255</v>
      </c>
      <c r="Q232" s="3"/>
      <c r="V232" s="3">
        <v>46007</v>
      </c>
      <c r="W232" s="215">
        <v>1759</v>
      </c>
      <c r="X232" s="215">
        <v>148</v>
      </c>
      <c r="Y232" s="2" t="s">
        <v>256</v>
      </c>
      <c r="AP232" s="3">
        <v>46139</v>
      </c>
      <c r="AR232" s="2">
        <v>126</v>
      </c>
    </row>
    <row r="233" spans="2:44">
      <c r="B233" s="1">
        <v>46168</v>
      </c>
      <c r="C233" s="2">
        <v>1017</v>
      </c>
      <c r="D233" s="2">
        <v>470</v>
      </c>
      <c r="E233" s="2" t="s">
        <v>255</v>
      </c>
      <c r="Q233" s="3"/>
      <c r="V233" s="3">
        <v>46007</v>
      </c>
      <c r="W233" s="215">
        <v>1759</v>
      </c>
      <c r="X233" s="215">
        <v>176</v>
      </c>
      <c r="Y233" s="2" t="s">
        <v>256</v>
      </c>
      <c r="AP233" s="3">
        <v>46139</v>
      </c>
      <c r="AR233" s="2">
        <v>104</v>
      </c>
    </row>
    <row r="234" spans="2:44">
      <c r="B234" s="1">
        <v>46168</v>
      </c>
      <c r="C234" s="2">
        <v>993</v>
      </c>
      <c r="D234" s="2">
        <v>470</v>
      </c>
      <c r="E234" s="2" t="s">
        <v>255</v>
      </c>
      <c r="Q234" s="3"/>
      <c r="V234" s="3">
        <v>46007</v>
      </c>
      <c r="W234" s="215">
        <v>1759</v>
      </c>
      <c r="X234" s="215">
        <v>143</v>
      </c>
      <c r="Y234" s="2" t="s">
        <v>256</v>
      </c>
      <c r="AP234" s="3">
        <v>46139</v>
      </c>
      <c r="AR234" s="2">
        <v>122</v>
      </c>
    </row>
    <row r="235" spans="2:44">
      <c r="B235" s="1">
        <v>46168</v>
      </c>
      <c r="C235" s="2">
        <v>990</v>
      </c>
      <c r="D235" s="2">
        <v>470</v>
      </c>
      <c r="E235" s="2" t="s">
        <v>255</v>
      </c>
      <c r="Q235" s="3"/>
      <c r="V235" s="3">
        <v>46007</v>
      </c>
      <c r="W235" s="215">
        <v>1758</v>
      </c>
      <c r="X235" s="215">
        <v>161</v>
      </c>
      <c r="Y235" s="2" t="s">
        <v>256</v>
      </c>
      <c r="AP235" s="3">
        <v>46139</v>
      </c>
      <c r="AR235" s="2">
        <v>128</v>
      </c>
    </row>
    <row r="236" spans="2:44">
      <c r="B236" s="1">
        <v>46168</v>
      </c>
      <c r="C236" s="2">
        <v>953</v>
      </c>
      <c r="D236" s="2">
        <v>470</v>
      </c>
      <c r="E236" s="2" t="s">
        <v>255</v>
      </c>
      <c r="V236" s="3">
        <v>46007</v>
      </c>
      <c r="W236" s="215">
        <v>1757</v>
      </c>
      <c r="X236" s="215">
        <v>154</v>
      </c>
      <c r="Y236" s="2" t="s">
        <v>256</v>
      </c>
      <c r="AP236" s="3">
        <v>46139</v>
      </c>
      <c r="AR236" s="2">
        <v>154</v>
      </c>
    </row>
    <row r="237" spans="2:44">
      <c r="B237" s="1">
        <v>46168</v>
      </c>
      <c r="C237" s="2">
        <v>603</v>
      </c>
      <c r="D237" s="2">
        <v>470</v>
      </c>
      <c r="E237" s="2" t="s">
        <v>255</v>
      </c>
      <c r="V237" s="3">
        <v>46007</v>
      </c>
      <c r="W237" s="215">
        <v>1755</v>
      </c>
      <c r="X237" s="215">
        <v>161</v>
      </c>
      <c r="Y237" s="2" t="s">
        <v>256</v>
      </c>
      <c r="AP237" s="3">
        <v>46139</v>
      </c>
      <c r="AR237" s="2">
        <v>143</v>
      </c>
    </row>
    <row r="238" spans="2:44">
      <c r="B238" s="1">
        <v>46168</v>
      </c>
      <c r="C238" s="2">
        <v>587</v>
      </c>
      <c r="D238" s="2">
        <v>470</v>
      </c>
      <c r="E238" s="2" t="s">
        <v>255</v>
      </c>
      <c r="V238" s="3">
        <v>46007</v>
      </c>
      <c r="W238" s="215">
        <v>1754</v>
      </c>
      <c r="X238" s="215">
        <v>184</v>
      </c>
      <c r="Y238" s="2" t="s">
        <v>256</v>
      </c>
      <c r="AP238" s="3">
        <v>46139</v>
      </c>
      <c r="AR238" s="2">
        <v>139</v>
      </c>
    </row>
    <row r="239" spans="2:44">
      <c r="B239" s="1">
        <v>46168</v>
      </c>
      <c r="C239" s="2">
        <v>415</v>
      </c>
      <c r="D239" s="2">
        <v>470</v>
      </c>
      <c r="E239" s="2" t="s">
        <v>255</v>
      </c>
      <c r="V239" s="3">
        <v>46007</v>
      </c>
      <c r="W239" s="215">
        <v>1753</v>
      </c>
      <c r="X239" s="215">
        <v>196</v>
      </c>
      <c r="Y239" s="2" t="s">
        <v>256</v>
      </c>
      <c r="AP239" s="3">
        <v>46139</v>
      </c>
      <c r="AR239" s="2">
        <v>115</v>
      </c>
    </row>
    <row r="240" spans="2:44">
      <c r="B240" s="1">
        <v>46168</v>
      </c>
      <c r="C240" s="2">
        <v>359</v>
      </c>
      <c r="D240" s="2">
        <v>470</v>
      </c>
      <c r="E240" s="2" t="s">
        <v>255</v>
      </c>
      <c r="V240" s="3">
        <v>46007</v>
      </c>
      <c r="W240" s="215">
        <v>1752</v>
      </c>
      <c r="X240" s="215">
        <v>145</v>
      </c>
      <c r="Y240" s="2" t="s">
        <v>256</v>
      </c>
      <c r="AP240" s="3">
        <v>46139</v>
      </c>
      <c r="AR240" s="2">
        <v>143</v>
      </c>
    </row>
    <row r="241" spans="2:44">
      <c r="B241" s="1">
        <v>46168</v>
      </c>
      <c r="C241" s="2">
        <v>473</v>
      </c>
      <c r="D241" s="2">
        <v>469</v>
      </c>
      <c r="E241" s="2" t="s">
        <v>255</v>
      </c>
      <c r="V241" s="3">
        <v>46007</v>
      </c>
      <c r="W241" s="215">
        <v>1751</v>
      </c>
      <c r="X241" s="215">
        <v>186</v>
      </c>
      <c r="Y241" s="2" t="s">
        <v>256</v>
      </c>
      <c r="AP241" s="3">
        <v>46139</v>
      </c>
      <c r="AR241" s="2">
        <v>102</v>
      </c>
    </row>
    <row r="242" spans="2:44">
      <c r="B242" s="1">
        <v>46168</v>
      </c>
      <c r="C242" s="2">
        <v>549</v>
      </c>
      <c r="D242" s="2">
        <v>468</v>
      </c>
      <c r="E242" s="2" t="s">
        <v>255</v>
      </c>
      <c r="V242" s="3">
        <v>46007</v>
      </c>
      <c r="W242" s="215">
        <v>1750</v>
      </c>
      <c r="X242" s="215">
        <v>155</v>
      </c>
      <c r="Y242" s="2" t="s">
        <v>256</v>
      </c>
      <c r="AP242" s="3">
        <v>46139</v>
      </c>
      <c r="AR242" s="2">
        <v>130</v>
      </c>
    </row>
    <row r="243" spans="2:44">
      <c r="B243" s="1">
        <v>46168</v>
      </c>
      <c r="C243" s="2">
        <v>472</v>
      </c>
      <c r="D243" s="2">
        <v>468</v>
      </c>
      <c r="E243" s="2" t="s">
        <v>255</v>
      </c>
      <c r="V243" s="3">
        <v>46007</v>
      </c>
      <c r="W243" s="215">
        <v>1749</v>
      </c>
      <c r="X243" s="215">
        <v>164</v>
      </c>
      <c r="Y243" s="2" t="s">
        <v>256</v>
      </c>
      <c r="AP243" s="3">
        <v>46139</v>
      </c>
      <c r="AR243" s="2">
        <v>140</v>
      </c>
    </row>
    <row r="244" spans="2:44">
      <c r="B244" s="1">
        <v>46168</v>
      </c>
      <c r="C244" s="2">
        <v>384</v>
      </c>
      <c r="D244" s="2">
        <v>468</v>
      </c>
      <c r="E244" s="2" t="s">
        <v>255</v>
      </c>
      <c r="V244" s="3">
        <v>46007</v>
      </c>
      <c r="W244" s="215">
        <v>1747</v>
      </c>
      <c r="X244" s="215">
        <v>119</v>
      </c>
      <c r="Y244" s="2" t="s">
        <v>256</v>
      </c>
      <c r="AP244" s="3">
        <v>46139</v>
      </c>
      <c r="AR244" s="2">
        <v>134</v>
      </c>
    </row>
    <row r="245" spans="2:44">
      <c r="B245" s="1">
        <v>46168</v>
      </c>
      <c r="C245" s="2">
        <v>1233</v>
      </c>
      <c r="D245" s="2">
        <v>467</v>
      </c>
      <c r="E245" s="2" t="s">
        <v>255</v>
      </c>
      <c r="V245" s="3">
        <v>46007</v>
      </c>
      <c r="W245" s="215">
        <v>1746</v>
      </c>
      <c r="X245" s="215">
        <v>132</v>
      </c>
      <c r="Y245" s="2" t="s">
        <v>256</v>
      </c>
      <c r="AP245" s="3">
        <v>46139</v>
      </c>
      <c r="AR245" s="2">
        <v>136</v>
      </c>
    </row>
    <row r="246" spans="2:44">
      <c r="B246" s="1">
        <v>46168</v>
      </c>
      <c r="C246" s="2">
        <v>749</v>
      </c>
      <c r="D246" s="2">
        <v>467</v>
      </c>
      <c r="E246" s="2" t="s">
        <v>255</v>
      </c>
      <c r="V246" s="3">
        <v>46007</v>
      </c>
      <c r="W246" s="215">
        <v>1745</v>
      </c>
      <c r="X246" s="215">
        <v>153</v>
      </c>
      <c r="Y246" s="2" t="s">
        <v>256</v>
      </c>
      <c r="AP246" s="3">
        <v>46139</v>
      </c>
      <c r="AR246" s="2">
        <v>142</v>
      </c>
    </row>
    <row r="247" spans="2:44">
      <c r="B247" s="1">
        <v>46168</v>
      </c>
      <c r="C247" s="2">
        <v>716</v>
      </c>
      <c r="D247" s="2">
        <v>467</v>
      </c>
      <c r="E247" s="2" t="s">
        <v>255</v>
      </c>
      <c r="V247" s="3">
        <v>46007</v>
      </c>
      <c r="W247" s="215">
        <v>1744</v>
      </c>
      <c r="X247" s="215">
        <v>192</v>
      </c>
      <c r="Y247" s="2" t="s">
        <v>256</v>
      </c>
      <c r="AP247" s="3">
        <v>46139</v>
      </c>
      <c r="AR247" s="2">
        <v>127</v>
      </c>
    </row>
    <row r="248" spans="2:44">
      <c r="B248" s="1">
        <v>46168</v>
      </c>
      <c r="C248" s="2">
        <v>925</v>
      </c>
      <c r="D248" s="2">
        <v>466</v>
      </c>
      <c r="E248" s="2" t="s">
        <v>255</v>
      </c>
      <c r="V248" s="3">
        <v>46007</v>
      </c>
      <c r="W248" s="215">
        <v>1743</v>
      </c>
      <c r="X248" s="215">
        <v>135</v>
      </c>
      <c r="Y248" s="2" t="s">
        <v>256</v>
      </c>
      <c r="AP248" s="3">
        <v>46139</v>
      </c>
      <c r="AR248" s="2">
        <v>111</v>
      </c>
    </row>
    <row r="249" spans="2:44">
      <c r="B249" s="1">
        <v>46168</v>
      </c>
      <c r="C249" s="2">
        <v>667</v>
      </c>
      <c r="D249" s="2">
        <v>466</v>
      </c>
      <c r="E249" s="2" t="s">
        <v>255</v>
      </c>
      <c r="V249" s="3">
        <v>46007</v>
      </c>
      <c r="W249" s="215">
        <v>1742</v>
      </c>
      <c r="X249" s="215">
        <v>150</v>
      </c>
      <c r="Y249" s="2" t="s">
        <v>256</v>
      </c>
      <c r="AP249" s="3">
        <v>46139</v>
      </c>
      <c r="AR249" s="2">
        <v>86</v>
      </c>
    </row>
    <row r="250" spans="2:44">
      <c r="B250" s="1">
        <v>46168</v>
      </c>
      <c r="C250" s="2">
        <v>666</v>
      </c>
      <c r="D250" s="2">
        <v>466</v>
      </c>
      <c r="E250" s="2" t="s">
        <v>255</v>
      </c>
      <c r="V250" s="3">
        <v>46007</v>
      </c>
      <c r="W250" s="215">
        <v>1741</v>
      </c>
      <c r="X250" s="215">
        <v>190</v>
      </c>
      <c r="Y250" s="2" t="s">
        <v>256</v>
      </c>
      <c r="AP250" s="3">
        <v>46139</v>
      </c>
      <c r="AR250" s="2">
        <v>141</v>
      </c>
    </row>
    <row r="251" spans="2:44">
      <c r="B251" s="1">
        <v>46168</v>
      </c>
      <c r="C251" s="2">
        <v>477</v>
      </c>
      <c r="D251" s="2">
        <v>466</v>
      </c>
      <c r="E251" s="2" t="s">
        <v>255</v>
      </c>
      <c r="V251" s="3">
        <v>46007</v>
      </c>
      <c r="W251" s="215">
        <v>1740</v>
      </c>
      <c r="X251" s="215">
        <v>114</v>
      </c>
      <c r="Y251" s="2" t="s">
        <v>256</v>
      </c>
      <c r="AP251" s="3">
        <v>46139</v>
      </c>
      <c r="AR251" s="2">
        <v>94</v>
      </c>
    </row>
    <row r="252" spans="2:44">
      <c r="B252" s="1">
        <v>46168</v>
      </c>
      <c r="C252" s="2">
        <v>355</v>
      </c>
      <c r="D252" s="2">
        <v>466</v>
      </c>
      <c r="E252" s="2" t="s">
        <v>255</v>
      </c>
      <c r="V252" s="3">
        <v>46007</v>
      </c>
      <c r="W252" s="215">
        <v>1739</v>
      </c>
      <c r="X252" s="215">
        <v>187</v>
      </c>
      <c r="Y252" s="2" t="s">
        <v>256</v>
      </c>
      <c r="AP252" s="3">
        <v>46139</v>
      </c>
      <c r="AR252" s="2">
        <v>146</v>
      </c>
    </row>
    <row r="253" spans="2:44">
      <c r="B253" s="1">
        <v>46168</v>
      </c>
      <c r="C253" s="2">
        <v>1149</v>
      </c>
      <c r="D253" s="2">
        <v>465</v>
      </c>
      <c r="E253" s="2" t="s">
        <v>255</v>
      </c>
      <c r="V253" s="3">
        <v>46007</v>
      </c>
      <c r="W253" s="215">
        <v>1738</v>
      </c>
      <c r="X253" s="215">
        <v>180</v>
      </c>
      <c r="Y253" s="2" t="s">
        <v>256</v>
      </c>
      <c r="AP253" s="3">
        <v>46139</v>
      </c>
      <c r="AR253" s="2">
        <v>121</v>
      </c>
    </row>
    <row r="254" spans="2:44">
      <c r="B254" s="1">
        <v>46168</v>
      </c>
      <c r="C254" s="2">
        <v>875</v>
      </c>
      <c r="D254" s="2">
        <v>465</v>
      </c>
      <c r="E254" s="2" t="s">
        <v>255</v>
      </c>
      <c r="V254" s="3">
        <v>46007</v>
      </c>
      <c r="W254" s="215">
        <v>1737</v>
      </c>
      <c r="X254" s="215">
        <v>110</v>
      </c>
      <c r="Y254" s="2" t="s">
        <v>256</v>
      </c>
      <c r="AP254" s="3">
        <v>46139</v>
      </c>
      <c r="AR254" s="2">
        <v>151</v>
      </c>
    </row>
    <row r="255" spans="2:44">
      <c r="B255" s="1">
        <v>46168</v>
      </c>
      <c r="C255" s="2">
        <v>434</v>
      </c>
      <c r="D255" s="2">
        <v>465</v>
      </c>
      <c r="E255" s="2" t="s">
        <v>255</v>
      </c>
      <c r="V255" s="3">
        <v>46007</v>
      </c>
      <c r="W255" s="215">
        <v>1736</v>
      </c>
      <c r="X255" s="215">
        <v>128</v>
      </c>
      <c r="Y255" s="2" t="s">
        <v>256</v>
      </c>
      <c r="AP255" s="3">
        <v>46139</v>
      </c>
      <c r="AR255" s="2">
        <v>135</v>
      </c>
    </row>
    <row r="256" spans="2:44">
      <c r="B256" s="1">
        <v>46168</v>
      </c>
      <c r="C256" s="2">
        <v>335</v>
      </c>
      <c r="D256" s="2">
        <v>465</v>
      </c>
      <c r="E256" s="2" t="s">
        <v>255</v>
      </c>
      <c r="V256" s="3">
        <v>46007</v>
      </c>
      <c r="W256" s="215">
        <v>1735</v>
      </c>
      <c r="X256" s="215">
        <v>175</v>
      </c>
      <c r="Y256" s="2" t="s">
        <v>256</v>
      </c>
      <c r="AP256" s="3">
        <v>46139</v>
      </c>
      <c r="AR256" s="2">
        <v>130</v>
      </c>
    </row>
    <row r="257" spans="2:44">
      <c r="B257" s="1">
        <v>46168</v>
      </c>
      <c r="C257" s="2">
        <v>1199</v>
      </c>
      <c r="D257" s="2">
        <v>464</v>
      </c>
      <c r="E257" s="2" t="s">
        <v>255</v>
      </c>
      <c r="V257" s="3">
        <v>46007</v>
      </c>
      <c r="W257" s="215">
        <v>1734</v>
      </c>
      <c r="X257" s="215">
        <v>153</v>
      </c>
      <c r="Y257" s="2" t="s">
        <v>256</v>
      </c>
      <c r="AP257" s="3">
        <v>46139</v>
      </c>
      <c r="AR257" s="2">
        <v>155</v>
      </c>
    </row>
    <row r="258" spans="2:44">
      <c r="B258" s="1">
        <v>46168</v>
      </c>
      <c r="C258" s="2">
        <v>1117</v>
      </c>
      <c r="D258" s="2">
        <v>464</v>
      </c>
      <c r="E258" s="2" t="s">
        <v>255</v>
      </c>
      <c r="V258" s="3">
        <v>46007</v>
      </c>
      <c r="W258" s="215">
        <v>1733</v>
      </c>
      <c r="X258" s="215">
        <v>141</v>
      </c>
      <c r="Y258" s="2" t="s">
        <v>256</v>
      </c>
      <c r="AP258" s="3">
        <v>46139</v>
      </c>
      <c r="AR258" s="2">
        <v>114</v>
      </c>
    </row>
    <row r="259" spans="2:44">
      <c r="B259" s="1">
        <v>46168</v>
      </c>
      <c r="C259" s="2">
        <v>1111</v>
      </c>
      <c r="D259" s="2">
        <v>464</v>
      </c>
      <c r="E259" s="2" t="s">
        <v>255</v>
      </c>
      <c r="V259" s="3">
        <v>46007</v>
      </c>
      <c r="W259" s="215">
        <v>1732</v>
      </c>
      <c r="X259" s="215">
        <v>162</v>
      </c>
      <c r="Y259" s="2" t="s">
        <v>256</v>
      </c>
      <c r="AP259" s="3">
        <v>46139</v>
      </c>
      <c r="AR259" s="2">
        <v>123</v>
      </c>
    </row>
    <row r="260" spans="2:44">
      <c r="B260" s="1">
        <v>46168</v>
      </c>
      <c r="C260" s="2">
        <v>417</v>
      </c>
      <c r="D260" s="2">
        <v>464</v>
      </c>
      <c r="E260" s="2" t="s">
        <v>255</v>
      </c>
      <c r="V260" s="3">
        <v>46007</v>
      </c>
      <c r="W260" s="215">
        <v>1731</v>
      </c>
      <c r="X260" s="215">
        <v>183</v>
      </c>
      <c r="Y260" s="2" t="s">
        <v>256</v>
      </c>
      <c r="AP260" s="3">
        <v>46139</v>
      </c>
      <c r="AR260" s="2">
        <v>152</v>
      </c>
    </row>
    <row r="261" spans="2:44">
      <c r="B261" s="1">
        <v>46168</v>
      </c>
      <c r="C261" s="2">
        <v>1091</v>
      </c>
      <c r="D261" s="2">
        <v>463</v>
      </c>
      <c r="E261" s="2" t="s">
        <v>255</v>
      </c>
      <c r="V261" s="3">
        <v>46007</v>
      </c>
      <c r="W261" s="215">
        <v>1730</v>
      </c>
      <c r="X261" s="215">
        <v>125</v>
      </c>
      <c r="Y261" s="2" t="s">
        <v>256</v>
      </c>
      <c r="AP261" s="3">
        <v>46139</v>
      </c>
      <c r="AR261" s="2">
        <v>124</v>
      </c>
    </row>
    <row r="262" spans="2:44">
      <c r="B262" s="1">
        <v>46168</v>
      </c>
      <c r="C262" s="2">
        <v>775</v>
      </c>
      <c r="D262" s="2">
        <v>463</v>
      </c>
      <c r="E262" s="2" t="s">
        <v>255</v>
      </c>
      <c r="V262" s="3">
        <v>46007</v>
      </c>
      <c r="W262" s="215">
        <v>1729</v>
      </c>
      <c r="X262" s="215">
        <v>149</v>
      </c>
      <c r="Y262" s="2" t="s">
        <v>256</v>
      </c>
      <c r="AP262" s="3">
        <v>46139</v>
      </c>
      <c r="AR262" s="2">
        <v>102</v>
      </c>
    </row>
    <row r="263" spans="2:44">
      <c r="B263" s="1">
        <v>46168</v>
      </c>
      <c r="C263" s="2">
        <v>735</v>
      </c>
      <c r="D263" s="2">
        <v>463</v>
      </c>
      <c r="E263" s="2" t="s">
        <v>255</v>
      </c>
      <c r="V263" s="3">
        <v>46007</v>
      </c>
      <c r="W263" s="215">
        <v>1728</v>
      </c>
      <c r="X263" s="215">
        <v>124</v>
      </c>
      <c r="Y263" s="2" t="s">
        <v>256</v>
      </c>
      <c r="AP263" s="3">
        <v>46139</v>
      </c>
      <c r="AR263" s="2">
        <v>151</v>
      </c>
    </row>
    <row r="264" spans="2:44">
      <c r="B264" s="1">
        <v>46168</v>
      </c>
      <c r="C264" s="2">
        <v>569</v>
      </c>
      <c r="D264" s="2">
        <v>463</v>
      </c>
      <c r="E264" s="2" t="s">
        <v>255</v>
      </c>
      <c r="V264" s="3">
        <v>46007</v>
      </c>
      <c r="W264" s="215">
        <v>1727</v>
      </c>
      <c r="X264" s="215">
        <v>151</v>
      </c>
      <c r="Y264" s="2" t="s">
        <v>256</v>
      </c>
      <c r="AP264" s="3">
        <v>46139</v>
      </c>
      <c r="AR264" s="2">
        <v>150</v>
      </c>
    </row>
    <row r="265" spans="2:44">
      <c r="B265" s="1">
        <v>46168</v>
      </c>
      <c r="C265" s="2">
        <v>509</v>
      </c>
      <c r="D265" s="2">
        <v>463</v>
      </c>
      <c r="E265" s="2" t="s">
        <v>255</v>
      </c>
      <c r="V265" s="3">
        <v>46007</v>
      </c>
      <c r="W265" s="215">
        <v>1726</v>
      </c>
      <c r="X265" s="215">
        <v>183</v>
      </c>
      <c r="Y265" s="2" t="s">
        <v>256</v>
      </c>
      <c r="AP265" s="3">
        <v>46139</v>
      </c>
      <c r="AR265" s="2">
        <v>106</v>
      </c>
    </row>
    <row r="266" spans="2:44">
      <c r="B266" s="1">
        <v>46168</v>
      </c>
      <c r="C266" s="2">
        <v>494</v>
      </c>
      <c r="D266" s="2">
        <v>463</v>
      </c>
      <c r="E266" s="2" t="s">
        <v>255</v>
      </c>
      <c r="V266" s="3">
        <v>46007</v>
      </c>
      <c r="W266" s="215">
        <v>1725</v>
      </c>
      <c r="X266" s="215">
        <v>149</v>
      </c>
      <c r="Y266" s="2" t="s">
        <v>256</v>
      </c>
      <c r="AP266" s="3">
        <v>46139</v>
      </c>
      <c r="AR266" s="2">
        <v>104</v>
      </c>
    </row>
    <row r="267" spans="2:44">
      <c r="B267" s="1">
        <v>46168</v>
      </c>
      <c r="C267" s="2">
        <v>487</v>
      </c>
      <c r="D267" s="2">
        <v>463</v>
      </c>
      <c r="E267" s="2" t="s">
        <v>255</v>
      </c>
      <c r="V267" s="3">
        <v>46007</v>
      </c>
      <c r="W267" s="215">
        <v>1724</v>
      </c>
      <c r="X267" s="215">
        <v>163</v>
      </c>
      <c r="Y267" s="2" t="s">
        <v>256</v>
      </c>
      <c r="AP267" s="3">
        <v>46139</v>
      </c>
      <c r="AR267" s="2">
        <v>141</v>
      </c>
    </row>
    <row r="268" spans="2:44">
      <c r="B268" s="1">
        <v>46168</v>
      </c>
      <c r="C268" s="2">
        <v>385</v>
      </c>
      <c r="D268" s="2">
        <v>463</v>
      </c>
      <c r="E268" s="2" t="s">
        <v>255</v>
      </c>
      <c r="V268" s="3">
        <v>46007</v>
      </c>
      <c r="W268" s="215">
        <v>1723</v>
      </c>
      <c r="X268" s="215">
        <v>143</v>
      </c>
      <c r="Y268" s="2" t="s">
        <v>256</v>
      </c>
      <c r="AP268" s="3">
        <v>46139</v>
      </c>
      <c r="AR268" s="2">
        <v>144</v>
      </c>
    </row>
    <row r="269" spans="2:44">
      <c r="B269" s="1">
        <v>46168</v>
      </c>
      <c r="C269" s="2">
        <v>879</v>
      </c>
      <c r="D269" s="2">
        <v>462</v>
      </c>
      <c r="E269" s="2" t="s">
        <v>255</v>
      </c>
      <c r="V269" s="3">
        <v>46007</v>
      </c>
      <c r="W269" s="215">
        <v>1722</v>
      </c>
      <c r="X269" s="215">
        <v>148</v>
      </c>
      <c r="Y269" s="2" t="s">
        <v>256</v>
      </c>
      <c r="AP269" s="3">
        <v>46139</v>
      </c>
      <c r="AR269" s="2">
        <v>126</v>
      </c>
    </row>
    <row r="270" spans="2:44">
      <c r="B270" s="1">
        <v>46168</v>
      </c>
      <c r="C270" s="2">
        <v>579</v>
      </c>
      <c r="D270" s="2">
        <v>462</v>
      </c>
      <c r="E270" s="2" t="s">
        <v>255</v>
      </c>
      <c r="V270" s="3">
        <v>46007</v>
      </c>
      <c r="W270" s="215">
        <v>1721</v>
      </c>
      <c r="X270" s="215">
        <v>142</v>
      </c>
      <c r="Y270" s="2" t="s">
        <v>256</v>
      </c>
      <c r="AP270" s="3">
        <v>46139</v>
      </c>
      <c r="AR270" s="2">
        <v>158</v>
      </c>
    </row>
    <row r="271" spans="2:44">
      <c r="B271" s="1">
        <v>46168</v>
      </c>
      <c r="C271" s="2">
        <v>421</v>
      </c>
      <c r="D271" s="2">
        <v>462</v>
      </c>
      <c r="E271" s="2" t="s">
        <v>255</v>
      </c>
      <c r="V271" s="3">
        <v>46007</v>
      </c>
      <c r="W271" s="215">
        <v>1720</v>
      </c>
      <c r="X271" s="215">
        <v>122</v>
      </c>
      <c r="Y271" s="2" t="s">
        <v>256</v>
      </c>
    </row>
    <row r="272" spans="2:44">
      <c r="B272" s="1">
        <v>46168</v>
      </c>
      <c r="C272" s="2">
        <v>341</v>
      </c>
      <c r="D272" s="2">
        <v>462</v>
      </c>
      <c r="E272" s="2" t="s">
        <v>255</v>
      </c>
      <c r="V272" s="3">
        <v>46007</v>
      </c>
      <c r="W272" s="215">
        <v>1719</v>
      </c>
      <c r="X272" s="215">
        <v>152</v>
      </c>
      <c r="Y272" s="2" t="s">
        <v>256</v>
      </c>
    </row>
    <row r="273" spans="2:25">
      <c r="B273" s="1">
        <v>46168</v>
      </c>
      <c r="C273" s="2">
        <v>789</v>
      </c>
      <c r="D273" s="2">
        <v>461</v>
      </c>
      <c r="E273" s="2" t="s">
        <v>255</v>
      </c>
      <c r="V273" s="3">
        <v>46007</v>
      </c>
      <c r="W273" s="215">
        <v>1718</v>
      </c>
      <c r="X273" s="215">
        <v>138</v>
      </c>
      <c r="Y273" s="2" t="s">
        <v>256</v>
      </c>
    </row>
    <row r="274" spans="2:25">
      <c r="B274" s="1">
        <v>46168</v>
      </c>
      <c r="C274" s="2">
        <v>633</v>
      </c>
      <c r="D274" s="2">
        <v>461</v>
      </c>
      <c r="E274" s="2" t="s">
        <v>255</v>
      </c>
      <c r="V274" s="3">
        <v>46007</v>
      </c>
      <c r="W274" s="215">
        <v>1717</v>
      </c>
      <c r="X274" s="215">
        <v>148</v>
      </c>
      <c r="Y274" s="2" t="s">
        <v>256</v>
      </c>
    </row>
    <row r="275" spans="2:25">
      <c r="B275" s="1">
        <v>46168</v>
      </c>
      <c r="C275" s="2">
        <v>625</v>
      </c>
      <c r="D275" s="2">
        <v>461</v>
      </c>
      <c r="E275" s="2" t="s">
        <v>255</v>
      </c>
      <c r="V275" s="3">
        <v>46007</v>
      </c>
      <c r="W275" s="215">
        <v>1716</v>
      </c>
      <c r="X275" s="215">
        <v>144</v>
      </c>
      <c r="Y275" s="2" t="s">
        <v>256</v>
      </c>
    </row>
    <row r="276" spans="2:25">
      <c r="B276" s="1">
        <v>46168</v>
      </c>
      <c r="C276" s="2">
        <v>1088</v>
      </c>
      <c r="D276" s="2">
        <v>460</v>
      </c>
      <c r="E276" s="2" t="s">
        <v>255</v>
      </c>
      <c r="V276" s="3">
        <v>46007</v>
      </c>
      <c r="W276" s="215">
        <v>1715</v>
      </c>
      <c r="X276" s="215">
        <v>168</v>
      </c>
      <c r="Y276" s="2" t="s">
        <v>256</v>
      </c>
    </row>
    <row r="277" spans="2:25">
      <c r="B277" s="1">
        <v>46168</v>
      </c>
      <c r="C277" s="2">
        <v>1033</v>
      </c>
      <c r="D277" s="2">
        <v>460</v>
      </c>
      <c r="E277" s="2" t="s">
        <v>255</v>
      </c>
      <c r="V277" s="3">
        <v>46007</v>
      </c>
      <c r="W277" s="215">
        <v>1714</v>
      </c>
      <c r="X277" s="215">
        <v>171</v>
      </c>
      <c r="Y277" s="2" t="s">
        <v>256</v>
      </c>
    </row>
    <row r="278" spans="2:25">
      <c r="B278" s="1">
        <v>46168</v>
      </c>
      <c r="C278" s="2">
        <v>1016</v>
      </c>
      <c r="D278" s="2">
        <v>460</v>
      </c>
      <c r="E278" s="2" t="s">
        <v>255</v>
      </c>
      <c r="V278" s="3">
        <v>46007</v>
      </c>
      <c r="W278" s="215">
        <v>1714</v>
      </c>
      <c r="X278" s="215">
        <v>143</v>
      </c>
      <c r="Y278" s="2" t="s">
        <v>256</v>
      </c>
    </row>
    <row r="279" spans="2:25">
      <c r="B279" s="1">
        <v>46168</v>
      </c>
      <c r="C279" s="2">
        <v>999</v>
      </c>
      <c r="D279" s="2">
        <v>460</v>
      </c>
      <c r="E279" s="2" t="s">
        <v>255</v>
      </c>
      <c r="V279" s="3">
        <v>46007</v>
      </c>
      <c r="W279" s="215">
        <v>1713</v>
      </c>
      <c r="X279" s="215">
        <v>146</v>
      </c>
      <c r="Y279" s="2" t="s">
        <v>256</v>
      </c>
    </row>
    <row r="280" spans="2:25">
      <c r="B280" s="1">
        <v>46168</v>
      </c>
      <c r="C280" s="2">
        <v>989</v>
      </c>
      <c r="D280" s="2">
        <v>460</v>
      </c>
      <c r="E280" s="2" t="s">
        <v>255</v>
      </c>
      <c r="V280" s="3">
        <v>46007</v>
      </c>
      <c r="W280" s="215">
        <v>1712</v>
      </c>
      <c r="X280" s="215">
        <v>158</v>
      </c>
      <c r="Y280" s="2" t="s">
        <v>256</v>
      </c>
    </row>
    <row r="281" spans="2:25">
      <c r="B281" s="1">
        <v>46168</v>
      </c>
      <c r="C281" s="2">
        <v>871</v>
      </c>
      <c r="D281" s="2">
        <v>460</v>
      </c>
      <c r="E281" s="2" t="s">
        <v>255</v>
      </c>
      <c r="V281" s="3">
        <v>46007</v>
      </c>
      <c r="W281" s="215">
        <v>1711</v>
      </c>
      <c r="X281" s="215">
        <v>125</v>
      </c>
      <c r="Y281" s="2" t="s">
        <v>256</v>
      </c>
    </row>
    <row r="282" spans="2:25">
      <c r="B282" s="1">
        <v>46168</v>
      </c>
      <c r="C282" s="2">
        <v>853</v>
      </c>
      <c r="D282" s="2">
        <v>460</v>
      </c>
      <c r="E282" s="2" t="s">
        <v>255</v>
      </c>
      <c r="V282" s="3">
        <v>46007</v>
      </c>
      <c r="W282" s="215">
        <v>1710</v>
      </c>
      <c r="X282" s="215">
        <v>135</v>
      </c>
      <c r="Y282" s="2" t="s">
        <v>256</v>
      </c>
    </row>
    <row r="283" spans="2:25">
      <c r="B283" s="1">
        <v>46168</v>
      </c>
      <c r="C283" s="2">
        <v>795</v>
      </c>
      <c r="D283" s="2">
        <v>460</v>
      </c>
      <c r="E283" s="2" t="s">
        <v>255</v>
      </c>
      <c r="V283" s="3">
        <v>46007</v>
      </c>
      <c r="W283" s="215">
        <v>1709</v>
      </c>
      <c r="X283" s="215">
        <v>160</v>
      </c>
      <c r="Y283" s="2" t="s">
        <v>256</v>
      </c>
    </row>
    <row r="284" spans="2:25">
      <c r="B284" s="1">
        <v>46168</v>
      </c>
      <c r="C284" s="2">
        <v>951</v>
      </c>
      <c r="D284" s="2">
        <v>459</v>
      </c>
      <c r="E284" s="2" t="s">
        <v>255</v>
      </c>
      <c r="V284" s="3">
        <v>46007</v>
      </c>
      <c r="W284" s="215">
        <v>1708</v>
      </c>
      <c r="X284" s="215">
        <v>153</v>
      </c>
      <c r="Y284" s="2" t="s">
        <v>256</v>
      </c>
    </row>
    <row r="285" spans="2:25">
      <c r="B285" s="1">
        <v>46168</v>
      </c>
      <c r="C285" s="2">
        <v>766</v>
      </c>
      <c r="D285" s="2">
        <v>459</v>
      </c>
      <c r="E285" s="2" t="s">
        <v>255</v>
      </c>
      <c r="V285" s="3">
        <v>46007</v>
      </c>
      <c r="W285" s="215">
        <v>1707</v>
      </c>
      <c r="X285" s="215">
        <v>136</v>
      </c>
      <c r="Y285" s="2" t="s">
        <v>256</v>
      </c>
    </row>
    <row r="286" spans="2:25">
      <c r="B286" s="1">
        <v>46168</v>
      </c>
      <c r="C286" s="2">
        <v>674</v>
      </c>
      <c r="D286" s="2">
        <v>459</v>
      </c>
      <c r="E286" s="2" t="s">
        <v>255</v>
      </c>
      <c r="V286" s="3">
        <v>46007</v>
      </c>
      <c r="W286" s="215">
        <v>1706</v>
      </c>
      <c r="X286" s="215">
        <v>150</v>
      </c>
      <c r="Y286" s="2" t="s">
        <v>256</v>
      </c>
    </row>
    <row r="287" spans="2:25">
      <c r="B287" s="1">
        <v>46168</v>
      </c>
      <c r="C287" s="2">
        <v>592</v>
      </c>
      <c r="D287" s="2">
        <v>459</v>
      </c>
      <c r="E287" s="2" t="s">
        <v>255</v>
      </c>
      <c r="V287" s="3">
        <v>46007</v>
      </c>
      <c r="W287" s="215">
        <v>1704</v>
      </c>
      <c r="X287" s="215">
        <v>196</v>
      </c>
      <c r="Y287" s="2" t="s">
        <v>256</v>
      </c>
    </row>
    <row r="288" spans="2:25">
      <c r="B288" s="1">
        <v>46168</v>
      </c>
      <c r="C288" s="2">
        <v>420</v>
      </c>
      <c r="D288" s="2">
        <v>459</v>
      </c>
      <c r="E288" s="2" t="s">
        <v>255</v>
      </c>
      <c r="V288" s="3">
        <v>46007</v>
      </c>
      <c r="W288" s="215">
        <v>1703</v>
      </c>
      <c r="X288" s="215">
        <v>136</v>
      </c>
      <c r="Y288" s="2" t="s">
        <v>256</v>
      </c>
    </row>
    <row r="289" spans="2:25">
      <c r="B289" s="1">
        <v>46168</v>
      </c>
      <c r="C289" s="2">
        <v>404</v>
      </c>
      <c r="D289" s="2">
        <v>459</v>
      </c>
      <c r="E289" s="2" t="s">
        <v>255</v>
      </c>
      <c r="V289" s="3">
        <v>46007</v>
      </c>
      <c r="W289" s="215">
        <v>1702</v>
      </c>
      <c r="X289" s="215">
        <v>134</v>
      </c>
      <c r="Y289" s="2" t="s">
        <v>256</v>
      </c>
    </row>
    <row r="290" spans="2:25">
      <c r="B290" s="1">
        <v>46168</v>
      </c>
      <c r="C290" s="2">
        <v>338</v>
      </c>
      <c r="D290" s="2">
        <v>459</v>
      </c>
      <c r="E290" s="2" t="s">
        <v>255</v>
      </c>
      <c r="V290" s="3">
        <v>46007</v>
      </c>
      <c r="W290" s="215">
        <v>1701</v>
      </c>
      <c r="X290" s="215">
        <v>124</v>
      </c>
      <c r="Y290" s="2" t="s">
        <v>256</v>
      </c>
    </row>
    <row r="291" spans="2:25">
      <c r="B291" s="1">
        <v>46168</v>
      </c>
      <c r="C291" s="2">
        <v>1045</v>
      </c>
      <c r="D291" s="2">
        <v>458</v>
      </c>
      <c r="E291" s="2" t="s">
        <v>255</v>
      </c>
      <c r="V291" s="3">
        <v>46007</v>
      </c>
      <c r="W291" s="215">
        <v>1700</v>
      </c>
      <c r="X291" s="215">
        <v>132</v>
      </c>
      <c r="Y291" s="2" t="s">
        <v>256</v>
      </c>
    </row>
    <row r="292" spans="2:25">
      <c r="B292" s="1">
        <v>46168</v>
      </c>
      <c r="C292" s="2">
        <v>940</v>
      </c>
      <c r="D292" s="2">
        <v>458</v>
      </c>
      <c r="E292" s="2" t="s">
        <v>255</v>
      </c>
      <c r="V292" s="3">
        <v>46007</v>
      </c>
      <c r="W292" s="2">
        <v>1699</v>
      </c>
      <c r="X292" s="2">
        <v>238</v>
      </c>
      <c r="Y292" s="2" t="s">
        <v>256</v>
      </c>
    </row>
    <row r="293" spans="2:25">
      <c r="B293" s="1">
        <v>46168</v>
      </c>
      <c r="C293" s="2">
        <v>617</v>
      </c>
      <c r="D293" s="2">
        <v>458</v>
      </c>
      <c r="E293" s="2" t="s">
        <v>255</v>
      </c>
      <c r="V293" s="3">
        <v>46007</v>
      </c>
      <c r="W293" s="215">
        <v>1698</v>
      </c>
      <c r="X293" s="215">
        <v>258</v>
      </c>
      <c r="Y293" s="2" t="s">
        <v>256</v>
      </c>
    </row>
    <row r="294" spans="2:25">
      <c r="B294" s="1">
        <v>46168</v>
      </c>
      <c r="C294" s="2">
        <v>1157</v>
      </c>
      <c r="D294" s="2">
        <v>457</v>
      </c>
      <c r="E294" s="2" t="s">
        <v>255</v>
      </c>
      <c r="V294" s="3">
        <v>46007</v>
      </c>
      <c r="W294" s="2">
        <v>1696</v>
      </c>
      <c r="X294" s="2">
        <v>219</v>
      </c>
      <c r="Y294" s="2" t="s">
        <v>256</v>
      </c>
    </row>
    <row r="295" spans="2:25">
      <c r="B295" s="1">
        <v>46168</v>
      </c>
      <c r="C295" s="2">
        <v>1034</v>
      </c>
      <c r="D295" s="2">
        <v>457</v>
      </c>
      <c r="E295" s="2" t="s">
        <v>255</v>
      </c>
      <c r="V295" s="3">
        <v>46007</v>
      </c>
      <c r="W295" s="215">
        <v>1685</v>
      </c>
      <c r="X295" s="215">
        <v>290</v>
      </c>
      <c r="Y295" s="2" t="s">
        <v>256</v>
      </c>
    </row>
    <row r="296" spans="2:25">
      <c r="B296" s="1">
        <v>46168</v>
      </c>
      <c r="C296" s="2">
        <v>942</v>
      </c>
      <c r="D296" s="2">
        <v>457</v>
      </c>
      <c r="E296" s="2" t="s">
        <v>255</v>
      </c>
      <c r="V296" s="3">
        <v>46007</v>
      </c>
      <c r="W296" s="2">
        <v>1682</v>
      </c>
      <c r="X296" s="2">
        <v>220</v>
      </c>
      <c r="Y296" s="2" t="s">
        <v>256</v>
      </c>
    </row>
    <row r="297" spans="2:25">
      <c r="B297" s="1">
        <v>46168</v>
      </c>
      <c r="C297" s="2">
        <v>883</v>
      </c>
      <c r="D297" s="2">
        <v>457</v>
      </c>
      <c r="E297" s="2" t="s">
        <v>255</v>
      </c>
      <c r="V297" s="3">
        <v>46007</v>
      </c>
      <c r="W297" s="215">
        <v>1681</v>
      </c>
      <c r="X297" s="215">
        <v>210</v>
      </c>
      <c r="Y297" s="2" t="s">
        <v>256</v>
      </c>
    </row>
    <row r="298" spans="2:25">
      <c r="B298" s="1">
        <v>46168</v>
      </c>
      <c r="C298" s="2">
        <v>856</v>
      </c>
      <c r="D298" s="2">
        <v>457</v>
      </c>
      <c r="E298" s="2" t="s">
        <v>255</v>
      </c>
      <c r="V298" s="3">
        <v>46007</v>
      </c>
      <c r="W298" s="2">
        <v>1680</v>
      </c>
      <c r="X298" s="2">
        <v>194</v>
      </c>
      <c r="Y298" s="2" t="s">
        <v>256</v>
      </c>
    </row>
    <row r="299" spans="2:25">
      <c r="B299" s="1">
        <v>46168</v>
      </c>
      <c r="C299" s="2">
        <v>838</v>
      </c>
      <c r="D299" s="2">
        <v>457</v>
      </c>
      <c r="E299" s="2" t="s">
        <v>255</v>
      </c>
      <c r="V299" s="3">
        <v>46007</v>
      </c>
      <c r="W299" s="215">
        <v>1678</v>
      </c>
      <c r="X299" s="215">
        <v>217</v>
      </c>
      <c r="Y299" s="2" t="s">
        <v>256</v>
      </c>
    </row>
    <row r="300" spans="2:25">
      <c r="B300" s="1">
        <v>46168</v>
      </c>
      <c r="C300" s="2">
        <v>705</v>
      </c>
      <c r="D300" s="2">
        <v>457</v>
      </c>
      <c r="E300" s="2" t="s">
        <v>255</v>
      </c>
      <c r="V300" s="3">
        <v>46007</v>
      </c>
      <c r="W300" s="215">
        <v>1677</v>
      </c>
      <c r="X300" s="215">
        <v>243</v>
      </c>
      <c r="Y300" s="2" t="s">
        <v>256</v>
      </c>
    </row>
    <row r="301" spans="2:25">
      <c r="B301" s="1">
        <v>46168</v>
      </c>
      <c r="C301" s="2">
        <v>685</v>
      </c>
      <c r="D301" s="2">
        <v>457</v>
      </c>
      <c r="E301" s="2" t="s">
        <v>255</v>
      </c>
      <c r="V301" s="3">
        <v>46007</v>
      </c>
      <c r="W301" s="2">
        <v>1675</v>
      </c>
      <c r="X301" s="2">
        <v>301</v>
      </c>
      <c r="Y301" s="2" t="s">
        <v>256</v>
      </c>
    </row>
    <row r="302" spans="2:25">
      <c r="B302" s="1">
        <v>46168</v>
      </c>
      <c r="C302" s="2">
        <v>513</v>
      </c>
      <c r="D302" s="2">
        <v>457</v>
      </c>
      <c r="E302" s="2" t="s">
        <v>255</v>
      </c>
      <c r="V302" s="3">
        <v>46007</v>
      </c>
      <c r="W302" s="215">
        <v>1672</v>
      </c>
      <c r="X302" s="215">
        <v>405</v>
      </c>
      <c r="Y302" s="2" t="s">
        <v>256</v>
      </c>
    </row>
    <row r="303" spans="2:25">
      <c r="B303" s="1">
        <v>46168</v>
      </c>
      <c r="C303" s="2">
        <v>1128</v>
      </c>
      <c r="D303" s="2">
        <v>456</v>
      </c>
      <c r="E303" s="2" t="s">
        <v>255</v>
      </c>
      <c r="V303" s="3">
        <v>46007</v>
      </c>
      <c r="W303" s="215">
        <v>1671</v>
      </c>
      <c r="X303" s="215">
        <v>412</v>
      </c>
      <c r="Y303" s="2" t="s">
        <v>256</v>
      </c>
    </row>
    <row r="304" spans="2:25">
      <c r="B304" s="1">
        <v>46168</v>
      </c>
      <c r="C304" s="2">
        <v>1052</v>
      </c>
      <c r="D304" s="2">
        <v>456</v>
      </c>
      <c r="E304" s="2" t="s">
        <v>255</v>
      </c>
      <c r="V304" s="3">
        <v>46007</v>
      </c>
      <c r="W304" s="215">
        <v>1670</v>
      </c>
      <c r="X304" s="215">
        <v>193</v>
      </c>
      <c r="Y304" s="2" t="s">
        <v>256</v>
      </c>
    </row>
    <row r="305" spans="2:25">
      <c r="B305" s="1">
        <v>46168</v>
      </c>
      <c r="C305" s="2">
        <v>1006</v>
      </c>
      <c r="D305" s="2">
        <v>456</v>
      </c>
      <c r="E305" s="2" t="s">
        <v>255</v>
      </c>
      <c r="V305" s="3">
        <v>46007</v>
      </c>
      <c r="W305" s="2">
        <v>1667</v>
      </c>
      <c r="X305" s="2">
        <v>212</v>
      </c>
      <c r="Y305" s="2" t="s">
        <v>256</v>
      </c>
    </row>
    <row r="306" spans="2:25">
      <c r="B306" s="1">
        <v>46168</v>
      </c>
      <c r="C306" s="2">
        <v>922</v>
      </c>
      <c r="D306" s="2">
        <v>456</v>
      </c>
      <c r="E306" s="2" t="s">
        <v>255</v>
      </c>
      <c r="V306" s="3">
        <v>46007</v>
      </c>
      <c r="W306" s="2">
        <v>1665</v>
      </c>
      <c r="X306" s="2">
        <v>294</v>
      </c>
      <c r="Y306" s="2" t="s">
        <v>256</v>
      </c>
    </row>
    <row r="307" spans="2:25">
      <c r="B307" s="1">
        <v>46168</v>
      </c>
      <c r="C307" s="2">
        <v>918</v>
      </c>
      <c r="D307" s="2">
        <v>456</v>
      </c>
      <c r="E307" s="2" t="s">
        <v>255</v>
      </c>
      <c r="V307" s="3">
        <v>46007</v>
      </c>
      <c r="W307" s="215">
        <v>1664</v>
      </c>
      <c r="X307" s="215">
        <v>203</v>
      </c>
      <c r="Y307" s="2" t="s">
        <v>256</v>
      </c>
    </row>
    <row r="308" spans="2:25">
      <c r="B308" s="1">
        <v>46168</v>
      </c>
      <c r="C308" s="2">
        <v>881</v>
      </c>
      <c r="D308" s="2">
        <v>456</v>
      </c>
      <c r="E308" s="2" t="s">
        <v>255</v>
      </c>
      <c r="V308" s="3">
        <v>46007</v>
      </c>
      <c r="W308" s="215">
        <v>1663</v>
      </c>
      <c r="X308" s="215">
        <v>215</v>
      </c>
      <c r="Y308" s="2" t="s">
        <v>256</v>
      </c>
    </row>
    <row r="309" spans="2:25">
      <c r="B309" s="1">
        <v>46168</v>
      </c>
      <c r="C309" s="2">
        <v>800</v>
      </c>
      <c r="D309" s="2">
        <v>456</v>
      </c>
      <c r="E309" s="2" t="s">
        <v>255</v>
      </c>
      <c r="V309" s="3">
        <v>46007</v>
      </c>
      <c r="W309" s="2">
        <v>1662</v>
      </c>
      <c r="X309" s="2">
        <v>195</v>
      </c>
      <c r="Y309" s="2" t="s">
        <v>256</v>
      </c>
    </row>
    <row r="310" spans="2:25">
      <c r="B310" s="1">
        <v>46168</v>
      </c>
      <c r="C310" s="2">
        <v>672</v>
      </c>
      <c r="D310" s="2">
        <v>456</v>
      </c>
      <c r="E310" s="2" t="s">
        <v>255</v>
      </c>
      <c r="V310" s="3">
        <v>46007</v>
      </c>
      <c r="W310" s="215">
        <v>1659</v>
      </c>
      <c r="X310" s="215">
        <v>267</v>
      </c>
      <c r="Y310" s="2" t="s">
        <v>256</v>
      </c>
    </row>
    <row r="311" spans="2:25">
      <c r="B311" s="1">
        <v>46168</v>
      </c>
      <c r="C311" s="2">
        <v>608</v>
      </c>
      <c r="D311" s="2">
        <v>456</v>
      </c>
      <c r="E311" s="2" t="s">
        <v>255</v>
      </c>
      <c r="V311" s="3">
        <v>46007</v>
      </c>
      <c r="W311" s="215">
        <v>1658</v>
      </c>
      <c r="X311" s="215">
        <v>272</v>
      </c>
      <c r="Y311" s="2" t="s">
        <v>256</v>
      </c>
    </row>
    <row r="312" spans="2:25">
      <c r="B312" s="1">
        <v>46168</v>
      </c>
      <c r="C312" s="2">
        <v>525</v>
      </c>
      <c r="D312" s="2">
        <v>456</v>
      </c>
      <c r="E312" s="2" t="s">
        <v>255</v>
      </c>
      <c r="V312" s="3">
        <v>46007</v>
      </c>
      <c r="W312" s="215">
        <v>1655</v>
      </c>
      <c r="X312" s="215">
        <v>235</v>
      </c>
      <c r="Y312" s="2" t="s">
        <v>256</v>
      </c>
    </row>
    <row r="313" spans="2:25">
      <c r="B313" s="1">
        <v>46168</v>
      </c>
      <c r="C313" s="2">
        <v>863</v>
      </c>
      <c r="D313" s="2">
        <v>455</v>
      </c>
      <c r="E313" s="2" t="s">
        <v>255</v>
      </c>
      <c r="V313" s="3">
        <v>46007</v>
      </c>
      <c r="W313" s="2">
        <v>1651</v>
      </c>
      <c r="X313" s="2">
        <v>201</v>
      </c>
      <c r="Y313" s="2" t="s">
        <v>256</v>
      </c>
    </row>
    <row r="314" spans="2:25">
      <c r="B314" s="1">
        <v>46168</v>
      </c>
      <c r="C314" s="2">
        <v>677</v>
      </c>
      <c r="D314" s="2">
        <v>455</v>
      </c>
      <c r="E314" s="2" t="s">
        <v>255</v>
      </c>
      <c r="V314" s="3">
        <v>46007</v>
      </c>
      <c r="W314" s="215">
        <v>1650</v>
      </c>
      <c r="X314" s="215">
        <v>158</v>
      </c>
      <c r="Y314" s="2" t="s">
        <v>256</v>
      </c>
    </row>
    <row r="315" spans="2:25">
      <c r="B315" s="1">
        <v>46168</v>
      </c>
      <c r="C315" s="2">
        <v>537</v>
      </c>
      <c r="D315" s="2">
        <v>455</v>
      </c>
      <c r="E315" s="2" t="s">
        <v>255</v>
      </c>
      <c r="V315" s="3">
        <v>46007</v>
      </c>
      <c r="W315" s="215">
        <v>1649</v>
      </c>
      <c r="X315" s="215">
        <v>111</v>
      </c>
      <c r="Y315" s="2" t="s">
        <v>256</v>
      </c>
    </row>
    <row r="316" spans="2:25">
      <c r="B316" s="1">
        <v>46168</v>
      </c>
      <c r="C316" s="2">
        <v>468</v>
      </c>
      <c r="D316" s="2">
        <v>455</v>
      </c>
      <c r="E316" s="2" t="s">
        <v>255</v>
      </c>
      <c r="V316" s="3">
        <v>46007</v>
      </c>
      <c r="W316" s="215">
        <v>1648</v>
      </c>
      <c r="X316" s="215">
        <v>121</v>
      </c>
      <c r="Y316" s="2" t="s">
        <v>256</v>
      </c>
    </row>
    <row r="317" spans="2:25">
      <c r="B317" s="1">
        <v>46168</v>
      </c>
      <c r="C317" s="2">
        <v>466</v>
      </c>
      <c r="D317" s="2">
        <v>455</v>
      </c>
      <c r="E317" s="2" t="s">
        <v>255</v>
      </c>
      <c r="V317" s="3">
        <v>46007</v>
      </c>
      <c r="W317" s="215">
        <v>1647</v>
      </c>
      <c r="X317" s="215">
        <v>149</v>
      </c>
      <c r="Y317" s="2" t="s">
        <v>256</v>
      </c>
    </row>
    <row r="318" spans="2:25">
      <c r="B318" s="1">
        <v>46168</v>
      </c>
      <c r="C318" s="2">
        <v>363</v>
      </c>
      <c r="D318" s="2">
        <v>455</v>
      </c>
      <c r="E318" s="2" t="s">
        <v>255</v>
      </c>
      <c r="V318" s="3">
        <v>46007</v>
      </c>
      <c r="W318" s="215">
        <v>1646</v>
      </c>
      <c r="X318" s="215">
        <v>165</v>
      </c>
      <c r="Y318" s="2" t="s">
        <v>256</v>
      </c>
    </row>
    <row r="319" spans="2:25">
      <c r="B319" s="1">
        <v>46168</v>
      </c>
      <c r="C319" s="2">
        <v>1013</v>
      </c>
      <c r="D319" s="2">
        <v>454</v>
      </c>
      <c r="E319" s="2" t="s">
        <v>255</v>
      </c>
      <c r="V319" s="3">
        <v>46007</v>
      </c>
      <c r="W319" s="215">
        <v>1645</v>
      </c>
      <c r="X319" s="215">
        <v>142</v>
      </c>
      <c r="Y319" s="2" t="s">
        <v>256</v>
      </c>
    </row>
    <row r="320" spans="2:25">
      <c r="B320" s="1">
        <v>46168</v>
      </c>
      <c r="C320" s="2">
        <v>830</v>
      </c>
      <c r="D320" s="2">
        <v>454</v>
      </c>
      <c r="E320" s="2" t="s">
        <v>255</v>
      </c>
      <c r="V320" s="3">
        <v>46007</v>
      </c>
      <c r="W320" s="215">
        <v>1644</v>
      </c>
      <c r="X320" s="215">
        <v>169</v>
      </c>
      <c r="Y320" s="2" t="s">
        <v>256</v>
      </c>
    </row>
    <row r="321" spans="2:25">
      <c r="B321" s="1">
        <v>46168</v>
      </c>
      <c r="C321" s="2">
        <v>746</v>
      </c>
      <c r="D321" s="2">
        <v>454</v>
      </c>
      <c r="E321" s="2" t="s">
        <v>255</v>
      </c>
      <c r="V321" s="3">
        <v>46007</v>
      </c>
      <c r="W321" s="215">
        <v>1643</v>
      </c>
      <c r="X321" s="215">
        <v>132</v>
      </c>
      <c r="Y321" s="2" t="s">
        <v>256</v>
      </c>
    </row>
    <row r="322" spans="2:25">
      <c r="B322" s="1">
        <v>46168</v>
      </c>
      <c r="C322" s="2">
        <v>522</v>
      </c>
      <c r="D322" s="2">
        <v>454</v>
      </c>
      <c r="E322" s="2" t="s">
        <v>255</v>
      </c>
      <c r="V322" s="3">
        <v>46007</v>
      </c>
      <c r="W322" s="215">
        <v>1642</v>
      </c>
      <c r="X322" s="215">
        <v>176</v>
      </c>
      <c r="Y322" s="2" t="s">
        <v>256</v>
      </c>
    </row>
    <row r="323" spans="2:25">
      <c r="B323" s="1">
        <v>46168</v>
      </c>
      <c r="C323" s="2">
        <v>435</v>
      </c>
      <c r="D323" s="2">
        <v>454</v>
      </c>
      <c r="E323" s="2" t="s">
        <v>255</v>
      </c>
      <c r="V323" s="3">
        <v>46007</v>
      </c>
      <c r="W323" s="215">
        <v>1641</v>
      </c>
      <c r="X323" s="215">
        <v>127</v>
      </c>
      <c r="Y323" s="2" t="s">
        <v>256</v>
      </c>
    </row>
    <row r="324" spans="2:25">
      <c r="B324" s="1">
        <v>46168</v>
      </c>
      <c r="C324" s="2">
        <v>345</v>
      </c>
      <c r="D324" s="2">
        <v>454</v>
      </c>
      <c r="E324" s="2" t="s">
        <v>255</v>
      </c>
      <c r="V324" s="3">
        <v>46007</v>
      </c>
      <c r="W324" s="215">
        <v>1640</v>
      </c>
      <c r="X324" s="215">
        <v>151</v>
      </c>
      <c r="Y324" s="2" t="s">
        <v>256</v>
      </c>
    </row>
    <row r="325" spans="2:25">
      <c r="B325" s="1">
        <v>46168</v>
      </c>
      <c r="C325" s="2">
        <v>911</v>
      </c>
      <c r="D325" s="2">
        <v>453</v>
      </c>
      <c r="E325" s="2" t="s">
        <v>255</v>
      </c>
      <c r="V325" s="3">
        <v>46007</v>
      </c>
      <c r="W325" s="215">
        <v>1639</v>
      </c>
      <c r="X325" s="215">
        <v>134</v>
      </c>
      <c r="Y325" s="2" t="s">
        <v>256</v>
      </c>
    </row>
    <row r="326" spans="2:25">
      <c r="B326" s="1">
        <v>46168</v>
      </c>
      <c r="C326" s="2">
        <v>576</v>
      </c>
      <c r="D326" s="2">
        <v>453</v>
      </c>
      <c r="E326" s="2" t="s">
        <v>255</v>
      </c>
      <c r="V326" s="3">
        <v>46007</v>
      </c>
      <c r="W326" s="215">
        <v>1638</v>
      </c>
      <c r="X326" s="215">
        <v>115</v>
      </c>
      <c r="Y326" s="2" t="s">
        <v>256</v>
      </c>
    </row>
    <row r="327" spans="2:25">
      <c r="B327" s="1">
        <v>46168</v>
      </c>
      <c r="C327" s="2">
        <v>323</v>
      </c>
      <c r="D327" s="2">
        <v>453</v>
      </c>
      <c r="E327" s="2" t="s">
        <v>255</v>
      </c>
      <c r="V327" s="3">
        <v>46007</v>
      </c>
      <c r="W327" s="215">
        <v>1637</v>
      </c>
      <c r="X327" s="215">
        <v>173</v>
      </c>
      <c r="Y327" s="2" t="s">
        <v>256</v>
      </c>
    </row>
    <row r="328" spans="2:25">
      <c r="B328" s="1">
        <v>46168</v>
      </c>
      <c r="C328" s="2">
        <v>965</v>
      </c>
      <c r="D328" s="2">
        <v>452</v>
      </c>
      <c r="E328" s="2" t="s">
        <v>255</v>
      </c>
      <c r="V328" s="3">
        <v>46007</v>
      </c>
      <c r="W328" s="215">
        <v>1636</v>
      </c>
      <c r="X328" s="215">
        <v>172</v>
      </c>
      <c r="Y328" s="2" t="s">
        <v>256</v>
      </c>
    </row>
    <row r="329" spans="2:25">
      <c r="B329" s="1">
        <v>46168</v>
      </c>
      <c r="C329" s="2">
        <v>886</v>
      </c>
      <c r="D329" s="2">
        <v>452</v>
      </c>
      <c r="E329" s="2" t="s">
        <v>255</v>
      </c>
      <c r="V329" s="3">
        <v>46007</v>
      </c>
      <c r="W329" s="215">
        <v>1635</v>
      </c>
      <c r="X329" s="215">
        <v>208</v>
      </c>
      <c r="Y329" s="2" t="s">
        <v>256</v>
      </c>
    </row>
    <row r="330" spans="2:25">
      <c r="B330" s="1">
        <v>46168</v>
      </c>
      <c r="C330" s="2">
        <v>753</v>
      </c>
      <c r="D330" s="2">
        <v>452</v>
      </c>
      <c r="E330" s="2" t="s">
        <v>255</v>
      </c>
      <c r="V330" s="3">
        <v>46007</v>
      </c>
      <c r="W330" s="215">
        <v>1634</v>
      </c>
      <c r="X330" s="215">
        <v>160</v>
      </c>
      <c r="Y330" s="2" t="s">
        <v>256</v>
      </c>
    </row>
    <row r="331" spans="2:25">
      <c r="B331" s="1">
        <v>46168</v>
      </c>
      <c r="C331" s="2">
        <v>1155</v>
      </c>
      <c r="D331" s="2">
        <v>451</v>
      </c>
      <c r="E331" s="2" t="s">
        <v>255</v>
      </c>
      <c r="V331" s="3">
        <v>46007</v>
      </c>
      <c r="W331" s="215">
        <v>1633</v>
      </c>
      <c r="X331" s="215">
        <v>200</v>
      </c>
      <c r="Y331" s="2" t="s">
        <v>256</v>
      </c>
    </row>
    <row r="332" spans="2:25">
      <c r="B332" s="1">
        <v>46168</v>
      </c>
      <c r="C332" s="2">
        <v>1145</v>
      </c>
      <c r="D332" s="2">
        <v>451</v>
      </c>
      <c r="E332" s="2" t="s">
        <v>255</v>
      </c>
      <c r="V332" s="3">
        <v>46007</v>
      </c>
      <c r="W332" s="215">
        <v>1632</v>
      </c>
      <c r="X332" s="215">
        <v>174</v>
      </c>
      <c r="Y332" s="2" t="s">
        <v>256</v>
      </c>
    </row>
    <row r="333" spans="2:25">
      <c r="B333" s="1">
        <v>46168</v>
      </c>
      <c r="C333" s="2">
        <v>961</v>
      </c>
      <c r="D333" s="2">
        <v>451</v>
      </c>
      <c r="E333" s="2" t="s">
        <v>255</v>
      </c>
      <c r="V333" s="3">
        <v>46007</v>
      </c>
      <c r="W333" s="215">
        <v>1631</v>
      </c>
      <c r="X333" s="215">
        <v>209</v>
      </c>
      <c r="Y333" s="2" t="s">
        <v>256</v>
      </c>
    </row>
    <row r="334" spans="2:25">
      <c r="B334" s="1">
        <v>46168</v>
      </c>
      <c r="C334" s="2">
        <v>851</v>
      </c>
      <c r="D334" s="2">
        <v>451</v>
      </c>
      <c r="E334" s="2" t="s">
        <v>255</v>
      </c>
      <c r="V334" s="3">
        <v>46007</v>
      </c>
      <c r="W334" s="215">
        <v>1630</v>
      </c>
      <c r="X334" s="215">
        <v>175</v>
      </c>
      <c r="Y334" s="2" t="s">
        <v>256</v>
      </c>
    </row>
    <row r="335" spans="2:25">
      <c r="B335" s="1">
        <v>46168</v>
      </c>
      <c r="C335" s="2">
        <v>638</v>
      </c>
      <c r="D335" s="2">
        <v>451</v>
      </c>
      <c r="E335" s="2" t="s">
        <v>255</v>
      </c>
      <c r="V335" s="3">
        <v>46007</v>
      </c>
      <c r="W335" s="215">
        <v>1629</v>
      </c>
      <c r="X335" s="215">
        <v>149</v>
      </c>
      <c r="Y335" s="2" t="s">
        <v>256</v>
      </c>
    </row>
    <row r="336" spans="2:25">
      <c r="B336" s="1">
        <v>46168</v>
      </c>
      <c r="C336" s="2">
        <v>630</v>
      </c>
      <c r="D336" s="2">
        <v>451</v>
      </c>
      <c r="E336" s="2" t="s">
        <v>255</v>
      </c>
      <c r="V336" s="3">
        <v>46007</v>
      </c>
      <c r="W336" s="215">
        <v>1628</v>
      </c>
      <c r="X336" s="215">
        <v>135</v>
      </c>
      <c r="Y336" s="2" t="s">
        <v>256</v>
      </c>
    </row>
    <row r="337" spans="2:25">
      <c r="B337" s="1">
        <v>46168</v>
      </c>
      <c r="C337" s="2">
        <v>545</v>
      </c>
      <c r="D337" s="2">
        <v>451</v>
      </c>
      <c r="E337" s="2" t="s">
        <v>255</v>
      </c>
      <c r="V337" s="3">
        <v>46007</v>
      </c>
      <c r="W337" s="215">
        <v>1627</v>
      </c>
      <c r="X337" s="215">
        <v>161</v>
      </c>
      <c r="Y337" s="2" t="s">
        <v>256</v>
      </c>
    </row>
    <row r="338" spans="2:25">
      <c r="B338" s="1">
        <v>46168</v>
      </c>
      <c r="C338" s="2">
        <v>1135</v>
      </c>
      <c r="D338" s="2">
        <v>450</v>
      </c>
      <c r="E338" s="2" t="s">
        <v>255</v>
      </c>
      <c r="V338" s="3">
        <v>46007</v>
      </c>
      <c r="W338" s="215">
        <v>1626</v>
      </c>
      <c r="X338" s="215">
        <v>174</v>
      </c>
      <c r="Y338" s="2" t="s">
        <v>256</v>
      </c>
    </row>
    <row r="339" spans="2:25">
      <c r="B339" s="1">
        <v>46168</v>
      </c>
      <c r="C339" s="2">
        <v>1069</v>
      </c>
      <c r="D339" s="2">
        <v>450</v>
      </c>
      <c r="E339" s="2" t="s">
        <v>255</v>
      </c>
      <c r="V339" s="3">
        <v>46007</v>
      </c>
      <c r="W339" s="215">
        <v>1625</v>
      </c>
      <c r="X339" s="215">
        <v>138</v>
      </c>
      <c r="Y339" s="2" t="s">
        <v>256</v>
      </c>
    </row>
    <row r="340" spans="2:25">
      <c r="B340" s="1">
        <v>46168</v>
      </c>
      <c r="C340" s="2">
        <v>1068</v>
      </c>
      <c r="D340" s="2">
        <v>450</v>
      </c>
      <c r="E340" s="2" t="s">
        <v>255</v>
      </c>
      <c r="V340" s="3">
        <v>46007</v>
      </c>
      <c r="W340" s="215">
        <v>1624</v>
      </c>
      <c r="X340" s="215">
        <v>147</v>
      </c>
      <c r="Y340" s="2" t="s">
        <v>256</v>
      </c>
    </row>
    <row r="341" spans="2:25">
      <c r="B341" s="1">
        <v>46168</v>
      </c>
      <c r="C341" s="2">
        <v>1027</v>
      </c>
      <c r="D341" s="2">
        <v>450</v>
      </c>
      <c r="E341" s="2" t="s">
        <v>255</v>
      </c>
      <c r="V341" s="3">
        <v>46007</v>
      </c>
      <c r="W341" s="215">
        <v>1623</v>
      </c>
      <c r="X341" s="215">
        <v>150</v>
      </c>
      <c r="Y341" s="2" t="s">
        <v>256</v>
      </c>
    </row>
    <row r="342" spans="2:25">
      <c r="B342" s="1">
        <v>46168</v>
      </c>
      <c r="C342" s="2">
        <v>998</v>
      </c>
      <c r="D342" s="2">
        <v>450</v>
      </c>
      <c r="E342" s="2" t="s">
        <v>255</v>
      </c>
      <c r="V342" s="3">
        <v>46007</v>
      </c>
      <c r="W342" s="215">
        <v>1622</v>
      </c>
      <c r="X342" s="215">
        <v>167</v>
      </c>
      <c r="Y342" s="2" t="s">
        <v>256</v>
      </c>
    </row>
    <row r="343" spans="2:25">
      <c r="B343" s="1">
        <v>46168</v>
      </c>
      <c r="C343" s="2">
        <v>991</v>
      </c>
      <c r="D343" s="2">
        <v>450</v>
      </c>
      <c r="E343" s="2" t="s">
        <v>255</v>
      </c>
      <c r="V343" s="3">
        <v>46007</v>
      </c>
      <c r="W343" s="215">
        <v>1621</v>
      </c>
      <c r="X343" s="215">
        <v>136</v>
      </c>
      <c r="Y343" s="2" t="s">
        <v>256</v>
      </c>
    </row>
    <row r="344" spans="2:25">
      <c r="B344" s="1">
        <v>46168</v>
      </c>
      <c r="C344" s="2">
        <v>933</v>
      </c>
      <c r="D344" s="2">
        <v>450</v>
      </c>
      <c r="E344" s="2" t="s">
        <v>255</v>
      </c>
      <c r="V344" s="3">
        <v>46007</v>
      </c>
      <c r="W344" s="215">
        <v>1620</v>
      </c>
      <c r="X344" s="215">
        <v>165</v>
      </c>
      <c r="Y344" s="2" t="s">
        <v>256</v>
      </c>
    </row>
    <row r="345" spans="2:25">
      <c r="B345" s="1">
        <v>46168</v>
      </c>
      <c r="C345" s="2">
        <v>932</v>
      </c>
      <c r="D345" s="2">
        <v>450</v>
      </c>
      <c r="E345" s="2" t="s">
        <v>255</v>
      </c>
      <c r="V345" s="3">
        <v>46007</v>
      </c>
      <c r="W345" s="215">
        <v>1619</v>
      </c>
      <c r="X345" s="215">
        <v>222</v>
      </c>
      <c r="Y345" s="2" t="s">
        <v>256</v>
      </c>
    </row>
    <row r="346" spans="2:25">
      <c r="B346" s="1">
        <v>46168</v>
      </c>
      <c r="C346" s="2">
        <v>912</v>
      </c>
      <c r="D346" s="2">
        <v>450</v>
      </c>
      <c r="E346" s="2" t="s">
        <v>255</v>
      </c>
      <c r="V346" s="3">
        <v>46007</v>
      </c>
      <c r="W346" s="215">
        <v>1617</v>
      </c>
      <c r="X346" s="215">
        <v>171</v>
      </c>
      <c r="Y346" s="2" t="s">
        <v>256</v>
      </c>
    </row>
    <row r="347" spans="2:25">
      <c r="B347" s="1">
        <v>46168</v>
      </c>
      <c r="C347" s="2">
        <v>892</v>
      </c>
      <c r="D347" s="2">
        <v>450</v>
      </c>
      <c r="E347" s="2" t="s">
        <v>255</v>
      </c>
      <c r="V347" s="3">
        <v>46007</v>
      </c>
      <c r="W347" s="215">
        <v>1616</v>
      </c>
      <c r="X347" s="215">
        <v>164</v>
      </c>
      <c r="Y347" s="2" t="s">
        <v>256</v>
      </c>
    </row>
    <row r="348" spans="2:25">
      <c r="B348" s="1">
        <v>46168</v>
      </c>
      <c r="C348" s="2">
        <v>873</v>
      </c>
      <c r="D348" s="2">
        <v>450</v>
      </c>
      <c r="E348" s="2" t="s">
        <v>255</v>
      </c>
      <c r="V348" s="3">
        <v>46007</v>
      </c>
      <c r="W348" s="215">
        <v>1615</v>
      </c>
      <c r="X348" s="215">
        <v>160</v>
      </c>
      <c r="Y348" s="2" t="s">
        <v>256</v>
      </c>
    </row>
    <row r="349" spans="2:25">
      <c r="B349" s="1">
        <v>46168</v>
      </c>
      <c r="C349" s="2">
        <v>861</v>
      </c>
      <c r="D349" s="2">
        <v>450</v>
      </c>
      <c r="E349" s="2" t="s">
        <v>255</v>
      </c>
      <c r="V349" s="3">
        <v>46007</v>
      </c>
      <c r="W349" s="215">
        <v>1615</v>
      </c>
      <c r="X349" s="215">
        <v>187</v>
      </c>
      <c r="Y349" s="2" t="s">
        <v>256</v>
      </c>
    </row>
    <row r="350" spans="2:25">
      <c r="B350" s="1">
        <v>46168</v>
      </c>
      <c r="C350" s="2">
        <v>854</v>
      </c>
      <c r="D350" s="2">
        <v>450</v>
      </c>
      <c r="E350" s="2" t="s">
        <v>255</v>
      </c>
      <c r="V350" s="3">
        <v>46007</v>
      </c>
      <c r="W350" s="215">
        <v>1613</v>
      </c>
      <c r="X350" s="215">
        <v>140</v>
      </c>
      <c r="Y350" s="2" t="s">
        <v>256</v>
      </c>
    </row>
    <row r="351" spans="2:25">
      <c r="B351" s="1">
        <v>46168</v>
      </c>
      <c r="C351" s="2">
        <v>768</v>
      </c>
      <c r="D351" s="2">
        <v>450</v>
      </c>
      <c r="E351" s="2" t="s">
        <v>255</v>
      </c>
      <c r="V351" s="3">
        <v>46007</v>
      </c>
      <c r="W351" s="215">
        <v>1612</v>
      </c>
      <c r="X351" s="215">
        <v>183</v>
      </c>
      <c r="Y351" s="2" t="s">
        <v>256</v>
      </c>
    </row>
    <row r="352" spans="2:25">
      <c r="B352" s="1">
        <v>46168</v>
      </c>
      <c r="C352" s="2">
        <v>724</v>
      </c>
      <c r="D352" s="2">
        <v>450</v>
      </c>
      <c r="E352" s="2" t="s">
        <v>255</v>
      </c>
      <c r="V352" s="3">
        <v>46007</v>
      </c>
      <c r="W352" s="215">
        <v>1611</v>
      </c>
      <c r="X352" s="215">
        <v>120</v>
      </c>
      <c r="Y352" s="2" t="s">
        <v>256</v>
      </c>
    </row>
    <row r="353" spans="2:25">
      <c r="B353" s="1">
        <v>46168</v>
      </c>
      <c r="C353" s="2">
        <v>648</v>
      </c>
      <c r="D353" s="2">
        <v>450</v>
      </c>
      <c r="E353" s="2" t="s">
        <v>255</v>
      </c>
      <c r="V353" s="3">
        <v>46007</v>
      </c>
      <c r="W353" s="215">
        <v>1609</v>
      </c>
      <c r="X353" s="215">
        <v>185</v>
      </c>
      <c r="Y353" s="2" t="s">
        <v>256</v>
      </c>
    </row>
    <row r="354" spans="2:25">
      <c r="B354" s="1">
        <v>46168</v>
      </c>
      <c r="C354" s="2">
        <v>597</v>
      </c>
      <c r="D354" s="2">
        <v>450</v>
      </c>
      <c r="E354" s="2" t="s">
        <v>255</v>
      </c>
      <c r="V354" s="3">
        <v>46007</v>
      </c>
      <c r="W354" s="2">
        <v>1608</v>
      </c>
      <c r="X354" s="2">
        <v>165</v>
      </c>
      <c r="Y354" s="2" t="s">
        <v>256</v>
      </c>
    </row>
    <row r="355" spans="2:25">
      <c r="B355" s="1">
        <v>46168</v>
      </c>
      <c r="C355" s="2">
        <v>495</v>
      </c>
      <c r="D355" s="2">
        <v>450</v>
      </c>
      <c r="E355" s="2" t="s">
        <v>255</v>
      </c>
      <c r="V355" s="3">
        <v>46007</v>
      </c>
      <c r="W355" s="215">
        <v>1607</v>
      </c>
      <c r="X355" s="215">
        <v>154</v>
      </c>
      <c r="Y355" s="2" t="s">
        <v>256</v>
      </c>
    </row>
    <row r="356" spans="2:25">
      <c r="B356" s="1">
        <v>46168</v>
      </c>
      <c r="C356" s="2">
        <v>798</v>
      </c>
      <c r="D356" s="2">
        <v>449</v>
      </c>
      <c r="E356" s="2" t="s">
        <v>255</v>
      </c>
      <c r="V356" s="3">
        <v>46007</v>
      </c>
      <c r="W356" s="215">
        <v>1606</v>
      </c>
      <c r="X356" s="215">
        <v>162</v>
      </c>
      <c r="Y356" s="2" t="s">
        <v>256</v>
      </c>
    </row>
    <row r="357" spans="2:25">
      <c r="B357" s="1">
        <v>46168</v>
      </c>
      <c r="C357" s="2">
        <v>432</v>
      </c>
      <c r="D357" s="2">
        <v>449</v>
      </c>
      <c r="E357" s="2" t="s">
        <v>255</v>
      </c>
      <c r="V357" s="3">
        <v>46007</v>
      </c>
      <c r="W357" s="215">
        <v>1605</v>
      </c>
      <c r="X357" s="215">
        <v>136</v>
      </c>
      <c r="Y357" s="2" t="s">
        <v>256</v>
      </c>
    </row>
    <row r="358" spans="2:25">
      <c r="B358" s="1">
        <v>46168</v>
      </c>
      <c r="C358" s="2">
        <v>1191</v>
      </c>
      <c r="D358" s="2">
        <v>448</v>
      </c>
      <c r="E358" s="2" t="s">
        <v>255</v>
      </c>
      <c r="V358" s="3">
        <v>46007</v>
      </c>
      <c r="W358" s="215">
        <v>1604</v>
      </c>
      <c r="X358" s="215">
        <v>173</v>
      </c>
      <c r="Y358" s="2" t="s">
        <v>256</v>
      </c>
    </row>
    <row r="359" spans="2:25">
      <c r="B359" s="1">
        <v>46168</v>
      </c>
      <c r="C359" s="2">
        <v>776</v>
      </c>
      <c r="D359" s="2">
        <v>448</v>
      </c>
      <c r="E359" s="2" t="s">
        <v>255</v>
      </c>
      <c r="V359" s="3">
        <v>46007</v>
      </c>
      <c r="W359" s="215">
        <v>1603</v>
      </c>
      <c r="X359" s="215">
        <v>161</v>
      </c>
      <c r="Y359" s="2" t="s">
        <v>256</v>
      </c>
    </row>
    <row r="360" spans="2:25">
      <c r="B360" s="1">
        <v>46168</v>
      </c>
      <c r="C360" s="2">
        <v>560</v>
      </c>
      <c r="D360" s="2">
        <v>448</v>
      </c>
      <c r="E360" s="2" t="s">
        <v>255</v>
      </c>
      <c r="V360" s="3">
        <v>46007</v>
      </c>
      <c r="W360" s="215">
        <v>1602</v>
      </c>
      <c r="X360" s="215">
        <v>174</v>
      </c>
      <c r="Y360" s="2" t="s">
        <v>256</v>
      </c>
    </row>
    <row r="361" spans="2:25">
      <c r="B361" s="1">
        <v>46168</v>
      </c>
      <c r="C361" s="2">
        <v>303</v>
      </c>
      <c r="D361" s="2">
        <v>448</v>
      </c>
      <c r="E361" s="2" t="s">
        <v>255</v>
      </c>
      <c r="V361" s="3">
        <v>46007</v>
      </c>
      <c r="W361" s="215">
        <v>1601</v>
      </c>
      <c r="X361" s="215">
        <v>182</v>
      </c>
      <c r="Y361" s="2" t="s">
        <v>256</v>
      </c>
    </row>
    <row r="362" spans="2:25">
      <c r="B362" s="1">
        <v>46168</v>
      </c>
      <c r="C362" s="2">
        <v>682</v>
      </c>
      <c r="D362" s="2">
        <v>447</v>
      </c>
      <c r="E362" s="2" t="s">
        <v>255</v>
      </c>
      <c r="V362" s="3">
        <v>46007</v>
      </c>
      <c r="W362" s="215">
        <v>1599</v>
      </c>
      <c r="X362" s="215">
        <v>220</v>
      </c>
      <c r="Y362" s="2" t="s">
        <v>256</v>
      </c>
    </row>
    <row r="363" spans="2:25">
      <c r="B363" s="1">
        <v>46168</v>
      </c>
      <c r="C363" s="2">
        <v>409</v>
      </c>
      <c r="D363" s="2">
        <v>447</v>
      </c>
      <c r="E363" s="2" t="s">
        <v>255</v>
      </c>
      <c r="V363" s="3">
        <v>46007</v>
      </c>
      <c r="W363" s="215">
        <v>1596</v>
      </c>
      <c r="X363" s="215">
        <v>230</v>
      </c>
      <c r="Y363" s="2" t="s">
        <v>256</v>
      </c>
    </row>
    <row r="364" spans="2:25">
      <c r="B364" s="1">
        <v>46168</v>
      </c>
      <c r="C364" s="2">
        <v>120</v>
      </c>
      <c r="D364" s="2">
        <v>447</v>
      </c>
      <c r="E364" s="2" t="s">
        <v>255</v>
      </c>
      <c r="V364" s="3">
        <v>46007</v>
      </c>
      <c r="W364" s="215">
        <v>1595</v>
      </c>
      <c r="X364" s="215">
        <v>231</v>
      </c>
      <c r="Y364" s="2" t="s">
        <v>256</v>
      </c>
    </row>
    <row r="365" spans="2:25">
      <c r="B365" s="1">
        <v>46168</v>
      </c>
      <c r="C365" s="2">
        <v>844</v>
      </c>
      <c r="D365" s="2">
        <v>446</v>
      </c>
      <c r="E365" s="2" t="s">
        <v>255</v>
      </c>
      <c r="V365" s="3">
        <v>46007</v>
      </c>
      <c r="W365" s="215">
        <v>1594</v>
      </c>
      <c r="X365" s="215">
        <v>277</v>
      </c>
      <c r="Y365" s="2" t="s">
        <v>256</v>
      </c>
    </row>
    <row r="366" spans="2:25">
      <c r="B366" s="1">
        <v>46168</v>
      </c>
      <c r="C366" s="2">
        <v>664</v>
      </c>
      <c r="D366" s="2">
        <v>446</v>
      </c>
      <c r="E366" s="2" t="s">
        <v>255</v>
      </c>
      <c r="V366" s="3">
        <v>46007</v>
      </c>
      <c r="W366" s="2">
        <v>1591</v>
      </c>
      <c r="X366" s="2">
        <v>211</v>
      </c>
      <c r="Y366" s="2" t="s">
        <v>256</v>
      </c>
    </row>
    <row r="367" spans="2:25">
      <c r="B367" s="1">
        <v>46168</v>
      </c>
      <c r="C367" s="2">
        <v>450</v>
      </c>
      <c r="D367" s="2">
        <v>446</v>
      </c>
      <c r="E367" s="2" t="s">
        <v>255</v>
      </c>
      <c r="V367" s="3">
        <v>46007</v>
      </c>
      <c r="W367" s="215">
        <v>1589</v>
      </c>
      <c r="X367" s="215">
        <v>290</v>
      </c>
      <c r="Y367" s="2" t="s">
        <v>256</v>
      </c>
    </row>
    <row r="368" spans="2:25">
      <c r="B368" s="1">
        <v>46168</v>
      </c>
      <c r="C368" s="2">
        <v>889</v>
      </c>
      <c r="D368" s="2">
        <v>445</v>
      </c>
      <c r="E368" s="2" t="s">
        <v>255</v>
      </c>
      <c r="V368" s="3">
        <v>46007</v>
      </c>
      <c r="W368" s="215">
        <v>1588</v>
      </c>
      <c r="X368" s="215">
        <v>180</v>
      </c>
      <c r="Y368" s="2" t="s">
        <v>256</v>
      </c>
    </row>
    <row r="369" spans="2:25">
      <c r="B369" s="1">
        <v>46168</v>
      </c>
      <c r="C369" s="2">
        <v>758</v>
      </c>
      <c r="D369" s="2">
        <v>445</v>
      </c>
      <c r="E369" s="2" t="s">
        <v>255</v>
      </c>
      <c r="V369" s="3">
        <v>46007</v>
      </c>
      <c r="W369" s="2">
        <v>1581</v>
      </c>
      <c r="X369" s="2">
        <v>282</v>
      </c>
      <c r="Y369" s="2" t="s">
        <v>256</v>
      </c>
    </row>
    <row r="370" spans="2:25">
      <c r="B370" s="1">
        <v>46168</v>
      </c>
      <c r="C370" s="2">
        <v>629</v>
      </c>
      <c r="D370" s="2">
        <v>445</v>
      </c>
      <c r="E370" s="2" t="s">
        <v>255</v>
      </c>
      <c r="V370" s="3">
        <v>46007</v>
      </c>
      <c r="W370" s="2">
        <v>1579</v>
      </c>
      <c r="X370" s="2">
        <v>289</v>
      </c>
      <c r="Y370" s="2" t="s">
        <v>256</v>
      </c>
    </row>
    <row r="371" spans="2:25">
      <c r="B371" s="1">
        <v>46168</v>
      </c>
      <c r="C371" s="2">
        <v>471</v>
      </c>
      <c r="D371" s="2">
        <v>445</v>
      </c>
      <c r="E371" s="2" t="s">
        <v>255</v>
      </c>
      <c r="V371" s="3">
        <v>46007</v>
      </c>
      <c r="W371" s="215">
        <v>1578</v>
      </c>
      <c r="X371" s="215">
        <v>196</v>
      </c>
      <c r="Y371" s="2" t="s">
        <v>256</v>
      </c>
    </row>
    <row r="372" spans="2:25">
      <c r="B372" s="1">
        <v>46168</v>
      </c>
      <c r="C372" s="2">
        <v>1063</v>
      </c>
      <c r="D372" s="2">
        <v>444</v>
      </c>
      <c r="E372" s="2" t="s">
        <v>255</v>
      </c>
      <c r="V372" s="3">
        <v>46007</v>
      </c>
      <c r="W372" s="215">
        <v>1573</v>
      </c>
      <c r="X372" s="215">
        <v>214</v>
      </c>
      <c r="Y372" s="2" t="s">
        <v>256</v>
      </c>
    </row>
    <row r="373" spans="2:25">
      <c r="B373" s="1">
        <v>46168</v>
      </c>
      <c r="C373" s="2">
        <v>928</v>
      </c>
      <c r="D373" s="2">
        <v>444</v>
      </c>
      <c r="E373" s="2" t="s">
        <v>255</v>
      </c>
      <c r="V373" s="3">
        <v>46007</v>
      </c>
      <c r="W373" s="2">
        <v>1572</v>
      </c>
      <c r="X373" s="2">
        <v>258</v>
      </c>
      <c r="Y373" s="2" t="s">
        <v>256</v>
      </c>
    </row>
    <row r="374" spans="2:25">
      <c r="B374" s="1">
        <v>46168</v>
      </c>
      <c r="C374" s="2">
        <v>910</v>
      </c>
      <c r="D374" s="2">
        <v>444</v>
      </c>
      <c r="E374" s="2" t="s">
        <v>255</v>
      </c>
      <c r="V374" s="3">
        <v>46007</v>
      </c>
      <c r="W374" s="215">
        <v>1570</v>
      </c>
      <c r="X374" s="215">
        <v>315</v>
      </c>
      <c r="Y374" s="2" t="s">
        <v>256</v>
      </c>
    </row>
    <row r="375" spans="2:25">
      <c r="B375" s="1">
        <v>46168</v>
      </c>
      <c r="C375" s="2">
        <v>732</v>
      </c>
      <c r="D375" s="2">
        <v>444</v>
      </c>
      <c r="E375" s="2" t="s">
        <v>255</v>
      </c>
      <c r="V375" s="3">
        <v>46007</v>
      </c>
      <c r="W375" s="215">
        <v>1568</v>
      </c>
      <c r="X375" s="215">
        <v>142</v>
      </c>
      <c r="Y375" s="2" t="s">
        <v>256</v>
      </c>
    </row>
    <row r="376" spans="2:25">
      <c r="B376" s="1">
        <v>46168</v>
      </c>
      <c r="C376" s="2">
        <v>694</v>
      </c>
      <c r="D376" s="2">
        <v>444</v>
      </c>
      <c r="E376" s="2" t="s">
        <v>255</v>
      </c>
      <c r="V376" s="3">
        <v>46007</v>
      </c>
      <c r="W376" s="215">
        <v>1567</v>
      </c>
      <c r="X376" s="215">
        <v>175</v>
      </c>
      <c r="Y376" s="2" t="s">
        <v>256</v>
      </c>
    </row>
    <row r="377" spans="2:25">
      <c r="B377" s="1">
        <v>46168</v>
      </c>
      <c r="C377" s="2">
        <v>661</v>
      </c>
      <c r="D377" s="2">
        <v>444</v>
      </c>
      <c r="E377" s="2" t="s">
        <v>255</v>
      </c>
      <c r="V377" s="3">
        <v>46007</v>
      </c>
      <c r="W377" s="2">
        <v>1566</v>
      </c>
      <c r="X377" s="2">
        <v>240</v>
      </c>
      <c r="Y377" s="2" t="s">
        <v>256</v>
      </c>
    </row>
    <row r="378" spans="2:25">
      <c r="B378" s="1">
        <v>46168</v>
      </c>
      <c r="C378" s="2">
        <v>486</v>
      </c>
      <c r="D378" s="2">
        <v>444</v>
      </c>
      <c r="E378" s="2" t="s">
        <v>255</v>
      </c>
      <c r="V378" s="3">
        <v>46007</v>
      </c>
      <c r="W378" s="2">
        <v>1565</v>
      </c>
      <c r="X378" s="2">
        <v>202</v>
      </c>
      <c r="Y378" s="2" t="s">
        <v>256</v>
      </c>
    </row>
    <row r="379" spans="2:25">
      <c r="B379" s="1">
        <v>46168</v>
      </c>
      <c r="C379" s="2">
        <v>382</v>
      </c>
      <c r="D379" s="2">
        <v>444</v>
      </c>
      <c r="E379" s="2" t="s">
        <v>255</v>
      </c>
      <c r="V379" s="3">
        <v>46007</v>
      </c>
      <c r="W379" s="215">
        <v>1563</v>
      </c>
      <c r="X379" s="215">
        <v>134</v>
      </c>
      <c r="Y379" s="2" t="s">
        <v>256</v>
      </c>
    </row>
    <row r="380" spans="2:25">
      <c r="B380" s="1">
        <v>46168</v>
      </c>
      <c r="C380" s="2">
        <v>347</v>
      </c>
      <c r="D380" s="2">
        <v>444</v>
      </c>
      <c r="E380" s="2" t="s">
        <v>255</v>
      </c>
      <c r="V380" s="3">
        <v>46007</v>
      </c>
      <c r="W380" s="215">
        <v>1562</v>
      </c>
      <c r="X380" s="215">
        <v>164</v>
      </c>
      <c r="Y380" s="2" t="s">
        <v>256</v>
      </c>
    </row>
    <row r="381" spans="2:25">
      <c r="B381" s="1">
        <v>46168</v>
      </c>
      <c r="C381" s="2">
        <v>794</v>
      </c>
      <c r="D381" s="2">
        <v>443</v>
      </c>
      <c r="E381" s="2" t="s">
        <v>255</v>
      </c>
      <c r="V381" s="3">
        <v>46007</v>
      </c>
      <c r="W381" s="215">
        <v>1561</v>
      </c>
      <c r="X381" s="215">
        <v>148</v>
      </c>
      <c r="Y381" s="2" t="s">
        <v>256</v>
      </c>
    </row>
    <row r="382" spans="2:25">
      <c r="B382" s="1">
        <v>46168</v>
      </c>
      <c r="C382" s="2">
        <v>673</v>
      </c>
      <c r="D382" s="2">
        <v>443</v>
      </c>
      <c r="E382" s="2" t="s">
        <v>255</v>
      </c>
      <c r="V382" s="3">
        <v>46007</v>
      </c>
      <c r="W382" s="215">
        <v>1560</v>
      </c>
      <c r="X382" s="215">
        <v>136</v>
      </c>
      <c r="Y382" s="2" t="s">
        <v>256</v>
      </c>
    </row>
    <row r="383" spans="2:25">
      <c r="B383" s="1">
        <v>46168</v>
      </c>
      <c r="C383" s="2">
        <v>500</v>
      </c>
      <c r="D383" s="2">
        <v>443</v>
      </c>
      <c r="E383" s="2" t="s">
        <v>255</v>
      </c>
      <c r="V383" s="3">
        <v>46007</v>
      </c>
      <c r="W383" s="215">
        <v>1559</v>
      </c>
      <c r="X383" s="215">
        <v>195</v>
      </c>
      <c r="Y383" s="2" t="s">
        <v>256</v>
      </c>
    </row>
    <row r="384" spans="2:25">
      <c r="B384" s="1">
        <v>46168</v>
      </c>
      <c r="C384" s="2">
        <v>872</v>
      </c>
      <c r="D384" s="2">
        <v>442</v>
      </c>
      <c r="E384" s="2" t="s">
        <v>255</v>
      </c>
      <c r="V384" s="3">
        <v>46007</v>
      </c>
      <c r="W384" s="215">
        <v>1557</v>
      </c>
      <c r="X384" s="215">
        <v>144</v>
      </c>
      <c r="Y384" s="2" t="s">
        <v>256</v>
      </c>
    </row>
    <row r="385" spans="2:25">
      <c r="B385" s="1">
        <v>46168</v>
      </c>
      <c r="C385" s="2">
        <v>433</v>
      </c>
      <c r="D385" s="2">
        <v>442</v>
      </c>
      <c r="E385" s="2" t="s">
        <v>255</v>
      </c>
      <c r="V385" s="3">
        <v>46007</v>
      </c>
      <c r="W385" s="215">
        <v>1556</v>
      </c>
      <c r="X385" s="215">
        <v>153</v>
      </c>
      <c r="Y385" s="2" t="s">
        <v>256</v>
      </c>
    </row>
    <row r="386" spans="2:25">
      <c r="B386" s="1">
        <v>46168</v>
      </c>
      <c r="C386" s="2">
        <v>930</v>
      </c>
      <c r="D386" s="2">
        <v>441</v>
      </c>
      <c r="E386" s="2" t="s">
        <v>255</v>
      </c>
      <c r="V386" s="3">
        <v>46007</v>
      </c>
      <c r="W386" s="215">
        <v>1555</v>
      </c>
      <c r="X386" s="215">
        <v>167</v>
      </c>
      <c r="Y386" s="2" t="s">
        <v>256</v>
      </c>
    </row>
    <row r="387" spans="2:25">
      <c r="B387" s="1">
        <v>46168</v>
      </c>
      <c r="C387" s="2">
        <v>642</v>
      </c>
      <c r="D387" s="2">
        <v>441</v>
      </c>
      <c r="E387" s="2" t="s">
        <v>255</v>
      </c>
      <c r="V387" s="3">
        <v>46007</v>
      </c>
      <c r="W387" s="215">
        <v>1553</v>
      </c>
      <c r="X387" s="215">
        <v>110</v>
      </c>
      <c r="Y387" s="2" t="s">
        <v>256</v>
      </c>
    </row>
    <row r="388" spans="2:25">
      <c r="B388" s="1">
        <v>46168</v>
      </c>
      <c r="C388" s="2">
        <v>388</v>
      </c>
      <c r="D388" s="2">
        <v>441</v>
      </c>
      <c r="E388" s="2" t="s">
        <v>255</v>
      </c>
      <c r="V388" s="3">
        <v>46007</v>
      </c>
      <c r="W388" s="215">
        <v>1552</v>
      </c>
      <c r="X388" s="215">
        <v>148</v>
      </c>
      <c r="Y388" s="2" t="s">
        <v>256</v>
      </c>
    </row>
    <row r="389" spans="2:25">
      <c r="B389" s="1">
        <v>46168</v>
      </c>
      <c r="C389" s="2">
        <v>1201</v>
      </c>
      <c r="D389" s="2">
        <v>440</v>
      </c>
      <c r="E389" s="2" t="s">
        <v>255</v>
      </c>
      <c r="V389" s="3">
        <v>46007</v>
      </c>
      <c r="W389" s="215">
        <v>1551</v>
      </c>
      <c r="X389" s="215">
        <v>128</v>
      </c>
      <c r="Y389" s="2" t="s">
        <v>256</v>
      </c>
    </row>
    <row r="390" spans="2:25">
      <c r="B390" s="1">
        <v>46168</v>
      </c>
      <c r="C390" s="2">
        <v>1164</v>
      </c>
      <c r="D390" s="2">
        <v>440</v>
      </c>
      <c r="E390" s="2" t="s">
        <v>255</v>
      </c>
      <c r="V390" s="3">
        <v>46007</v>
      </c>
      <c r="W390" s="215">
        <v>1550</v>
      </c>
      <c r="X390" s="215">
        <v>174</v>
      </c>
      <c r="Y390" s="2" t="s">
        <v>256</v>
      </c>
    </row>
    <row r="391" spans="2:25">
      <c r="B391" s="1">
        <v>46168</v>
      </c>
      <c r="C391" s="2">
        <v>1152</v>
      </c>
      <c r="D391" s="2">
        <v>440</v>
      </c>
      <c r="E391" s="2" t="s">
        <v>255</v>
      </c>
      <c r="V391" s="3">
        <v>46007</v>
      </c>
      <c r="W391" s="215">
        <v>1549</v>
      </c>
      <c r="X391" s="215">
        <v>225</v>
      </c>
      <c r="Y391" s="2" t="s">
        <v>256</v>
      </c>
    </row>
    <row r="392" spans="2:25">
      <c r="B392" s="1">
        <v>46168</v>
      </c>
      <c r="C392" s="2">
        <v>1123</v>
      </c>
      <c r="D392" s="2">
        <v>440</v>
      </c>
      <c r="E392" s="2" t="s">
        <v>255</v>
      </c>
      <c r="V392" s="3">
        <v>46007</v>
      </c>
      <c r="W392" s="215">
        <v>1548</v>
      </c>
      <c r="X392" s="215">
        <v>219</v>
      </c>
      <c r="Y392" s="2" t="s">
        <v>256</v>
      </c>
    </row>
    <row r="393" spans="2:25">
      <c r="B393" s="1">
        <v>46168</v>
      </c>
      <c r="C393" s="2">
        <v>1104</v>
      </c>
      <c r="D393" s="2">
        <v>440</v>
      </c>
      <c r="E393" s="2" t="s">
        <v>255</v>
      </c>
      <c r="V393" s="3">
        <v>46007</v>
      </c>
      <c r="W393" s="2">
        <v>1544</v>
      </c>
      <c r="X393" s="2">
        <v>228</v>
      </c>
      <c r="Y393" s="2" t="s">
        <v>256</v>
      </c>
    </row>
    <row r="394" spans="2:25">
      <c r="B394" s="1">
        <v>46168</v>
      </c>
      <c r="C394" s="2">
        <v>1100</v>
      </c>
      <c r="D394" s="2">
        <v>440</v>
      </c>
      <c r="E394" s="2" t="s">
        <v>255</v>
      </c>
      <c r="V394" s="3">
        <v>46007</v>
      </c>
      <c r="W394" s="215">
        <v>1542</v>
      </c>
      <c r="X394" s="215">
        <v>200</v>
      </c>
      <c r="Y394" s="2" t="s">
        <v>256</v>
      </c>
    </row>
    <row r="395" spans="2:25">
      <c r="B395" s="1">
        <v>46168</v>
      </c>
      <c r="C395" s="2">
        <v>1082</v>
      </c>
      <c r="D395" s="2">
        <v>440</v>
      </c>
      <c r="E395" s="2" t="s">
        <v>255</v>
      </c>
      <c r="V395" s="3">
        <v>46007</v>
      </c>
      <c r="W395" s="215">
        <v>1539</v>
      </c>
      <c r="X395" s="215">
        <v>188</v>
      </c>
      <c r="Y395" s="2" t="s">
        <v>256</v>
      </c>
    </row>
    <row r="396" spans="2:25">
      <c r="B396" s="1">
        <v>46168</v>
      </c>
      <c r="C396" s="2">
        <v>1008</v>
      </c>
      <c r="D396" s="2">
        <v>440</v>
      </c>
      <c r="E396" s="2" t="s">
        <v>255</v>
      </c>
      <c r="V396" s="3">
        <v>46007</v>
      </c>
      <c r="W396" s="215">
        <v>1538</v>
      </c>
      <c r="X396" s="215">
        <v>238</v>
      </c>
      <c r="Y396" s="2" t="s">
        <v>256</v>
      </c>
    </row>
    <row r="397" spans="2:25">
      <c r="B397" s="1">
        <v>46168</v>
      </c>
      <c r="C397" s="2">
        <v>994</v>
      </c>
      <c r="D397" s="2">
        <v>440</v>
      </c>
      <c r="E397" s="2" t="s">
        <v>255</v>
      </c>
      <c r="V397" s="3">
        <v>46007</v>
      </c>
      <c r="W397" s="215">
        <v>1537</v>
      </c>
      <c r="X397" s="215">
        <v>227</v>
      </c>
      <c r="Y397" s="2" t="s">
        <v>256</v>
      </c>
    </row>
    <row r="398" spans="2:25">
      <c r="B398" s="1">
        <v>46168</v>
      </c>
      <c r="C398" s="2">
        <v>907</v>
      </c>
      <c r="D398" s="2">
        <v>440</v>
      </c>
      <c r="E398" s="2" t="s">
        <v>255</v>
      </c>
      <c r="V398" s="3">
        <v>46007</v>
      </c>
      <c r="W398" s="215">
        <v>1536</v>
      </c>
      <c r="X398" s="215">
        <v>298</v>
      </c>
      <c r="Y398" s="2" t="s">
        <v>256</v>
      </c>
    </row>
    <row r="399" spans="2:25">
      <c r="B399" s="1">
        <v>46168</v>
      </c>
      <c r="C399" s="2">
        <v>831</v>
      </c>
      <c r="D399" s="2">
        <v>440</v>
      </c>
      <c r="E399" s="2" t="s">
        <v>255</v>
      </c>
      <c r="V399" s="3">
        <v>46007</v>
      </c>
      <c r="W399" s="215">
        <v>1535</v>
      </c>
      <c r="X399" s="215">
        <v>296</v>
      </c>
      <c r="Y399" s="2" t="s">
        <v>256</v>
      </c>
    </row>
    <row r="400" spans="2:25">
      <c r="B400" s="1">
        <v>46168</v>
      </c>
      <c r="C400" s="2">
        <v>605</v>
      </c>
      <c r="D400" s="2">
        <v>440</v>
      </c>
      <c r="E400" s="2" t="s">
        <v>255</v>
      </c>
      <c r="V400" s="3">
        <v>46007</v>
      </c>
      <c r="W400" s="215">
        <v>1532</v>
      </c>
      <c r="X400" s="215">
        <v>435</v>
      </c>
      <c r="Y400" s="2" t="s">
        <v>256</v>
      </c>
    </row>
    <row r="401" spans="2:25">
      <c r="B401" s="1">
        <v>46168</v>
      </c>
      <c r="C401" s="2">
        <v>591</v>
      </c>
      <c r="D401" s="2">
        <v>440</v>
      </c>
      <c r="E401" s="2" t="s">
        <v>255</v>
      </c>
      <c r="V401" s="3">
        <v>46007</v>
      </c>
      <c r="W401" s="215">
        <v>1531</v>
      </c>
      <c r="X401" s="215">
        <v>225</v>
      </c>
      <c r="Y401" s="2" t="s">
        <v>256</v>
      </c>
    </row>
    <row r="402" spans="2:25">
      <c r="B402" s="1">
        <v>46168</v>
      </c>
      <c r="C402" s="2">
        <v>589</v>
      </c>
      <c r="D402" s="2">
        <v>440</v>
      </c>
      <c r="E402" s="2" t="s">
        <v>255</v>
      </c>
      <c r="V402" s="3">
        <v>46007</v>
      </c>
      <c r="W402" s="215">
        <v>1530</v>
      </c>
      <c r="X402" s="215">
        <v>145</v>
      </c>
      <c r="Y402" s="2" t="s">
        <v>256</v>
      </c>
    </row>
    <row r="403" spans="2:25">
      <c r="B403" s="1">
        <v>46168</v>
      </c>
      <c r="C403" s="2">
        <v>508</v>
      </c>
      <c r="D403" s="2">
        <v>440</v>
      </c>
      <c r="E403" s="2" t="s">
        <v>255</v>
      </c>
      <c r="V403" s="3">
        <v>46007</v>
      </c>
      <c r="W403" s="215">
        <v>1529</v>
      </c>
      <c r="X403" s="215">
        <v>155</v>
      </c>
      <c r="Y403" s="2" t="s">
        <v>256</v>
      </c>
    </row>
    <row r="404" spans="2:25">
      <c r="B404" s="1">
        <v>46168</v>
      </c>
      <c r="C404" s="2">
        <v>430</v>
      </c>
      <c r="D404" s="2">
        <v>440</v>
      </c>
      <c r="E404" s="2" t="s">
        <v>255</v>
      </c>
      <c r="V404" s="3">
        <v>46007</v>
      </c>
      <c r="W404" s="215">
        <v>1528</v>
      </c>
      <c r="X404" s="215">
        <v>165</v>
      </c>
      <c r="Y404" s="2" t="s">
        <v>256</v>
      </c>
    </row>
    <row r="405" spans="2:25">
      <c r="B405" s="1">
        <v>46168</v>
      </c>
      <c r="C405" s="2">
        <v>1142</v>
      </c>
      <c r="D405" s="2">
        <v>439</v>
      </c>
      <c r="E405" s="2" t="s">
        <v>255</v>
      </c>
      <c r="V405" s="3">
        <v>46007</v>
      </c>
      <c r="W405" s="215">
        <v>1527</v>
      </c>
      <c r="X405" s="215">
        <v>166</v>
      </c>
      <c r="Y405" s="2" t="s">
        <v>256</v>
      </c>
    </row>
    <row r="406" spans="2:25">
      <c r="B406" s="1">
        <v>46168</v>
      </c>
      <c r="C406" s="2">
        <v>1007</v>
      </c>
      <c r="D406" s="2">
        <v>439</v>
      </c>
      <c r="E406" s="2" t="s">
        <v>255</v>
      </c>
      <c r="V406" s="3">
        <v>46007</v>
      </c>
      <c r="W406" s="215">
        <v>1526</v>
      </c>
      <c r="X406" s="215">
        <v>193</v>
      </c>
      <c r="Y406" s="2" t="s">
        <v>256</v>
      </c>
    </row>
    <row r="407" spans="2:25">
      <c r="B407" s="1">
        <v>46168</v>
      </c>
      <c r="C407" s="2">
        <v>1002</v>
      </c>
      <c r="D407" s="2">
        <v>439</v>
      </c>
      <c r="E407" s="2" t="s">
        <v>255</v>
      </c>
      <c r="V407" s="3">
        <v>46007</v>
      </c>
      <c r="W407" s="215">
        <v>1525</v>
      </c>
      <c r="X407" s="215">
        <v>191</v>
      </c>
      <c r="Y407" s="2" t="s">
        <v>256</v>
      </c>
    </row>
    <row r="408" spans="2:25">
      <c r="B408" s="1">
        <v>46168</v>
      </c>
      <c r="C408" s="2">
        <v>950</v>
      </c>
      <c r="D408" s="2">
        <v>439</v>
      </c>
      <c r="E408" s="2" t="s">
        <v>255</v>
      </c>
      <c r="V408" s="3">
        <v>46007</v>
      </c>
      <c r="W408" s="215">
        <v>1524</v>
      </c>
      <c r="X408" s="215">
        <v>237</v>
      </c>
      <c r="Y408" s="2" t="s">
        <v>256</v>
      </c>
    </row>
    <row r="409" spans="2:25">
      <c r="B409" s="1">
        <v>46168</v>
      </c>
      <c r="C409" s="2">
        <v>887</v>
      </c>
      <c r="D409" s="2">
        <v>439</v>
      </c>
      <c r="E409" s="2" t="s">
        <v>255</v>
      </c>
      <c r="V409" s="3">
        <v>46007</v>
      </c>
      <c r="W409" s="215">
        <v>1523</v>
      </c>
      <c r="X409" s="215">
        <v>187</v>
      </c>
      <c r="Y409" s="2" t="s">
        <v>256</v>
      </c>
    </row>
    <row r="410" spans="2:25">
      <c r="B410" s="1">
        <v>46168</v>
      </c>
      <c r="C410" s="2">
        <v>649</v>
      </c>
      <c r="D410" s="2">
        <v>439</v>
      </c>
      <c r="E410" s="2" t="s">
        <v>255</v>
      </c>
      <c r="V410" s="3">
        <v>46007</v>
      </c>
      <c r="W410" s="215">
        <v>1522</v>
      </c>
      <c r="X410" s="215">
        <v>162</v>
      </c>
      <c r="Y410" s="2" t="s">
        <v>256</v>
      </c>
    </row>
    <row r="411" spans="2:25">
      <c r="B411" s="1">
        <v>46168</v>
      </c>
      <c r="C411" s="2">
        <v>520</v>
      </c>
      <c r="D411" s="2">
        <v>439</v>
      </c>
      <c r="E411" s="2" t="s">
        <v>255</v>
      </c>
      <c r="V411" s="3">
        <v>46007</v>
      </c>
      <c r="W411" s="215">
        <v>1521</v>
      </c>
      <c r="X411" s="215">
        <v>188</v>
      </c>
      <c r="Y411" s="2" t="s">
        <v>256</v>
      </c>
    </row>
    <row r="412" spans="2:25">
      <c r="B412" s="1">
        <v>46168</v>
      </c>
      <c r="C412" s="2">
        <v>456</v>
      </c>
      <c r="D412" s="2">
        <v>439</v>
      </c>
      <c r="E412" s="2" t="s">
        <v>255</v>
      </c>
      <c r="V412" s="3">
        <v>46007</v>
      </c>
      <c r="W412" s="215">
        <v>1520</v>
      </c>
      <c r="X412" s="215">
        <v>155</v>
      </c>
      <c r="Y412" s="2" t="s">
        <v>256</v>
      </c>
    </row>
    <row r="413" spans="2:25">
      <c r="B413" s="1">
        <v>46168</v>
      </c>
      <c r="C413" s="2">
        <v>1115</v>
      </c>
      <c r="D413" s="2">
        <v>438</v>
      </c>
      <c r="E413" s="2" t="s">
        <v>255</v>
      </c>
      <c r="V413" s="3">
        <v>46007</v>
      </c>
      <c r="W413" s="215">
        <v>1519</v>
      </c>
      <c r="X413" s="215">
        <v>199</v>
      </c>
      <c r="Y413" s="2" t="s">
        <v>256</v>
      </c>
    </row>
    <row r="414" spans="2:25">
      <c r="B414" s="1">
        <v>46168</v>
      </c>
      <c r="C414" s="2">
        <v>952</v>
      </c>
      <c r="D414" s="2">
        <v>438</v>
      </c>
      <c r="E414" s="2" t="s">
        <v>255</v>
      </c>
      <c r="V414" s="3">
        <v>46007</v>
      </c>
      <c r="W414" s="215">
        <v>1518</v>
      </c>
      <c r="X414" s="215">
        <v>172</v>
      </c>
      <c r="Y414" s="2" t="s">
        <v>256</v>
      </c>
    </row>
    <row r="415" spans="2:25">
      <c r="B415" s="1">
        <v>46168</v>
      </c>
      <c r="C415" s="2">
        <v>864</v>
      </c>
      <c r="D415" s="2">
        <v>438</v>
      </c>
      <c r="E415" s="2" t="s">
        <v>255</v>
      </c>
      <c r="V415" s="3">
        <v>46007</v>
      </c>
      <c r="W415" s="215">
        <v>1517</v>
      </c>
      <c r="X415" s="215">
        <v>187</v>
      </c>
      <c r="Y415" s="2" t="s">
        <v>256</v>
      </c>
    </row>
    <row r="416" spans="2:25">
      <c r="B416" s="1">
        <v>46168</v>
      </c>
      <c r="C416" s="2">
        <v>852</v>
      </c>
      <c r="D416" s="2">
        <v>438</v>
      </c>
      <c r="E416" s="2" t="s">
        <v>255</v>
      </c>
      <c r="V416" s="3">
        <v>46007</v>
      </c>
      <c r="W416" s="215">
        <v>1516</v>
      </c>
      <c r="X416" s="215">
        <v>200</v>
      </c>
      <c r="Y416" s="2" t="s">
        <v>256</v>
      </c>
    </row>
    <row r="417" spans="2:25">
      <c r="B417" s="1">
        <v>46168</v>
      </c>
      <c r="C417" s="2">
        <v>824</v>
      </c>
      <c r="D417" s="2">
        <v>438</v>
      </c>
      <c r="E417" s="2" t="s">
        <v>255</v>
      </c>
      <c r="V417" s="3">
        <v>46007</v>
      </c>
      <c r="W417" s="215">
        <v>1515</v>
      </c>
      <c r="X417" s="215">
        <v>192</v>
      </c>
      <c r="Y417" s="2" t="s">
        <v>256</v>
      </c>
    </row>
    <row r="418" spans="2:25">
      <c r="B418" s="1">
        <v>46168</v>
      </c>
      <c r="C418" s="2">
        <v>713</v>
      </c>
      <c r="D418" s="2">
        <v>438</v>
      </c>
      <c r="E418" s="2" t="s">
        <v>255</v>
      </c>
      <c r="V418" s="3">
        <v>46007</v>
      </c>
      <c r="W418" s="215">
        <v>1514</v>
      </c>
      <c r="X418" s="215">
        <v>188</v>
      </c>
      <c r="Y418" s="2" t="s">
        <v>256</v>
      </c>
    </row>
    <row r="419" spans="2:25">
      <c r="B419" s="1">
        <v>46168</v>
      </c>
      <c r="C419" s="2">
        <v>374</v>
      </c>
      <c r="D419" s="2">
        <v>438</v>
      </c>
      <c r="E419" s="2" t="s">
        <v>255</v>
      </c>
      <c r="V419" s="3">
        <v>46007</v>
      </c>
      <c r="W419" s="215">
        <v>1513</v>
      </c>
      <c r="X419" s="215">
        <v>224</v>
      </c>
      <c r="Y419" s="2" t="s">
        <v>256</v>
      </c>
    </row>
    <row r="420" spans="2:25">
      <c r="B420" s="1">
        <v>46168</v>
      </c>
      <c r="C420" s="2">
        <v>1114</v>
      </c>
      <c r="D420" s="2">
        <v>437</v>
      </c>
      <c r="E420" s="2" t="s">
        <v>255</v>
      </c>
      <c r="V420" s="3">
        <v>46007</v>
      </c>
      <c r="W420" s="215">
        <v>1512</v>
      </c>
      <c r="X420" s="215">
        <v>175</v>
      </c>
      <c r="Y420" s="2" t="s">
        <v>256</v>
      </c>
    </row>
    <row r="421" spans="2:25">
      <c r="B421" s="1">
        <v>46168</v>
      </c>
      <c r="C421" s="2">
        <v>1029</v>
      </c>
      <c r="D421" s="2">
        <v>437</v>
      </c>
      <c r="E421" s="2" t="s">
        <v>255</v>
      </c>
      <c r="V421" s="3">
        <v>46007</v>
      </c>
      <c r="W421" s="215">
        <v>1511</v>
      </c>
      <c r="X421" s="215">
        <v>156</v>
      </c>
      <c r="Y421" s="2" t="s">
        <v>256</v>
      </c>
    </row>
    <row r="422" spans="2:25">
      <c r="B422" s="1">
        <v>46168</v>
      </c>
      <c r="C422" s="2">
        <v>1018</v>
      </c>
      <c r="D422" s="2">
        <v>437</v>
      </c>
      <c r="E422" s="2" t="s">
        <v>255</v>
      </c>
      <c r="V422" s="3">
        <v>46007</v>
      </c>
      <c r="W422" s="215">
        <v>1510</v>
      </c>
      <c r="X422" s="215">
        <v>208</v>
      </c>
      <c r="Y422" s="2" t="s">
        <v>256</v>
      </c>
    </row>
    <row r="423" spans="2:25">
      <c r="B423" s="1">
        <v>46168</v>
      </c>
      <c r="C423" s="2">
        <v>885</v>
      </c>
      <c r="D423" s="2">
        <v>437</v>
      </c>
      <c r="E423" s="2" t="s">
        <v>255</v>
      </c>
      <c r="V423" s="3">
        <v>46007</v>
      </c>
      <c r="W423" s="215">
        <v>1509</v>
      </c>
      <c r="X423" s="215">
        <v>180</v>
      </c>
      <c r="Y423" s="2" t="s">
        <v>256</v>
      </c>
    </row>
    <row r="424" spans="2:25">
      <c r="B424" s="1">
        <v>46168</v>
      </c>
      <c r="C424" s="2">
        <v>814</v>
      </c>
      <c r="D424" s="2">
        <v>437</v>
      </c>
      <c r="E424" s="2" t="s">
        <v>255</v>
      </c>
      <c r="V424" s="3">
        <v>46007</v>
      </c>
      <c r="W424" s="215">
        <v>1508</v>
      </c>
      <c r="X424" s="215">
        <v>183</v>
      </c>
      <c r="Y424" s="2" t="s">
        <v>256</v>
      </c>
    </row>
    <row r="425" spans="2:25">
      <c r="B425" s="1">
        <v>46168</v>
      </c>
      <c r="C425" s="2">
        <v>725</v>
      </c>
      <c r="D425" s="2">
        <v>437</v>
      </c>
      <c r="E425" s="2" t="s">
        <v>255</v>
      </c>
      <c r="V425" s="3">
        <v>46007</v>
      </c>
      <c r="W425" s="215">
        <v>1507</v>
      </c>
      <c r="X425" s="215">
        <v>198</v>
      </c>
      <c r="Y425" s="2" t="s">
        <v>256</v>
      </c>
    </row>
    <row r="426" spans="2:25">
      <c r="B426" s="1">
        <v>46168</v>
      </c>
      <c r="C426" s="2">
        <v>764</v>
      </c>
      <c r="D426" s="2">
        <v>436</v>
      </c>
      <c r="E426" s="2" t="s">
        <v>255</v>
      </c>
      <c r="V426" s="3">
        <v>46007</v>
      </c>
      <c r="W426" s="215">
        <v>1506</v>
      </c>
      <c r="X426" s="215">
        <v>183</v>
      </c>
      <c r="Y426" s="2" t="s">
        <v>256</v>
      </c>
    </row>
    <row r="427" spans="2:25">
      <c r="B427" s="1">
        <v>46168</v>
      </c>
      <c r="C427" s="2">
        <v>719</v>
      </c>
      <c r="D427" s="2">
        <v>436</v>
      </c>
      <c r="E427" s="2" t="s">
        <v>255</v>
      </c>
      <c r="V427" s="3">
        <v>46007</v>
      </c>
      <c r="W427" s="215">
        <v>1505</v>
      </c>
      <c r="X427" s="215">
        <v>206</v>
      </c>
      <c r="Y427" s="2" t="s">
        <v>256</v>
      </c>
    </row>
    <row r="428" spans="2:25">
      <c r="B428" s="1">
        <v>46168</v>
      </c>
      <c r="C428" s="2">
        <v>689</v>
      </c>
      <c r="D428" s="2">
        <v>436</v>
      </c>
      <c r="E428" s="2" t="s">
        <v>255</v>
      </c>
      <c r="V428" s="3">
        <v>46007</v>
      </c>
      <c r="W428" s="215">
        <v>1504</v>
      </c>
      <c r="X428" s="215">
        <v>188</v>
      </c>
      <c r="Y428" s="2" t="s">
        <v>256</v>
      </c>
    </row>
    <row r="429" spans="2:25">
      <c r="B429" s="1">
        <v>46168</v>
      </c>
      <c r="C429" s="2">
        <v>311</v>
      </c>
      <c r="D429" s="2">
        <v>436</v>
      </c>
      <c r="E429" s="2" t="s">
        <v>255</v>
      </c>
      <c r="V429" s="3">
        <v>46007</v>
      </c>
      <c r="W429" s="215">
        <v>1503</v>
      </c>
      <c r="X429" s="215">
        <v>169</v>
      </c>
      <c r="Y429" s="2" t="s">
        <v>256</v>
      </c>
    </row>
    <row r="430" spans="2:25">
      <c r="B430" s="1">
        <v>46168</v>
      </c>
      <c r="C430" s="2">
        <v>1143</v>
      </c>
      <c r="D430" s="2">
        <v>435</v>
      </c>
      <c r="E430" s="2" t="s">
        <v>255</v>
      </c>
      <c r="V430" s="3">
        <v>46007</v>
      </c>
      <c r="W430" s="215">
        <v>1502</v>
      </c>
      <c r="X430" s="215">
        <v>167</v>
      </c>
      <c r="Y430" s="2" t="s">
        <v>256</v>
      </c>
    </row>
    <row r="431" spans="2:25">
      <c r="B431" s="1">
        <v>46168</v>
      </c>
      <c r="C431" s="2">
        <v>1066</v>
      </c>
      <c r="D431" s="2">
        <v>435</v>
      </c>
      <c r="E431" s="2" t="s">
        <v>255</v>
      </c>
      <c r="V431" s="3">
        <v>46007</v>
      </c>
      <c r="W431" s="215">
        <v>1501</v>
      </c>
      <c r="X431" s="215">
        <v>196</v>
      </c>
      <c r="Y431" s="2" t="s">
        <v>256</v>
      </c>
    </row>
    <row r="432" spans="2:25">
      <c r="B432" s="1">
        <v>46168</v>
      </c>
      <c r="C432" s="2">
        <v>1044</v>
      </c>
      <c r="D432" s="2">
        <v>435</v>
      </c>
      <c r="E432" s="2" t="s">
        <v>255</v>
      </c>
      <c r="V432" s="3">
        <v>46007</v>
      </c>
      <c r="W432" s="215">
        <v>1500</v>
      </c>
      <c r="X432" s="215">
        <v>184</v>
      </c>
      <c r="Y432" s="2" t="s">
        <v>256</v>
      </c>
    </row>
    <row r="433" spans="2:25">
      <c r="B433" s="1">
        <v>46168</v>
      </c>
      <c r="C433" s="2">
        <v>936</v>
      </c>
      <c r="D433" s="2">
        <v>435</v>
      </c>
      <c r="E433" s="2" t="s">
        <v>255</v>
      </c>
      <c r="V433" s="3">
        <v>46007</v>
      </c>
      <c r="W433" s="215">
        <v>1498</v>
      </c>
      <c r="X433" s="215">
        <v>181</v>
      </c>
      <c r="Y433" s="2" t="s">
        <v>256</v>
      </c>
    </row>
    <row r="434" spans="2:25">
      <c r="B434" s="1">
        <v>46168</v>
      </c>
      <c r="C434" s="2">
        <v>726</v>
      </c>
      <c r="D434" s="2">
        <v>435</v>
      </c>
      <c r="E434" s="2" t="s">
        <v>255</v>
      </c>
      <c r="V434" s="3">
        <v>46007</v>
      </c>
      <c r="W434" s="215">
        <v>1497</v>
      </c>
      <c r="X434" s="215">
        <v>161</v>
      </c>
      <c r="Y434" s="2" t="s">
        <v>256</v>
      </c>
    </row>
    <row r="435" spans="2:25">
      <c r="B435" s="1">
        <v>46168</v>
      </c>
      <c r="C435" s="2">
        <v>538</v>
      </c>
      <c r="D435" s="2">
        <v>435</v>
      </c>
      <c r="E435" s="2" t="s">
        <v>255</v>
      </c>
      <c r="V435" s="3">
        <v>46007</v>
      </c>
      <c r="W435" s="215">
        <v>1496</v>
      </c>
      <c r="X435" s="215">
        <v>255</v>
      </c>
      <c r="Y435" s="2" t="s">
        <v>256</v>
      </c>
    </row>
    <row r="436" spans="2:25">
      <c r="B436" s="1">
        <v>46168</v>
      </c>
      <c r="C436" s="2">
        <v>536</v>
      </c>
      <c r="D436" s="2">
        <v>435</v>
      </c>
      <c r="E436" s="2" t="s">
        <v>255</v>
      </c>
      <c r="V436" s="3">
        <v>46007</v>
      </c>
      <c r="W436" s="215">
        <v>1495</v>
      </c>
      <c r="X436" s="215">
        <v>232</v>
      </c>
      <c r="Y436" s="2" t="s">
        <v>256</v>
      </c>
    </row>
    <row r="437" spans="2:25">
      <c r="B437" s="1">
        <v>46168</v>
      </c>
      <c r="C437" s="2">
        <v>981</v>
      </c>
      <c r="D437" s="2">
        <v>434</v>
      </c>
      <c r="E437" s="2" t="s">
        <v>255</v>
      </c>
      <c r="V437" s="3">
        <v>46007</v>
      </c>
      <c r="W437" s="215">
        <v>1494</v>
      </c>
      <c r="X437" s="215">
        <v>185</v>
      </c>
      <c r="Y437" s="2" t="s">
        <v>256</v>
      </c>
    </row>
    <row r="438" spans="2:25">
      <c r="B438" s="1">
        <v>46168</v>
      </c>
      <c r="C438" s="2">
        <v>782</v>
      </c>
      <c r="D438" s="2">
        <v>434</v>
      </c>
      <c r="E438" s="2" t="s">
        <v>255</v>
      </c>
      <c r="V438" s="3">
        <v>46007</v>
      </c>
      <c r="W438" s="215">
        <v>1493</v>
      </c>
      <c r="X438" s="215">
        <v>192</v>
      </c>
      <c r="Y438" s="2" t="s">
        <v>256</v>
      </c>
    </row>
    <row r="439" spans="2:25">
      <c r="B439" s="1">
        <v>46168</v>
      </c>
      <c r="C439" s="2">
        <v>530</v>
      </c>
      <c r="D439" s="2">
        <v>434</v>
      </c>
      <c r="E439" s="2" t="s">
        <v>255</v>
      </c>
      <c r="V439" s="3">
        <v>46007</v>
      </c>
      <c r="W439" s="215">
        <v>1492</v>
      </c>
      <c r="X439" s="215">
        <v>200</v>
      </c>
      <c r="Y439" s="2" t="s">
        <v>256</v>
      </c>
    </row>
    <row r="440" spans="2:25">
      <c r="B440" s="1">
        <v>46168</v>
      </c>
      <c r="C440" s="2">
        <v>386</v>
      </c>
      <c r="D440" s="2">
        <v>434</v>
      </c>
      <c r="E440" s="2" t="s">
        <v>255</v>
      </c>
      <c r="V440" s="3">
        <v>46007</v>
      </c>
      <c r="W440" s="215">
        <v>1491</v>
      </c>
      <c r="X440" s="215">
        <v>212</v>
      </c>
      <c r="Y440" s="2" t="s">
        <v>256</v>
      </c>
    </row>
    <row r="441" spans="2:25">
      <c r="B441" s="1">
        <v>46168</v>
      </c>
      <c r="C441" s="2">
        <v>850</v>
      </c>
      <c r="D441" s="2">
        <v>433</v>
      </c>
      <c r="E441" s="2" t="s">
        <v>255</v>
      </c>
      <c r="V441" s="3">
        <v>46007</v>
      </c>
      <c r="W441" s="215">
        <v>1489</v>
      </c>
      <c r="X441" s="215">
        <v>207</v>
      </c>
      <c r="Y441" s="2" t="s">
        <v>256</v>
      </c>
    </row>
    <row r="442" spans="2:25">
      <c r="B442" s="1">
        <v>46168</v>
      </c>
      <c r="C442" s="2">
        <v>799</v>
      </c>
      <c r="D442" s="2">
        <v>433</v>
      </c>
      <c r="E442" s="2" t="s">
        <v>255</v>
      </c>
      <c r="V442" s="3">
        <v>46007</v>
      </c>
      <c r="W442" s="215">
        <v>1488</v>
      </c>
      <c r="X442" s="215">
        <v>374</v>
      </c>
      <c r="Y442" s="2" t="s">
        <v>256</v>
      </c>
    </row>
    <row r="443" spans="2:25">
      <c r="B443" s="1">
        <v>46168</v>
      </c>
      <c r="C443" s="2">
        <v>707</v>
      </c>
      <c r="D443" s="2">
        <v>433</v>
      </c>
      <c r="E443" s="2" t="s">
        <v>255</v>
      </c>
      <c r="V443" s="3">
        <v>46007</v>
      </c>
      <c r="W443" s="215">
        <v>1487</v>
      </c>
      <c r="X443" s="215">
        <v>154</v>
      </c>
      <c r="Y443" s="2" t="s">
        <v>256</v>
      </c>
    </row>
    <row r="444" spans="2:25">
      <c r="B444" s="1">
        <v>46168</v>
      </c>
      <c r="C444" s="2">
        <v>440</v>
      </c>
      <c r="D444" s="2">
        <v>433</v>
      </c>
      <c r="E444" s="2" t="s">
        <v>255</v>
      </c>
      <c r="V444" s="3">
        <v>46007</v>
      </c>
      <c r="W444" s="215">
        <v>1486</v>
      </c>
      <c r="X444" s="215">
        <v>184</v>
      </c>
      <c r="Y444" s="2" t="s">
        <v>256</v>
      </c>
    </row>
    <row r="445" spans="2:25">
      <c r="B445" s="1">
        <v>46168</v>
      </c>
      <c r="C445" s="2">
        <v>1079</v>
      </c>
      <c r="D445" s="2">
        <v>432</v>
      </c>
      <c r="E445" s="2" t="s">
        <v>255</v>
      </c>
      <c r="V445" s="3">
        <v>46007</v>
      </c>
      <c r="W445" s="215">
        <v>1485</v>
      </c>
      <c r="X445" s="215">
        <v>178</v>
      </c>
      <c r="Y445" s="2" t="s">
        <v>256</v>
      </c>
    </row>
    <row r="446" spans="2:25">
      <c r="B446" s="1">
        <v>46168</v>
      </c>
      <c r="C446" s="2">
        <v>1055</v>
      </c>
      <c r="D446" s="2">
        <v>432</v>
      </c>
      <c r="E446" s="2" t="s">
        <v>255</v>
      </c>
      <c r="V446" s="3">
        <v>46007</v>
      </c>
      <c r="W446" s="215">
        <v>1484</v>
      </c>
      <c r="X446" s="215">
        <v>305</v>
      </c>
      <c r="Y446" s="2" t="s">
        <v>256</v>
      </c>
    </row>
    <row r="447" spans="2:25">
      <c r="B447" s="1">
        <v>46168</v>
      </c>
      <c r="C447" s="2">
        <v>944</v>
      </c>
      <c r="D447" s="2">
        <v>432</v>
      </c>
      <c r="E447" s="2" t="s">
        <v>255</v>
      </c>
      <c r="V447" s="3">
        <v>46007</v>
      </c>
      <c r="W447" s="215">
        <v>1483</v>
      </c>
      <c r="X447" s="215">
        <v>309</v>
      </c>
      <c r="Y447" s="2" t="s">
        <v>256</v>
      </c>
    </row>
    <row r="448" spans="2:25">
      <c r="B448" s="1">
        <v>46168</v>
      </c>
      <c r="C448" s="2">
        <v>857</v>
      </c>
      <c r="D448" s="2">
        <v>432</v>
      </c>
      <c r="E448" s="2" t="s">
        <v>255</v>
      </c>
      <c r="V448" s="3">
        <v>46007</v>
      </c>
      <c r="W448" s="215">
        <v>1482</v>
      </c>
      <c r="X448" s="215">
        <v>394</v>
      </c>
      <c r="Y448" s="2" t="s">
        <v>256</v>
      </c>
    </row>
    <row r="449" spans="2:25">
      <c r="B449" s="1">
        <v>46168</v>
      </c>
      <c r="C449" s="2">
        <v>658</v>
      </c>
      <c r="D449" s="2">
        <v>432</v>
      </c>
      <c r="E449" s="2" t="s">
        <v>255</v>
      </c>
      <c r="V449" s="3">
        <v>46007</v>
      </c>
      <c r="W449" s="215">
        <v>1481</v>
      </c>
      <c r="X449" s="215">
        <v>377</v>
      </c>
      <c r="Y449" s="2" t="s">
        <v>256</v>
      </c>
    </row>
    <row r="450" spans="2:25">
      <c r="B450" s="1">
        <v>46168</v>
      </c>
      <c r="C450" s="2">
        <v>1105</v>
      </c>
      <c r="D450" s="2">
        <v>431</v>
      </c>
      <c r="E450" s="2" t="s">
        <v>255</v>
      </c>
      <c r="V450" s="3">
        <v>46007</v>
      </c>
      <c r="W450" s="215">
        <v>1480</v>
      </c>
      <c r="X450" s="215">
        <v>231</v>
      </c>
      <c r="Y450" s="2" t="s">
        <v>256</v>
      </c>
    </row>
    <row r="451" spans="2:25">
      <c r="B451" s="1">
        <v>46168</v>
      </c>
      <c r="C451" s="2">
        <v>1103</v>
      </c>
      <c r="D451" s="2">
        <v>431</v>
      </c>
      <c r="E451" s="2" t="s">
        <v>255</v>
      </c>
      <c r="V451" s="3">
        <v>46007</v>
      </c>
      <c r="W451" s="215">
        <v>1479</v>
      </c>
      <c r="X451" s="215">
        <v>360</v>
      </c>
      <c r="Y451" s="2" t="s">
        <v>256</v>
      </c>
    </row>
    <row r="452" spans="2:25">
      <c r="B452" s="1">
        <v>46168</v>
      </c>
      <c r="C452" s="2">
        <v>842</v>
      </c>
      <c r="D452" s="2">
        <v>431</v>
      </c>
      <c r="E452" s="2" t="s">
        <v>255</v>
      </c>
      <c r="V452" s="3">
        <v>46007</v>
      </c>
      <c r="W452" s="215">
        <v>1478</v>
      </c>
      <c r="X452" s="215">
        <v>250</v>
      </c>
      <c r="Y452" s="2" t="s">
        <v>256</v>
      </c>
    </row>
    <row r="453" spans="2:25">
      <c r="B453" s="1">
        <v>46168</v>
      </c>
      <c r="C453" s="2">
        <v>720</v>
      </c>
      <c r="D453" s="2">
        <v>431</v>
      </c>
      <c r="E453" s="2" t="s">
        <v>255</v>
      </c>
      <c r="V453" s="3">
        <v>46007</v>
      </c>
      <c r="W453" s="215">
        <v>1477</v>
      </c>
      <c r="X453" s="215">
        <v>409</v>
      </c>
      <c r="Y453" s="2" t="s">
        <v>256</v>
      </c>
    </row>
    <row r="454" spans="2:25">
      <c r="B454" s="1">
        <v>46168</v>
      </c>
      <c r="C454" s="2">
        <v>329</v>
      </c>
      <c r="D454" s="2">
        <v>431</v>
      </c>
      <c r="E454" s="2" t="s">
        <v>255</v>
      </c>
      <c r="V454" s="3">
        <v>46007</v>
      </c>
      <c r="W454" s="215">
        <v>1476</v>
      </c>
      <c r="X454" s="215">
        <v>352</v>
      </c>
      <c r="Y454" s="2" t="s">
        <v>256</v>
      </c>
    </row>
    <row r="455" spans="2:25">
      <c r="B455" s="1">
        <v>46168</v>
      </c>
      <c r="C455" s="2">
        <v>1139</v>
      </c>
      <c r="D455" s="2">
        <v>430</v>
      </c>
      <c r="E455" s="2" t="s">
        <v>255</v>
      </c>
      <c r="V455" s="3">
        <v>46007</v>
      </c>
      <c r="W455" s="215">
        <v>1475</v>
      </c>
      <c r="X455" s="215">
        <v>350</v>
      </c>
      <c r="Y455" s="2" t="s">
        <v>256</v>
      </c>
    </row>
    <row r="456" spans="2:25">
      <c r="B456" s="1">
        <v>46168</v>
      </c>
      <c r="C456" s="2">
        <v>1102</v>
      </c>
      <c r="D456" s="2">
        <v>430</v>
      </c>
      <c r="E456" s="2" t="s">
        <v>255</v>
      </c>
      <c r="V456" s="3">
        <v>46007</v>
      </c>
      <c r="W456" s="215">
        <v>1474</v>
      </c>
      <c r="X456" s="215">
        <v>356</v>
      </c>
      <c r="Y456" s="2" t="s">
        <v>256</v>
      </c>
    </row>
    <row r="457" spans="2:25">
      <c r="B457" s="1">
        <v>46168</v>
      </c>
      <c r="C457" s="2">
        <v>1092</v>
      </c>
      <c r="D457" s="2">
        <v>430</v>
      </c>
      <c r="E457" s="2" t="s">
        <v>255</v>
      </c>
      <c r="V457" s="3">
        <v>46007</v>
      </c>
      <c r="W457" s="215">
        <v>1470</v>
      </c>
      <c r="X457" s="215">
        <v>216</v>
      </c>
      <c r="Y457" s="2" t="s">
        <v>256</v>
      </c>
    </row>
    <row r="458" spans="2:25">
      <c r="B458" s="1">
        <v>46168</v>
      </c>
      <c r="C458" s="2">
        <v>870</v>
      </c>
      <c r="D458" s="2">
        <v>430</v>
      </c>
      <c r="E458" s="2" t="s">
        <v>255</v>
      </c>
      <c r="V458" s="3">
        <v>46007</v>
      </c>
      <c r="W458" s="215">
        <v>1469</v>
      </c>
      <c r="X458" s="215">
        <v>178</v>
      </c>
      <c r="Y458" s="2" t="s">
        <v>256</v>
      </c>
    </row>
    <row r="459" spans="2:25">
      <c r="B459" s="1">
        <v>46168</v>
      </c>
      <c r="C459" s="2">
        <v>650</v>
      </c>
      <c r="D459" s="2">
        <v>430</v>
      </c>
      <c r="E459" s="2" t="s">
        <v>255</v>
      </c>
      <c r="V459" s="3">
        <v>46007</v>
      </c>
      <c r="W459" s="215">
        <v>1468</v>
      </c>
      <c r="X459" s="215">
        <v>142</v>
      </c>
      <c r="Y459" s="2" t="s">
        <v>256</v>
      </c>
    </row>
    <row r="460" spans="2:25">
      <c r="B460" s="1">
        <v>46168</v>
      </c>
      <c r="C460" s="2">
        <v>463</v>
      </c>
      <c r="D460" s="2">
        <v>430</v>
      </c>
      <c r="E460" s="2" t="s">
        <v>255</v>
      </c>
      <c r="V460" s="3">
        <v>46007</v>
      </c>
      <c r="W460" s="215">
        <v>1467</v>
      </c>
      <c r="X460" s="215">
        <v>152</v>
      </c>
      <c r="Y460" s="2" t="s">
        <v>256</v>
      </c>
    </row>
    <row r="461" spans="2:25">
      <c r="B461" s="1">
        <v>46168</v>
      </c>
      <c r="C461" s="2">
        <v>375</v>
      </c>
      <c r="D461" s="2">
        <v>430</v>
      </c>
      <c r="E461" s="2" t="s">
        <v>255</v>
      </c>
      <c r="V461" s="3">
        <v>46007</v>
      </c>
      <c r="W461" s="215">
        <v>1466</v>
      </c>
      <c r="X461" s="215">
        <v>202</v>
      </c>
      <c r="Y461" s="2" t="s">
        <v>256</v>
      </c>
    </row>
    <row r="462" spans="2:25">
      <c r="B462" s="1">
        <v>46168</v>
      </c>
      <c r="C462" s="2">
        <v>1054</v>
      </c>
      <c r="D462" s="2">
        <v>429</v>
      </c>
      <c r="E462" s="2" t="s">
        <v>255</v>
      </c>
      <c r="V462" s="3">
        <v>46007</v>
      </c>
      <c r="W462" s="215">
        <v>1465</v>
      </c>
      <c r="X462" s="215">
        <v>185</v>
      </c>
      <c r="Y462" s="2" t="s">
        <v>256</v>
      </c>
    </row>
    <row r="463" spans="2:25">
      <c r="B463" s="1">
        <v>46168</v>
      </c>
      <c r="C463" s="2">
        <v>957</v>
      </c>
      <c r="D463" s="2">
        <v>429</v>
      </c>
      <c r="E463" s="2" t="s">
        <v>255</v>
      </c>
      <c r="V463" s="3">
        <v>46007</v>
      </c>
      <c r="W463" s="215">
        <v>1464</v>
      </c>
      <c r="X463" s="215">
        <v>191</v>
      </c>
      <c r="Y463" s="2" t="s">
        <v>256</v>
      </c>
    </row>
    <row r="464" spans="2:25">
      <c r="B464" s="1">
        <v>46168</v>
      </c>
      <c r="C464" s="2">
        <v>770</v>
      </c>
      <c r="D464" s="2">
        <v>429</v>
      </c>
      <c r="E464" s="2" t="s">
        <v>255</v>
      </c>
      <c r="V464" s="3">
        <v>46007</v>
      </c>
      <c r="W464" s="215">
        <v>1463</v>
      </c>
      <c r="X464" s="215">
        <v>157</v>
      </c>
      <c r="Y464" s="2" t="s">
        <v>256</v>
      </c>
    </row>
    <row r="465" spans="2:25">
      <c r="B465" s="1">
        <v>46168</v>
      </c>
      <c r="C465" s="2">
        <v>444</v>
      </c>
      <c r="D465" s="2">
        <v>429</v>
      </c>
      <c r="E465" s="2" t="s">
        <v>255</v>
      </c>
      <c r="V465" s="3">
        <v>46007</v>
      </c>
      <c r="W465" s="215">
        <v>1462</v>
      </c>
      <c r="X465" s="215">
        <v>219</v>
      </c>
      <c r="Y465" s="2" t="s">
        <v>256</v>
      </c>
    </row>
    <row r="466" spans="2:25">
      <c r="B466" s="1">
        <v>46168</v>
      </c>
      <c r="C466" s="2">
        <v>974</v>
      </c>
      <c r="D466" s="2">
        <v>428</v>
      </c>
      <c r="E466" s="2" t="s">
        <v>255</v>
      </c>
      <c r="V466" s="3">
        <v>46007</v>
      </c>
      <c r="W466" s="215">
        <v>1461</v>
      </c>
      <c r="X466" s="215">
        <v>180</v>
      </c>
      <c r="Y466" s="2" t="s">
        <v>256</v>
      </c>
    </row>
    <row r="467" spans="2:25">
      <c r="B467" s="1">
        <v>46168</v>
      </c>
      <c r="C467" s="2">
        <v>937</v>
      </c>
      <c r="D467" s="2">
        <v>428</v>
      </c>
      <c r="E467" s="2" t="s">
        <v>255</v>
      </c>
      <c r="V467" s="3">
        <v>46007</v>
      </c>
      <c r="W467" s="215">
        <v>1460</v>
      </c>
      <c r="X467" s="215">
        <v>171</v>
      </c>
      <c r="Y467" s="2" t="s">
        <v>256</v>
      </c>
    </row>
    <row r="468" spans="2:25">
      <c r="B468" s="1">
        <v>46168</v>
      </c>
      <c r="C468" s="2">
        <v>869</v>
      </c>
      <c r="D468" s="2">
        <v>428</v>
      </c>
      <c r="E468" s="2" t="s">
        <v>255</v>
      </c>
      <c r="V468" s="3">
        <v>46007</v>
      </c>
      <c r="W468" s="215">
        <v>1458</v>
      </c>
      <c r="X468" s="215">
        <v>191</v>
      </c>
      <c r="Y468" s="2" t="s">
        <v>256</v>
      </c>
    </row>
    <row r="469" spans="2:25">
      <c r="B469" s="1">
        <v>46168</v>
      </c>
      <c r="C469" s="2">
        <v>811</v>
      </c>
      <c r="D469" s="2">
        <v>428</v>
      </c>
      <c r="E469" s="2" t="s">
        <v>255</v>
      </c>
      <c r="V469" s="3">
        <v>46007</v>
      </c>
      <c r="W469" s="215">
        <v>1457</v>
      </c>
      <c r="X469" s="215">
        <v>157</v>
      </c>
      <c r="Y469" s="2" t="s">
        <v>256</v>
      </c>
    </row>
    <row r="470" spans="2:25">
      <c r="B470" s="1">
        <v>46168</v>
      </c>
      <c r="C470" s="2">
        <v>783</v>
      </c>
      <c r="D470" s="2">
        <v>428</v>
      </c>
      <c r="E470" s="2" t="s">
        <v>255</v>
      </c>
      <c r="V470" s="3">
        <v>46007</v>
      </c>
      <c r="W470" s="215">
        <v>1456</v>
      </c>
      <c r="X470" s="215">
        <v>238</v>
      </c>
      <c r="Y470" s="2" t="s">
        <v>256</v>
      </c>
    </row>
    <row r="471" spans="2:25">
      <c r="B471" s="1">
        <v>46168</v>
      </c>
      <c r="C471" s="2">
        <v>1220</v>
      </c>
      <c r="D471" s="2">
        <v>426</v>
      </c>
      <c r="E471" s="2" t="s">
        <v>255</v>
      </c>
      <c r="V471" s="3">
        <v>46007</v>
      </c>
      <c r="W471" s="215">
        <v>1455</v>
      </c>
      <c r="X471" s="215">
        <v>158</v>
      </c>
      <c r="Y471" s="2" t="s">
        <v>256</v>
      </c>
    </row>
    <row r="472" spans="2:25">
      <c r="B472" s="1">
        <v>46168</v>
      </c>
      <c r="C472" s="2">
        <v>1140</v>
      </c>
      <c r="D472" s="2">
        <v>426</v>
      </c>
      <c r="E472" s="2" t="s">
        <v>255</v>
      </c>
      <c r="V472" s="3">
        <v>46007</v>
      </c>
      <c r="W472" s="215">
        <v>1454</v>
      </c>
      <c r="X472" s="215">
        <v>173</v>
      </c>
      <c r="Y472" s="2" t="s">
        <v>256</v>
      </c>
    </row>
    <row r="473" spans="2:25">
      <c r="B473" s="1">
        <v>46168</v>
      </c>
      <c r="C473" s="2">
        <v>1073</v>
      </c>
      <c r="D473" s="2">
        <v>426</v>
      </c>
      <c r="E473" s="2" t="s">
        <v>255</v>
      </c>
      <c r="V473" s="3">
        <v>46007</v>
      </c>
      <c r="W473" s="215">
        <v>1453</v>
      </c>
      <c r="X473" s="215">
        <v>204</v>
      </c>
      <c r="Y473" s="2" t="s">
        <v>256</v>
      </c>
    </row>
    <row r="474" spans="2:25">
      <c r="B474" s="1">
        <v>46168</v>
      </c>
      <c r="C474" s="2">
        <v>1019</v>
      </c>
      <c r="D474" s="2">
        <v>426</v>
      </c>
      <c r="E474" s="2" t="s">
        <v>255</v>
      </c>
      <c r="V474" s="3">
        <v>46007</v>
      </c>
      <c r="W474" s="215">
        <v>1452</v>
      </c>
      <c r="X474" s="215">
        <v>200</v>
      </c>
      <c r="Y474" s="2" t="s">
        <v>256</v>
      </c>
    </row>
    <row r="475" spans="2:25">
      <c r="B475" s="1">
        <v>46168</v>
      </c>
      <c r="C475" s="2">
        <v>995</v>
      </c>
      <c r="D475" s="2">
        <v>426</v>
      </c>
      <c r="E475" s="2" t="s">
        <v>255</v>
      </c>
      <c r="V475" s="3">
        <v>46007</v>
      </c>
      <c r="W475" s="215">
        <v>1451</v>
      </c>
      <c r="X475" s="215">
        <v>212</v>
      </c>
      <c r="Y475" s="2" t="s">
        <v>256</v>
      </c>
    </row>
    <row r="476" spans="2:25">
      <c r="B476" s="1">
        <v>46168</v>
      </c>
      <c r="C476" s="2">
        <v>894</v>
      </c>
      <c r="D476" s="2">
        <v>426</v>
      </c>
      <c r="E476" s="2" t="s">
        <v>255</v>
      </c>
      <c r="V476" s="3">
        <v>46007</v>
      </c>
      <c r="W476" s="215">
        <v>1450</v>
      </c>
      <c r="X476" s="215">
        <v>207</v>
      </c>
      <c r="Y476" s="2" t="s">
        <v>256</v>
      </c>
    </row>
    <row r="477" spans="2:25">
      <c r="B477" s="1">
        <v>46168</v>
      </c>
      <c r="C477" s="2">
        <v>643</v>
      </c>
      <c r="D477" s="2">
        <v>426</v>
      </c>
      <c r="E477" s="2" t="s">
        <v>255</v>
      </c>
      <c r="V477" s="3">
        <v>46007</v>
      </c>
      <c r="W477" s="215">
        <v>1449</v>
      </c>
      <c r="X477" s="215">
        <v>214</v>
      </c>
      <c r="Y477" s="2" t="s">
        <v>256</v>
      </c>
    </row>
    <row r="478" spans="2:25">
      <c r="B478" s="1">
        <v>46168</v>
      </c>
      <c r="C478" s="2">
        <v>351</v>
      </c>
      <c r="D478" s="2">
        <v>426</v>
      </c>
      <c r="E478" s="2" t="s">
        <v>255</v>
      </c>
      <c r="V478" s="3">
        <v>46007</v>
      </c>
      <c r="W478" s="215">
        <v>1448</v>
      </c>
      <c r="X478" s="215">
        <v>192</v>
      </c>
      <c r="Y478" s="2" t="s">
        <v>256</v>
      </c>
    </row>
    <row r="479" spans="2:25">
      <c r="B479" s="1">
        <v>46168</v>
      </c>
      <c r="C479" s="2">
        <v>1161</v>
      </c>
      <c r="D479" s="2">
        <v>425</v>
      </c>
      <c r="E479" s="2" t="s">
        <v>255</v>
      </c>
      <c r="V479" s="3">
        <v>46007</v>
      </c>
      <c r="W479" s="215">
        <v>1447</v>
      </c>
      <c r="X479" s="215">
        <v>211</v>
      </c>
      <c r="Y479" s="2" t="s">
        <v>256</v>
      </c>
    </row>
    <row r="480" spans="2:25">
      <c r="B480" s="1">
        <v>46168</v>
      </c>
      <c r="C480" s="2">
        <v>1101</v>
      </c>
      <c r="D480" s="2">
        <v>425</v>
      </c>
      <c r="E480" s="2" t="s">
        <v>255</v>
      </c>
      <c r="V480" s="3">
        <v>46007</v>
      </c>
      <c r="W480" s="215">
        <v>1446</v>
      </c>
      <c r="X480" s="215">
        <v>150</v>
      </c>
      <c r="Y480" s="2" t="s">
        <v>256</v>
      </c>
    </row>
    <row r="481" spans="2:25">
      <c r="B481" s="1">
        <v>46168</v>
      </c>
      <c r="C481" s="2">
        <v>1085</v>
      </c>
      <c r="D481" s="2">
        <v>425</v>
      </c>
      <c r="E481" s="2" t="s">
        <v>255</v>
      </c>
      <c r="V481" s="3">
        <v>46007</v>
      </c>
      <c r="W481" s="215">
        <v>1445</v>
      </c>
      <c r="X481" s="215">
        <v>146</v>
      </c>
      <c r="Y481" s="2" t="s">
        <v>256</v>
      </c>
    </row>
    <row r="482" spans="2:25">
      <c r="B482" s="1">
        <v>46168</v>
      </c>
      <c r="C482" s="2">
        <v>1084</v>
      </c>
      <c r="D482" s="2">
        <v>425</v>
      </c>
      <c r="E482" s="2" t="s">
        <v>255</v>
      </c>
      <c r="V482" s="3">
        <v>46007</v>
      </c>
      <c r="W482" s="215">
        <v>1444</v>
      </c>
      <c r="X482" s="215">
        <v>230</v>
      </c>
      <c r="Y482" s="2" t="s">
        <v>256</v>
      </c>
    </row>
    <row r="483" spans="2:25">
      <c r="B483" s="1">
        <v>46168</v>
      </c>
      <c r="C483" s="2">
        <v>1035</v>
      </c>
      <c r="D483" s="2">
        <v>425</v>
      </c>
      <c r="E483" s="2" t="s">
        <v>255</v>
      </c>
      <c r="V483" s="3">
        <v>46007</v>
      </c>
      <c r="W483" s="215">
        <v>1443</v>
      </c>
      <c r="X483" s="215">
        <v>201</v>
      </c>
      <c r="Y483" s="2" t="s">
        <v>256</v>
      </c>
    </row>
    <row r="484" spans="2:25">
      <c r="B484" s="1">
        <v>46168</v>
      </c>
      <c r="C484" s="2">
        <v>1023</v>
      </c>
      <c r="D484" s="2">
        <v>425</v>
      </c>
      <c r="E484" s="2" t="s">
        <v>255</v>
      </c>
      <c r="V484" s="3">
        <v>46007</v>
      </c>
      <c r="W484" s="215">
        <v>1442</v>
      </c>
      <c r="X484" s="215">
        <v>181</v>
      </c>
      <c r="Y484" s="2" t="s">
        <v>256</v>
      </c>
    </row>
    <row r="485" spans="2:25">
      <c r="B485" s="1">
        <v>46168</v>
      </c>
      <c r="C485" s="2">
        <v>956</v>
      </c>
      <c r="D485" s="2">
        <v>425</v>
      </c>
      <c r="E485" s="2" t="s">
        <v>255</v>
      </c>
      <c r="V485" s="3">
        <v>46007</v>
      </c>
      <c r="W485" s="215">
        <v>1441</v>
      </c>
      <c r="X485" s="215">
        <v>181</v>
      </c>
      <c r="Y485" s="2" t="s">
        <v>256</v>
      </c>
    </row>
    <row r="486" spans="2:25">
      <c r="B486" s="1">
        <v>46168</v>
      </c>
      <c r="C486" s="2">
        <v>847</v>
      </c>
      <c r="D486" s="2">
        <v>425</v>
      </c>
      <c r="E486" s="2" t="s">
        <v>255</v>
      </c>
      <c r="V486" s="3">
        <v>46007</v>
      </c>
      <c r="W486" s="215">
        <v>1440</v>
      </c>
      <c r="X486" s="215">
        <v>230</v>
      </c>
      <c r="Y486" s="2" t="s">
        <v>256</v>
      </c>
    </row>
    <row r="487" spans="2:25">
      <c r="B487" s="1">
        <v>46168</v>
      </c>
      <c r="C487" s="2">
        <v>756</v>
      </c>
      <c r="D487" s="2">
        <v>425</v>
      </c>
      <c r="E487" s="2" t="s">
        <v>255</v>
      </c>
      <c r="V487" s="3">
        <v>46007</v>
      </c>
      <c r="W487" s="215">
        <v>1439</v>
      </c>
      <c r="X487" s="215">
        <v>221</v>
      </c>
      <c r="Y487" s="2" t="s">
        <v>256</v>
      </c>
    </row>
    <row r="488" spans="2:25">
      <c r="B488" s="1">
        <v>46168</v>
      </c>
      <c r="C488" s="2">
        <v>662</v>
      </c>
      <c r="D488" s="2">
        <v>425</v>
      </c>
      <c r="E488" s="2" t="s">
        <v>255</v>
      </c>
      <c r="V488" s="3">
        <v>46007</v>
      </c>
      <c r="W488" s="215">
        <v>1438</v>
      </c>
      <c r="X488" s="215">
        <v>173</v>
      </c>
      <c r="Y488" s="2" t="s">
        <v>256</v>
      </c>
    </row>
    <row r="489" spans="2:25">
      <c r="B489" s="1">
        <v>46168</v>
      </c>
      <c r="C489" s="2">
        <v>639</v>
      </c>
      <c r="D489" s="2">
        <v>425</v>
      </c>
      <c r="E489" s="2" t="s">
        <v>255</v>
      </c>
      <c r="V489" s="3">
        <v>46007</v>
      </c>
      <c r="W489" s="215">
        <v>1437</v>
      </c>
      <c r="X489" s="215">
        <v>171</v>
      </c>
      <c r="Y489" s="2" t="s">
        <v>256</v>
      </c>
    </row>
    <row r="490" spans="2:25">
      <c r="B490" s="1">
        <v>46168</v>
      </c>
      <c r="C490" s="2">
        <v>632</v>
      </c>
      <c r="D490" s="2">
        <v>425</v>
      </c>
      <c r="E490" s="2" t="s">
        <v>255</v>
      </c>
      <c r="V490" s="3">
        <v>46007</v>
      </c>
      <c r="W490" s="215">
        <v>1437</v>
      </c>
      <c r="X490" s="215">
        <v>237</v>
      </c>
      <c r="Y490" s="2" t="s">
        <v>256</v>
      </c>
    </row>
    <row r="491" spans="2:25">
      <c r="B491" s="1">
        <v>46168</v>
      </c>
      <c r="C491" s="2">
        <v>511</v>
      </c>
      <c r="D491" s="2">
        <v>425</v>
      </c>
      <c r="E491" s="2" t="s">
        <v>255</v>
      </c>
      <c r="V491" s="3">
        <v>46007</v>
      </c>
      <c r="W491" s="215">
        <v>1436</v>
      </c>
      <c r="X491" s="215">
        <v>185</v>
      </c>
      <c r="Y491" s="2" t="s">
        <v>256</v>
      </c>
    </row>
    <row r="492" spans="2:25">
      <c r="B492" s="1">
        <v>46168</v>
      </c>
      <c r="C492" s="2">
        <v>1159</v>
      </c>
      <c r="D492" s="2">
        <v>424</v>
      </c>
      <c r="E492" s="2" t="s">
        <v>255</v>
      </c>
      <c r="V492" s="3">
        <v>46007</v>
      </c>
      <c r="W492" s="215">
        <v>1435</v>
      </c>
      <c r="X492" s="215">
        <v>273</v>
      </c>
      <c r="Y492" s="2" t="s">
        <v>256</v>
      </c>
    </row>
    <row r="493" spans="2:25">
      <c r="B493" s="1">
        <v>46168</v>
      </c>
      <c r="C493" s="2">
        <v>882</v>
      </c>
      <c r="D493" s="2">
        <v>424</v>
      </c>
      <c r="E493" s="2" t="s">
        <v>255</v>
      </c>
      <c r="V493" s="3">
        <v>46007</v>
      </c>
      <c r="W493" s="215">
        <v>1434</v>
      </c>
      <c r="X493" s="215">
        <v>236</v>
      </c>
      <c r="Y493" s="2" t="s">
        <v>256</v>
      </c>
    </row>
    <row r="494" spans="2:25">
      <c r="B494" s="1">
        <v>46168</v>
      </c>
      <c r="C494" s="2">
        <v>802</v>
      </c>
      <c r="D494" s="2">
        <v>424</v>
      </c>
      <c r="E494" s="2" t="s">
        <v>255</v>
      </c>
      <c r="V494" s="3">
        <v>46007</v>
      </c>
      <c r="W494" s="215">
        <v>1433</v>
      </c>
      <c r="X494" s="215">
        <v>232</v>
      </c>
      <c r="Y494" s="2" t="s">
        <v>256</v>
      </c>
    </row>
    <row r="495" spans="2:25">
      <c r="B495" s="1">
        <v>46168</v>
      </c>
      <c r="C495" s="2">
        <v>801</v>
      </c>
      <c r="D495" s="2">
        <v>424</v>
      </c>
      <c r="E495" s="2" t="s">
        <v>255</v>
      </c>
      <c r="V495" s="3">
        <v>46007</v>
      </c>
      <c r="W495" s="215">
        <v>1432</v>
      </c>
      <c r="X495" s="215">
        <v>263</v>
      </c>
      <c r="Y495" s="2" t="s">
        <v>256</v>
      </c>
    </row>
    <row r="496" spans="2:25">
      <c r="B496" s="1">
        <v>46168</v>
      </c>
      <c r="C496" s="2">
        <v>681</v>
      </c>
      <c r="D496" s="2">
        <v>424</v>
      </c>
      <c r="E496" s="2" t="s">
        <v>255</v>
      </c>
      <c r="V496" s="3">
        <v>46007</v>
      </c>
      <c r="W496" s="215">
        <v>1431</v>
      </c>
      <c r="X496" s="215">
        <v>219</v>
      </c>
      <c r="Y496" s="2" t="s">
        <v>256</v>
      </c>
    </row>
    <row r="497" spans="2:25">
      <c r="B497" s="1">
        <v>46168</v>
      </c>
      <c r="C497" s="2">
        <v>479</v>
      </c>
      <c r="D497" s="2">
        <v>424</v>
      </c>
      <c r="E497" s="2" t="s">
        <v>255</v>
      </c>
      <c r="V497" s="3">
        <v>46007</v>
      </c>
      <c r="W497" s="215">
        <v>1430</v>
      </c>
      <c r="X497" s="215">
        <v>219</v>
      </c>
      <c r="Y497" s="2" t="s">
        <v>256</v>
      </c>
    </row>
    <row r="498" spans="2:25">
      <c r="B498" s="1">
        <v>46168</v>
      </c>
      <c r="C498" s="2">
        <v>1089</v>
      </c>
      <c r="D498" s="2">
        <v>423</v>
      </c>
      <c r="E498" s="2" t="s">
        <v>255</v>
      </c>
      <c r="V498" s="3">
        <v>46007</v>
      </c>
      <c r="W498" s="215">
        <v>1429</v>
      </c>
      <c r="X498" s="215">
        <v>216</v>
      </c>
      <c r="Y498" s="2" t="s">
        <v>256</v>
      </c>
    </row>
    <row r="499" spans="2:25">
      <c r="B499" s="1">
        <v>46168</v>
      </c>
      <c r="C499" s="2">
        <v>970</v>
      </c>
      <c r="D499" s="2">
        <v>423</v>
      </c>
      <c r="E499" s="2" t="s">
        <v>255</v>
      </c>
      <c r="V499" s="3">
        <v>46007</v>
      </c>
      <c r="W499" s="215">
        <v>1428</v>
      </c>
      <c r="X499" s="215">
        <v>260</v>
      </c>
      <c r="Y499" s="2" t="s">
        <v>256</v>
      </c>
    </row>
    <row r="500" spans="2:25">
      <c r="B500" s="1">
        <v>46168</v>
      </c>
      <c r="C500" s="2">
        <v>848</v>
      </c>
      <c r="D500" s="2">
        <v>423</v>
      </c>
      <c r="E500" s="2" t="s">
        <v>255</v>
      </c>
      <c r="V500" s="3">
        <v>46007</v>
      </c>
      <c r="W500" s="215">
        <v>1427</v>
      </c>
      <c r="X500" s="215">
        <v>224</v>
      </c>
      <c r="Y500" s="2" t="s">
        <v>256</v>
      </c>
    </row>
    <row r="501" spans="2:25">
      <c r="B501" s="1">
        <v>46168</v>
      </c>
      <c r="C501" s="2">
        <v>836</v>
      </c>
      <c r="D501" s="2">
        <v>423</v>
      </c>
      <c r="E501" s="2" t="s">
        <v>255</v>
      </c>
      <c r="V501" s="3">
        <v>46007</v>
      </c>
      <c r="W501" s="215">
        <v>1426</v>
      </c>
      <c r="X501" s="215">
        <v>179</v>
      </c>
      <c r="Y501" s="2" t="s">
        <v>256</v>
      </c>
    </row>
    <row r="502" spans="2:25">
      <c r="B502" s="1">
        <v>46168</v>
      </c>
      <c r="C502" s="2">
        <v>813</v>
      </c>
      <c r="D502" s="2">
        <v>423</v>
      </c>
      <c r="E502" s="2" t="s">
        <v>255</v>
      </c>
      <c r="V502" s="3">
        <v>46007</v>
      </c>
      <c r="W502" s="215">
        <v>1425</v>
      </c>
      <c r="X502" s="215">
        <v>206</v>
      </c>
      <c r="Y502" s="2" t="s">
        <v>256</v>
      </c>
    </row>
    <row r="503" spans="2:25">
      <c r="B503" s="1">
        <v>46168</v>
      </c>
      <c r="C503" s="2">
        <v>366</v>
      </c>
      <c r="D503" s="2">
        <v>423</v>
      </c>
      <c r="E503" s="2" t="s">
        <v>255</v>
      </c>
      <c r="V503" s="3">
        <v>46007</v>
      </c>
      <c r="W503" s="215">
        <v>1424</v>
      </c>
      <c r="X503" s="215">
        <v>230</v>
      </c>
      <c r="Y503" s="2" t="s">
        <v>256</v>
      </c>
    </row>
    <row r="504" spans="2:25">
      <c r="B504" s="1">
        <v>46168</v>
      </c>
      <c r="C504" s="2">
        <v>939</v>
      </c>
      <c r="D504" s="2">
        <v>422</v>
      </c>
      <c r="E504" s="2" t="s">
        <v>255</v>
      </c>
      <c r="V504" s="3">
        <v>46007</v>
      </c>
      <c r="W504" s="215">
        <v>1423</v>
      </c>
      <c r="X504" s="215">
        <v>177</v>
      </c>
      <c r="Y504" s="2" t="s">
        <v>256</v>
      </c>
    </row>
    <row r="505" spans="2:25">
      <c r="B505" s="1">
        <v>46168</v>
      </c>
      <c r="C505" s="2">
        <v>1137</v>
      </c>
      <c r="D505" s="2">
        <v>421</v>
      </c>
      <c r="E505" s="2" t="s">
        <v>255</v>
      </c>
      <c r="V505" s="3">
        <v>46007</v>
      </c>
      <c r="W505" s="215">
        <v>1422</v>
      </c>
      <c r="X505" s="215">
        <v>175</v>
      </c>
      <c r="Y505" s="2" t="s">
        <v>256</v>
      </c>
    </row>
    <row r="506" spans="2:25">
      <c r="B506" s="1">
        <v>46168</v>
      </c>
      <c r="C506" s="2">
        <v>1097</v>
      </c>
      <c r="D506" s="2">
        <v>421</v>
      </c>
      <c r="E506" s="2" t="s">
        <v>255</v>
      </c>
      <c r="V506" s="3">
        <v>46007</v>
      </c>
      <c r="W506" s="215">
        <v>1421</v>
      </c>
      <c r="X506" s="215">
        <v>192</v>
      </c>
      <c r="Y506" s="2" t="s">
        <v>256</v>
      </c>
    </row>
    <row r="507" spans="2:25">
      <c r="B507" s="1">
        <v>46168</v>
      </c>
      <c r="C507" s="2">
        <v>1051</v>
      </c>
      <c r="D507" s="2">
        <v>421</v>
      </c>
      <c r="E507" s="2" t="s">
        <v>255</v>
      </c>
      <c r="V507" s="3">
        <v>46007</v>
      </c>
      <c r="W507" s="215">
        <v>1420</v>
      </c>
      <c r="X507" s="215">
        <v>149</v>
      </c>
      <c r="Y507" s="2" t="s">
        <v>256</v>
      </c>
    </row>
    <row r="508" spans="2:25">
      <c r="B508" s="1">
        <v>46168</v>
      </c>
      <c r="C508" s="2">
        <v>978</v>
      </c>
      <c r="D508" s="2">
        <v>421</v>
      </c>
      <c r="E508" s="2" t="s">
        <v>255</v>
      </c>
      <c r="V508" s="3">
        <v>46007</v>
      </c>
      <c r="W508" s="215">
        <v>1419</v>
      </c>
      <c r="X508" s="215">
        <v>184</v>
      </c>
      <c r="Y508" s="2" t="s">
        <v>256</v>
      </c>
    </row>
    <row r="509" spans="2:25">
      <c r="B509" s="1">
        <v>46168</v>
      </c>
      <c r="C509" s="2">
        <v>969</v>
      </c>
      <c r="D509" s="2">
        <v>421</v>
      </c>
      <c r="E509" s="2" t="s">
        <v>255</v>
      </c>
      <c r="V509" s="3">
        <v>46007</v>
      </c>
      <c r="W509" s="215">
        <v>1418</v>
      </c>
      <c r="X509" s="215">
        <v>223</v>
      </c>
      <c r="Y509" s="2" t="s">
        <v>256</v>
      </c>
    </row>
    <row r="510" spans="2:25">
      <c r="B510" s="1">
        <v>46168</v>
      </c>
      <c r="C510" s="2">
        <v>908</v>
      </c>
      <c r="D510" s="2">
        <v>421</v>
      </c>
      <c r="E510" s="2" t="s">
        <v>255</v>
      </c>
      <c r="V510" s="3">
        <v>46007</v>
      </c>
      <c r="W510" s="215">
        <v>1417</v>
      </c>
      <c r="X510" s="215">
        <v>183</v>
      </c>
      <c r="Y510" s="2" t="s">
        <v>256</v>
      </c>
    </row>
    <row r="511" spans="2:25">
      <c r="B511" s="1">
        <v>46168</v>
      </c>
      <c r="C511" s="2">
        <v>862</v>
      </c>
      <c r="D511" s="2">
        <v>421</v>
      </c>
      <c r="E511" s="2" t="s">
        <v>255</v>
      </c>
      <c r="V511" s="3">
        <v>46007</v>
      </c>
      <c r="W511" s="215">
        <v>1416</v>
      </c>
      <c r="X511" s="215">
        <v>196</v>
      </c>
      <c r="Y511" s="2" t="s">
        <v>256</v>
      </c>
    </row>
    <row r="512" spans="2:25">
      <c r="B512" s="1">
        <v>46168</v>
      </c>
      <c r="C512" s="2">
        <v>748</v>
      </c>
      <c r="D512" s="2">
        <v>421</v>
      </c>
      <c r="E512" s="2" t="s">
        <v>255</v>
      </c>
      <c r="V512" s="3">
        <v>46007</v>
      </c>
      <c r="W512" s="215">
        <v>1415</v>
      </c>
      <c r="X512" s="215">
        <v>156</v>
      </c>
      <c r="Y512" s="2" t="s">
        <v>256</v>
      </c>
    </row>
    <row r="513" spans="2:25">
      <c r="B513" s="1">
        <v>46168</v>
      </c>
      <c r="C513" s="2">
        <v>731</v>
      </c>
      <c r="D513" s="2">
        <v>421</v>
      </c>
      <c r="E513" s="2" t="s">
        <v>255</v>
      </c>
      <c r="V513" s="3">
        <v>46007</v>
      </c>
      <c r="W513" s="215">
        <v>1414</v>
      </c>
      <c r="X513" s="215">
        <v>214</v>
      </c>
      <c r="Y513" s="2" t="s">
        <v>256</v>
      </c>
    </row>
    <row r="514" spans="2:25">
      <c r="B514" s="1">
        <v>46168</v>
      </c>
      <c r="C514" s="2">
        <v>699</v>
      </c>
      <c r="D514" s="2">
        <v>421</v>
      </c>
      <c r="E514" s="2" t="s">
        <v>255</v>
      </c>
      <c r="V514" s="3">
        <v>46007</v>
      </c>
      <c r="W514" s="215">
        <v>1413</v>
      </c>
      <c r="X514" s="215">
        <v>168</v>
      </c>
      <c r="Y514" s="2" t="s">
        <v>256</v>
      </c>
    </row>
    <row r="515" spans="2:25">
      <c r="B515" s="1">
        <v>46168</v>
      </c>
      <c r="C515" s="2">
        <v>599</v>
      </c>
      <c r="D515" s="2">
        <v>421</v>
      </c>
      <c r="E515" s="2" t="s">
        <v>255</v>
      </c>
      <c r="V515" s="3">
        <v>46007</v>
      </c>
      <c r="W515" s="215">
        <v>1412</v>
      </c>
      <c r="X515" s="215">
        <v>197</v>
      </c>
      <c r="Y515" s="2" t="s">
        <v>256</v>
      </c>
    </row>
    <row r="516" spans="2:25">
      <c r="B516" s="1">
        <v>46168</v>
      </c>
      <c r="C516" s="2">
        <v>1156</v>
      </c>
      <c r="D516" s="2">
        <v>420</v>
      </c>
      <c r="E516" s="2" t="s">
        <v>255</v>
      </c>
      <c r="V516" s="3">
        <v>46007</v>
      </c>
      <c r="W516" s="215">
        <v>1411</v>
      </c>
      <c r="X516" s="215">
        <v>178</v>
      </c>
      <c r="Y516" s="2" t="s">
        <v>256</v>
      </c>
    </row>
    <row r="517" spans="2:25">
      <c r="B517" s="1">
        <v>46168</v>
      </c>
      <c r="C517" s="2">
        <v>1059</v>
      </c>
      <c r="D517" s="2">
        <v>420</v>
      </c>
      <c r="E517" s="2" t="s">
        <v>255</v>
      </c>
      <c r="V517" s="3">
        <v>46007</v>
      </c>
      <c r="W517" s="215">
        <v>1410</v>
      </c>
      <c r="X517" s="215">
        <v>193</v>
      </c>
      <c r="Y517" s="2" t="s">
        <v>256</v>
      </c>
    </row>
    <row r="518" spans="2:25">
      <c r="B518" s="1">
        <v>46168</v>
      </c>
      <c r="C518" s="2">
        <v>1043</v>
      </c>
      <c r="D518" s="2">
        <v>420</v>
      </c>
      <c r="E518" s="2" t="s">
        <v>255</v>
      </c>
      <c r="V518" s="3">
        <v>46007</v>
      </c>
      <c r="W518" s="215">
        <v>1409</v>
      </c>
      <c r="X518" s="215">
        <v>162</v>
      </c>
      <c r="Y518" s="2" t="s">
        <v>256</v>
      </c>
    </row>
    <row r="519" spans="2:25">
      <c r="B519" s="1">
        <v>46168</v>
      </c>
      <c r="C519" s="2">
        <v>1038</v>
      </c>
      <c r="D519" s="2">
        <v>420</v>
      </c>
      <c r="E519" s="2" t="s">
        <v>255</v>
      </c>
      <c r="V519" s="3">
        <v>46007</v>
      </c>
      <c r="W519" s="2">
        <v>1408</v>
      </c>
      <c r="X519" s="2">
        <v>169</v>
      </c>
      <c r="Y519" s="2" t="s">
        <v>256</v>
      </c>
    </row>
    <row r="520" spans="2:25">
      <c r="B520" s="1">
        <v>46168</v>
      </c>
      <c r="C520" s="2">
        <v>1015</v>
      </c>
      <c r="D520" s="2">
        <v>420</v>
      </c>
      <c r="E520" s="2" t="s">
        <v>255</v>
      </c>
      <c r="V520" s="3">
        <v>46007</v>
      </c>
      <c r="W520" s="215">
        <v>1407</v>
      </c>
      <c r="X520" s="215">
        <v>151</v>
      </c>
      <c r="Y520" s="2" t="s">
        <v>256</v>
      </c>
    </row>
    <row r="521" spans="2:25">
      <c r="B521" s="1">
        <v>46168</v>
      </c>
      <c r="C521" s="2">
        <v>986</v>
      </c>
      <c r="D521" s="2">
        <v>420</v>
      </c>
      <c r="E521" s="2" t="s">
        <v>255</v>
      </c>
      <c r="V521" s="3">
        <v>46007</v>
      </c>
      <c r="W521" s="215">
        <v>1406</v>
      </c>
      <c r="X521" s="215">
        <v>169</v>
      </c>
      <c r="Y521" s="2" t="s">
        <v>256</v>
      </c>
    </row>
    <row r="522" spans="2:25">
      <c r="B522" s="1">
        <v>46168</v>
      </c>
      <c r="C522" s="2">
        <v>954</v>
      </c>
      <c r="D522" s="2">
        <v>420</v>
      </c>
      <c r="E522" s="2" t="s">
        <v>255</v>
      </c>
      <c r="V522" s="3">
        <v>46007</v>
      </c>
      <c r="W522" s="215">
        <v>1404</v>
      </c>
      <c r="X522" s="215">
        <v>226</v>
      </c>
      <c r="Y522" s="2" t="s">
        <v>256</v>
      </c>
    </row>
    <row r="523" spans="2:25">
      <c r="B523" s="1">
        <v>46168</v>
      </c>
      <c r="C523" s="2">
        <v>946</v>
      </c>
      <c r="D523" s="2">
        <v>420</v>
      </c>
      <c r="E523" s="2" t="s">
        <v>255</v>
      </c>
      <c r="V523" s="3">
        <v>46007</v>
      </c>
      <c r="W523" s="215">
        <v>1403</v>
      </c>
      <c r="X523" s="215">
        <v>172</v>
      </c>
      <c r="Y523" s="2" t="s">
        <v>256</v>
      </c>
    </row>
    <row r="524" spans="2:25">
      <c r="B524" s="1">
        <v>46168</v>
      </c>
      <c r="C524" s="2">
        <v>931</v>
      </c>
      <c r="D524" s="2">
        <v>420</v>
      </c>
      <c r="E524" s="2" t="s">
        <v>255</v>
      </c>
      <c r="V524" s="3">
        <v>46007</v>
      </c>
      <c r="W524" s="215">
        <v>1402</v>
      </c>
      <c r="X524" s="215">
        <v>164</v>
      </c>
      <c r="Y524" s="2" t="s">
        <v>256</v>
      </c>
    </row>
    <row r="525" spans="2:25">
      <c r="B525" s="1">
        <v>46168</v>
      </c>
      <c r="C525" s="2">
        <v>929</v>
      </c>
      <c r="D525" s="2">
        <v>420</v>
      </c>
      <c r="E525" s="2" t="s">
        <v>255</v>
      </c>
      <c r="V525" s="3">
        <v>46007</v>
      </c>
      <c r="W525" s="215">
        <v>1401</v>
      </c>
      <c r="X525" s="215">
        <v>209</v>
      </c>
      <c r="Y525" s="2" t="s">
        <v>256</v>
      </c>
    </row>
    <row r="526" spans="2:25">
      <c r="B526" s="1">
        <v>46168</v>
      </c>
      <c r="C526" s="2">
        <v>909</v>
      </c>
      <c r="D526" s="2">
        <v>420</v>
      </c>
      <c r="E526" s="2" t="s">
        <v>255</v>
      </c>
      <c r="V526" s="3">
        <v>46007</v>
      </c>
      <c r="W526" s="215">
        <v>1400</v>
      </c>
      <c r="X526" s="215">
        <v>228</v>
      </c>
      <c r="Y526" s="2" t="s">
        <v>256</v>
      </c>
    </row>
    <row r="527" spans="2:25">
      <c r="B527" s="1">
        <v>46168</v>
      </c>
      <c r="C527" s="2">
        <v>874</v>
      </c>
      <c r="D527" s="2">
        <v>420</v>
      </c>
      <c r="E527" s="2" t="s">
        <v>255</v>
      </c>
      <c r="V527" s="3">
        <v>46007</v>
      </c>
      <c r="W527" s="215">
        <v>1399</v>
      </c>
      <c r="X527" s="215">
        <v>199</v>
      </c>
      <c r="Y527" s="2" t="s">
        <v>256</v>
      </c>
    </row>
    <row r="528" spans="2:25">
      <c r="B528" s="1">
        <v>46168</v>
      </c>
      <c r="C528" s="2">
        <v>760</v>
      </c>
      <c r="D528" s="2">
        <v>420</v>
      </c>
      <c r="E528" s="2" t="s">
        <v>255</v>
      </c>
      <c r="V528" s="3">
        <v>46007</v>
      </c>
      <c r="W528" s="215">
        <v>1398</v>
      </c>
      <c r="X528" s="215">
        <v>250</v>
      </c>
      <c r="Y528" s="2" t="s">
        <v>256</v>
      </c>
    </row>
    <row r="529" spans="2:25">
      <c r="B529" s="1">
        <v>46168</v>
      </c>
      <c r="C529" s="2">
        <v>400</v>
      </c>
      <c r="D529" s="2">
        <v>420</v>
      </c>
      <c r="E529" s="2" t="s">
        <v>255</v>
      </c>
      <c r="V529" s="3">
        <v>46007</v>
      </c>
      <c r="W529" s="215">
        <v>1397</v>
      </c>
      <c r="X529" s="215">
        <v>228</v>
      </c>
      <c r="Y529" s="2" t="s">
        <v>256</v>
      </c>
    </row>
    <row r="530" spans="2:25">
      <c r="B530" s="1">
        <v>46168</v>
      </c>
      <c r="C530" s="2">
        <v>399</v>
      </c>
      <c r="D530" s="2">
        <v>420</v>
      </c>
      <c r="E530" s="2" t="s">
        <v>255</v>
      </c>
      <c r="V530" s="3">
        <v>46007</v>
      </c>
      <c r="W530" s="215">
        <v>1396</v>
      </c>
      <c r="X530" s="215">
        <v>214</v>
      </c>
      <c r="Y530" s="2" t="s">
        <v>256</v>
      </c>
    </row>
    <row r="531" spans="2:25">
      <c r="B531" s="1">
        <v>46168</v>
      </c>
      <c r="C531" s="2">
        <v>1112</v>
      </c>
      <c r="D531" s="2">
        <v>419</v>
      </c>
      <c r="E531" s="2" t="s">
        <v>255</v>
      </c>
      <c r="V531" s="3">
        <v>46007</v>
      </c>
      <c r="W531" s="215">
        <v>1395</v>
      </c>
      <c r="X531" s="215">
        <v>184</v>
      </c>
      <c r="Y531" s="2" t="s">
        <v>256</v>
      </c>
    </row>
    <row r="532" spans="2:25">
      <c r="B532" s="1">
        <v>46168</v>
      </c>
      <c r="C532" s="2">
        <v>1022</v>
      </c>
      <c r="D532" s="2">
        <v>419</v>
      </c>
      <c r="E532" s="2" t="s">
        <v>255</v>
      </c>
      <c r="V532" s="3">
        <v>46007</v>
      </c>
      <c r="W532" s="215">
        <v>1394</v>
      </c>
      <c r="X532" s="215">
        <v>235</v>
      </c>
      <c r="Y532" s="2" t="s">
        <v>256</v>
      </c>
    </row>
    <row r="533" spans="2:25">
      <c r="B533" s="1">
        <v>46168</v>
      </c>
      <c r="C533" s="2">
        <v>843</v>
      </c>
      <c r="D533" s="2">
        <v>419</v>
      </c>
      <c r="E533" s="2" t="s">
        <v>255</v>
      </c>
      <c r="V533" s="3">
        <v>46007</v>
      </c>
      <c r="W533" s="215">
        <v>1393</v>
      </c>
      <c r="X533" s="215">
        <v>182</v>
      </c>
      <c r="Y533" s="2" t="s">
        <v>256</v>
      </c>
    </row>
    <row r="534" spans="2:25">
      <c r="B534" s="1">
        <v>46168</v>
      </c>
      <c r="C534" s="2">
        <v>779</v>
      </c>
      <c r="D534" s="2">
        <v>419</v>
      </c>
      <c r="E534" s="2" t="s">
        <v>255</v>
      </c>
      <c r="V534" s="3">
        <v>46007</v>
      </c>
      <c r="W534" s="215">
        <v>1392</v>
      </c>
      <c r="X534" s="215">
        <v>221</v>
      </c>
      <c r="Y534" s="2" t="s">
        <v>256</v>
      </c>
    </row>
    <row r="535" spans="2:25">
      <c r="B535" s="1">
        <v>46168</v>
      </c>
      <c r="C535" s="2">
        <v>747</v>
      </c>
      <c r="D535" s="2">
        <v>419</v>
      </c>
      <c r="E535" s="2" t="s">
        <v>255</v>
      </c>
      <c r="V535" s="3">
        <v>46007</v>
      </c>
      <c r="W535" s="215">
        <v>1391</v>
      </c>
      <c r="X535" s="215">
        <v>204</v>
      </c>
      <c r="Y535" s="2" t="s">
        <v>256</v>
      </c>
    </row>
    <row r="536" spans="2:25">
      <c r="B536" s="1">
        <v>46168</v>
      </c>
      <c r="C536" s="2">
        <v>645</v>
      </c>
      <c r="D536" s="2">
        <v>419</v>
      </c>
      <c r="E536" s="2" t="s">
        <v>255</v>
      </c>
      <c r="V536" s="3">
        <v>46007</v>
      </c>
      <c r="W536" s="215">
        <v>1390</v>
      </c>
      <c r="X536" s="215">
        <v>190</v>
      </c>
      <c r="Y536" s="2" t="s">
        <v>256</v>
      </c>
    </row>
    <row r="537" spans="2:25">
      <c r="B537" s="1">
        <v>46168</v>
      </c>
      <c r="C537" s="2">
        <v>550</v>
      </c>
      <c r="D537" s="2">
        <v>419</v>
      </c>
      <c r="E537" s="2" t="s">
        <v>255</v>
      </c>
      <c r="V537" s="3">
        <v>46007</v>
      </c>
      <c r="W537" s="215">
        <v>1389</v>
      </c>
      <c r="X537" s="215">
        <v>170</v>
      </c>
      <c r="Y537" s="2" t="s">
        <v>256</v>
      </c>
    </row>
    <row r="538" spans="2:25">
      <c r="B538" s="1">
        <v>46168</v>
      </c>
      <c r="C538" s="2">
        <v>1166</v>
      </c>
      <c r="D538" s="2">
        <v>418</v>
      </c>
      <c r="E538" s="2" t="s">
        <v>255</v>
      </c>
      <c r="V538" s="3">
        <v>46007</v>
      </c>
      <c r="W538" s="215">
        <v>1388</v>
      </c>
      <c r="X538" s="215">
        <v>174</v>
      </c>
      <c r="Y538" s="2" t="s">
        <v>256</v>
      </c>
    </row>
    <row r="539" spans="2:25">
      <c r="B539" s="1">
        <v>46168</v>
      </c>
      <c r="C539" s="2">
        <v>1153</v>
      </c>
      <c r="D539" s="2">
        <v>418</v>
      </c>
      <c r="E539" s="2" t="s">
        <v>255</v>
      </c>
      <c r="V539" s="3">
        <v>46007</v>
      </c>
      <c r="W539" s="215">
        <v>1387</v>
      </c>
      <c r="X539" s="215">
        <v>184</v>
      </c>
      <c r="Y539" s="2" t="s">
        <v>256</v>
      </c>
    </row>
    <row r="540" spans="2:25">
      <c r="B540" s="1">
        <v>46168</v>
      </c>
      <c r="C540" s="2">
        <v>1151</v>
      </c>
      <c r="D540" s="2">
        <v>418</v>
      </c>
      <c r="E540" s="2" t="s">
        <v>255</v>
      </c>
      <c r="V540" s="3">
        <v>46007</v>
      </c>
      <c r="W540" s="215">
        <v>1386</v>
      </c>
      <c r="X540" s="215">
        <v>159</v>
      </c>
      <c r="Y540" s="2" t="s">
        <v>256</v>
      </c>
    </row>
    <row r="541" spans="2:25">
      <c r="B541" s="1">
        <v>46168</v>
      </c>
      <c r="C541" s="2">
        <v>896</v>
      </c>
      <c r="D541" s="2">
        <v>418</v>
      </c>
      <c r="E541" s="2" t="s">
        <v>255</v>
      </c>
      <c r="V541" s="3">
        <v>46007</v>
      </c>
      <c r="W541" s="215">
        <v>1385</v>
      </c>
      <c r="X541" s="215">
        <v>175</v>
      </c>
      <c r="Y541" s="2" t="s">
        <v>256</v>
      </c>
    </row>
    <row r="542" spans="2:25">
      <c r="B542" s="1">
        <v>46168</v>
      </c>
      <c r="C542" s="2">
        <v>784</v>
      </c>
      <c r="D542" s="2">
        <v>418</v>
      </c>
      <c r="E542" s="2" t="s">
        <v>255</v>
      </c>
      <c r="V542" s="3">
        <v>46007</v>
      </c>
      <c r="W542" s="215">
        <v>1384</v>
      </c>
      <c r="X542" s="215">
        <v>162</v>
      </c>
      <c r="Y542" s="2" t="s">
        <v>256</v>
      </c>
    </row>
    <row r="543" spans="2:25">
      <c r="B543" s="1">
        <v>46168</v>
      </c>
      <c r="C543" s="2">
        <v>780</v>
      </c>
      <c r="D543" s="2">
        <v>418</v>
      </c>
      <c r="E543" s="2" t="s">
        <v>255</v>
      </c>
      <c r="V543" s="3">
        <v>46007</v>
      </c>
      <c r="W543" s="215">
        <v>1383</v>
      </c>
      <c r="X543" s="215">
        <v>223</v>
      </c>
      <c r="Y543" s="2" t="s">
        <v>256</v>
      </c>
    </row>
    <row r="544" spans="2:25">
      <c r="B544" s="1">
        <v>46168</v>
      </c>
      <c r="C544" s="2">
        <v>383</v>
      </c>
      <c r="D544" s="2">
        <v>418</v>
      </c>
      <c r="E544" s="2" t="s">
        <v>255</v>
      </c>
      <c r="V544" s="3">
        <v>46007</v>
      </c>
      <c r="W544" s="215">
        <v>1382</v>
      </c>
      <c r="X544" s="215">
        <v>167</v>
      </c>
      <c r="Y544" s="2" t="s">
        <v>256</v>
      </c>
    </row>
    <row r="545" spans="2:25">
      <c r="B545" s="1">
        <v>46168</v>
      </c>
      <c r="C545" s="2">
        <v>806</v>
      </c>
      <c r="D545" s="2">
        <v>417</v>
      </c>
      <c r="E545" s="2" t="s">
        <v>255</v>
      </c>
      <c r="V545" s="3">
        <v>46007</v>
      </c>
      <c r="W545" s="215">
        <v>1381</v>
      </c>
      <c r="X545" s="215">
        <v>179</v>
      </c>
      <c r="Y545" s="2" t="s">
        <v>256</v>
      </c>
    </row>
    <row r="546" spans="2:25">
      <c r="B546" s="1">
        <v>46168</v>
      </c>
      <c r="C546" s="2">
        <v>636</v>
      </c>
      <c r="D546" s="2">
        <v>417</v>
      </c>
      <c r="E546" s="2" t="s">
        <v>255</v>
      </c>
      <c r="V546" s="3">
        <v>46007</v>
      </c>
      <c r="W546" s="215">
        <v>1380</v>
      </c>
      <c r="X546" s="215">
        <v>178</v>
      </c>
      <c r="Y546" s="2" t="s">
        <v>256</v>
      </c>
    </row>
    <row r="547" spans="2:25">
      <c r="B547" s="1">
        <v>46168</v>
      </c>
      <c r="C547" s="2">
        <v>601</v>
      </c>
      <c r="D547" s="2">
        <v>417</v>
      </c>
      <c r="E547" s="2" t="s">
        <v>255</v>
      </c>
      <c r="V547" s="3">
        <v>46007</v>
      </c>
      <c r="W547" s="215">
        <v>1379</v>
      </c>
      <c r="X547" s="215">
        <v>184</v>
      </c>
      <c r="Y547" s="2" t="s">
        <v>256</v>
      </c>
    </row>
    <row r="548" spans="2:25">
      <c r="B548" s="1">
        <v>46168</v>
      </c>
      <c r="C548" s="2">
        <v>436</v>
      </c>
      <c r="D548" s="2">
        <v>417</v>
      </c>
      <c r="E548" s="2" t="s">
        <v>255</v>
      </c>
      <c r="V548" s="3">
        <v>46007</v>
      </c>
      <c r="W548" s="215">
        <v>1378</v>
      </c>
      <c r="X548" s="215">
        <v>192</v>
      </c>
      <c r="Y548" s="2" t="s">
        <v>256</v>
      </c>
    </row>
    <row r="549" spans="2:25">
      <c r="B549" s="1">
        <v>46168</v>
      </c>
      <c r="C549" s="2">
        <v>628</v>
      </c>
      <c r="D549" s="2">
        <v>416</v>
      </c>
      <c r="E549" s="2" t="s">
        <v>255</v>
      </c>
      <c r="V549" s="3">
        <v>46007</v>
      </c>
      <c r="W549" s="215">
        <v>1377</v>
      </c>
      <c r="X549" s="215">
        <v>172</v>
      </c>
      <c r="Y549" s="2" t="s">
        <v>256</v>
      </c>
    </row>
    <row r="550" spans="2:25">
      <c r="B550" s="1">
        <v>46168</v>
      </c>
      <c r="C550" s="2">
        <v>481</v>
      </c>
      <c r="D550" s="2">
        <v>416</v>
      </c>
      <c r="E550" s="2" t="s">
        <v>255</v>
      </c>
      <c r="V550" s="3">
        <v>46007</v>
      </c>
      <c r="W550" s="215">
        <v>1376</v>
      </c>
      <c r="X550" s="215">
        <v>176</v>
      </c>
      <c r="Y550" s="2" t="s">
        <v>256</v>
      </c>
    </row>
    <row r="551" spans="2:25">
      <c r="B551" s="1">
        <v>46168</v>
      </c>
      <c r="C551" s="2">
        <v>389</v>
      </c>
      <c r="D551" s="2">
        <v>416</v>
      </c>
      <c r="E551" s="2" t="s">
        <v>255</v>
      </c>
      <c r="V551" s="3">
        <v>46007</v>
      </c>
      <c r="W551" s="215">
        <v>1375</v>
      </c>
      <c r="X551" s="215">
        <v>192</v>
      </c>
      <c r="Y551" s="2" t="s">
        <v>256</v>
      </c>
    </row>
    <row r="552" spans="2:25">
      <c r="B552" s="1">
        <v>46168</v>
      </c>
      <c r="C552" s="2">
        <v>1167</v>
      </c>
      <c r="D552" s="2">
        <v>415</v>
      </c>
      <c r="E552" s="2" t="s">
        <v>255</v>
      </c>
      <c r="V552" s="3">
        <v>46007</v>
      </c>
      <c r="W552" s="215">
        <v>1373</v>
      </c>
      <c r="X552" s="215">
        <v>157</v>
      </c>
      <c r="Y552" s="2" t="s">
        <v>256</v>
      </c>
    </row>
    <row r="553" spans="2:25">
      <c r="B553" s="1">
        <v>46168</v>
      </c>
      <c r="C553" s="2">
        <v>1138</v>
      </c>
      <c r="D553" s="2">
        <v>415</v>
      </c>
      <c r="E553" s="2" t="s">
        <v>255</v>
      </c>
      <c r="V553" s="3">
        <v>46007</v>
      </c>
      <c r="W553" s="215">
        <v>1372</v>
      </c>
      <c r="X553" s="215">
        <v>162</v>
      </c>
      <c r="Y553" s="2" t="s">
        <v>256</v>
      </c>
    </row>
    <row r="554" spans="2:25">
      <c r="B554" s="1">
        <v>46168</v>
      </c>
      <c r="C554" s="2">
        <v>960</v>
      </c>
      <c r="D554" s="2">
        <v>415</v>
      </c>
      <c r="E554" s="2" t="s">
        <v>255</v>
      </c>
      <c r="V554" s="3">
        <v>46007</v>
      </c>
      <c r="W554" s="215">
        <v>1371</v>
      </c>
      <c r="X554" s="215">
        <v>164</v>
      </c>
      <c r="Y554" s="2" t="s">
        <v>256</v>
      </c>
    </row>
    <row r="555" spans="2:25">
      <c r="B555" s="1">
        <v>46168</v>
      </c>
      <c r="C555" s="2">
        <v>822</v>
      </c>
      <c r="D555" s="2">
        <v>415</v>
      </c>
      <c r="E555" s="2" t="s">
        <v>255</v>
      </c>
      <c r="V555" s="3">
        <v>46007</v>
      </c>
      <c r="W555" s="215">
        <v>1369</v>
      </c>
      <c r="X555" s="215">
        <v>171</v>
      </c>
      <c r="Y555" s="2" t="s">
        <v>256</v>
      </c>
    </row>
    <row r="556" spans="2:25">
      <c r="B556" s="1">
        <v>46168</v>
      </c>
      <c r="C556" s="2">
        <v>1083</v>
      </c>
      <c r="D556" s="2">
        <v>414</v>
      </c>
      <c r="E556" s="2" t="s">
        <v>255</v>
      </c>
      <c r="V556" s="3">
        <v>46007</v>
      </c>
      <c r="W556" s="215">
        <v>1368</v>
      </c>
      <c r="X556" s="215">
        <v>200</v>
      </c>
      <c r="Y556" s="2" t="s">
        <v>256</v>
      </c>
    </row>
    <row r="557" spans="2:25">
      <c r="B557" s="1">
        <v>46168</v>
      </c>
      <c r="C557" s="2">
        <v>828</v>
      </c>
      <c r="D557" s="2">
        <v>414</v>
      </c>
      <c r="E557" s="2" t="s">
        <v>255</v>
      </c>
      <c r="V557" s="3">
        <v>46007</v>
      </c>
      <c r="W557" s="215">
        <v>1367</v>
      </c>
      <c r="X557" s="215">
        <v>213</v>
      </c>
      <c r="Y557" s="2" t="s">
        <v>256</v>
      </c>
    </row>
    <row r="558" spans="2:25">
      <c r="B558" s="1">
        <v>46168</v>
      </c>
      <c r="C558" s="2">
        <v>786</v>
      </c>
      <c r="D558" s="2">
        <v>414</v>
      </c>
      <c r="E558" s="2" t="s">
        <v>255</v>
      </c>
      <c r="V558" s="3">
        <v>46007</v>
      </c>
      <c r="W558" s="215">
        <v>1366</v>
      </c>
      <c r="X558" s="215">
        <v>209</v>
      </c>
      <c r="Y558" s="2" t="s">
        <v>256</v>
      </c>
    </row>
    <row r="559" spans="2:25">
      <c r="B559" s="1">
        <v>46168</v>
      </c>
      <c r="C559" s="2">
        <v>414</v>
      </c>
      <c r="D559" s="2">
        <v>414</v>
      </c>
      <c r="E559" s="2" t="s">
        <v>255</v>
      </c>
      <c r="V559" s="3">
        <v>46007</v>
      </c>
      <c r="W559" s="215">
        <v>1365</v>
      </c>
      <c r="X559" s="215">
        <v>199</v>
      </c>
      <c r="Y559" s="2" t="s">
        <v>256</v>
      </c>
    </row>
    <row r="560" spans="2:25">
      <c r="B560" s="1">
        <v>46168</v>
      </c>
      <c r="C560" s="2">
        <v>348</v>
      </c>
      <c r="D560" s="2">
        <v>414</v>
      </c>
      <c r="E560" s="2" t="s">
        <v>255</v>
      </c>
      <c r="V560" s="3">
        <v>46007</v>
      </c>
      <c r="W560" s="215">
        <v>1364</v>
      </c>
      <c r="X560" s="215">
        <v>184</v>
      </c>
      <c r="Y560" s="2" t="s">
        <v>256</v>
      </c>
    </row>
    <row r="561" spans="2:25">
      <c r="B561" s="1">
        <v>46168</v>
      </c>
      <c r="C561" s="2">
        <v>727</v>
      </c>
      <c r="D561" s="2">
        <v>413</v>
      </c>
      <c r="E561" s="2" t="s">
        <v>255</v>
      </c>
      <c r="V561" s="3">
        <v>46007</v>
      </c>
      <c r="W561" s="215">
        <v>1363</v>
      </c>
      <c r="X561" s="215">
        <v>284</v>
      </c>
      <c r="Y561" s="2" t="s">
        <v>256</v>
      </c>
    </row>
    <row r="562" spans="2:25">
      <c r="B562" s="1">
        <v>46168</v>
      </c>
      <c r="C562" s="2">
        <v>1186</v>
      </c>
      <c r="D562" s="2">
        <v>412</v>
      </c>
      <c r="E562" s="2" t="s">
        <v>255</v>
      </c>
      <c r="V562" s="3">
        <v>46007</v>
      </c>
      <c r="W562" s="215">
        <v>1362</v>
      </c>
      <c r="X562" s="215">
        <v>166</v>
      </c>
      <c r="Y562" s="2" t="s">
        <v>256</v>
      </c>
    </row>
    <row r="563" spans="2:25">
      <c r="B563" s="1">
        <v>46168</v>
      </c>
      <c r="C563" s="2">
        <v>1168</v>
      </c>
      <c r="D563" s="2">
        <v>412</v>
      </c>
      <c r="E563" s="2" t="s">
        <v>255</v>
      </c>
      <c r="V563" s="3">
        <v>46007</v>
      </c>
      <c r="W563" s="215">
        <v>1360</v>
      </c>
      <c r="X563" s="215">
        <v>146</v>
      </c>
      <c r="Y563" s="2" t="s">
        <v>256</v>
      </c>
    </row>
    <row r="564" spans="2:25">
      <c r="B564" s="1">
        <v>46168</v>
      </c>
      <c r="C564" s="2">
        <v>1039</v>
      </c>
      <c r="D564" s="2">
        <v>412</v>
      </c>
      <c r="E564" s="2" t="s">
        <v>255</v>
      </c>
      <c r="V564" s="3">
        <v>46007</v>
      </c>
      <c r="W564" s="215">
        <v>1359</v>
      </c>
      <c r="X564" s="215">
        <v>189</v>
      </c>
      <c r="Y564" s="2" t="s">
        <v>256</v>
      </c>
    </row>
    <row r="565" spans="2:25">
      <c r="B565" s="1">
        <v>46168</v>
      </c>
      <c r="C565" s="2">
        <v>958</v>
      </c>
      <c r="D565" s="2">
        <v>412</v>
      </c>
      <c r="E565" s="2" t="s">
        <v>255</v>
      </c>
      <c r="V565" s="3">
        <v>46007</v>
      </c>
      <c r="W565" s="215">
        <v>1358</v>
      </c>
      <c r="X565" s="215">
        <v>195</v>
      </c>
      <c r="Y565" s="2" t="s">
        <v>256</v>
      </c>
    </row>
    <row r="566" spans="2:25">
      <c r="B566" s="1">
        <v>46168</v>
      </c>
      <c r="C566" s="2">
        <v>955</v>
      </c>
      <c r="D566" s="2">
        <v>412</v>
      </c>
      <c r="E566" s="2" t="s">
        <v>255</v>
      </c>
      <c r="V566" s="3">
        <v>46007</v>
      </c>
      <c r="W566" s="215">
        <v>1357</v>
      </c>
      <c r="X566" s="215">
        <v>170</v>
      </c>
      <c r="Y566" s="2" t="s">
        <v>256</v>
      </c>
    </row>
    <row r="567" spans="2:25">
      <c r="B567" s="1">
        <v>46168</v>
      </c>
      <c r="C567" s="2">
        <v>901</v>
      </c>
      <c r="D567" s="2">
        <v>412</v>
      </c>
      <c r="E567" s="2" t="s">
        <v>255</v>
      </c>
      <c r="V567" s="3">
        <v>46007</v>
      </c>
      <c r="W567" s="215">
        <v>1356</v>
      </c>
      <c r="X567" s="215">
        <v>175</v>
      </c>
      <c r="Y567" s="2" t="s">
        <v>256</v>
      </c>
    </row>
    <row r="568" spans="2:25">
      <c r="B568" s="1">
        <v>46168</v>
      </c>
      <c r="C568" s="2">
        <v>556</v>
      </c>
      <c r="D568" s="2">
        <v>412</v>
      </c>
      <c r="E568" s="2" t="s">
        <v>255</v>
      </c>
      <c r="V568" s="3">
        <v>46007</v>
      </c>
      <c r="W568" s="215">
        <v>1355</v>
      </c>
      <c r="X568" s="215">
        <v>196</v>
      </c>
      <c r="Y568" s="2" t="s">
        <v>256</v>
      </c>
    </row>
    <row r="569" spans="2:25">
      <c r="B569" s="1">
        <v>46168</v>
      </c>
      <c r="C569" s="2">
        <v>528</v>
      </c>
      <c r="D569" s="2">
        <v>412</v>
      </c>
      <c r="E569" s="2" t="s">
        <v>255</v>
      </c>
      <c r="V569" s="3">
        <v>46007</v>
      </c>
      <c r="W569" s="215">
        <v>1354</v>
      </c>
      <c r="X569" s="215">
        <v>270</v>
      </c>
      <c r="Y569" s="2" t="s">
        <v>256</v>
      </c>
    </row>
    <row r="570" spans="2:25">
      <c r="B570" s="1">
        <v>46168</v>
      </c>
      <c r="C570" s="2">
        <v>445</v>
      </c>
      <c r="D570" s="2">
        <v>412</v>
      </c>
      <c r="E570" s="2" t="s">
        <v>255</v>
      </c>
      <c r="V570" s="3">
        <v>46007</v>
      </c>
      <c r="W570" s="215">
        <v>1353</v>
      </c>
      <c r="X570" s="215">
        <v>155</v>
      </c>
      <c r="Y570" s="2" t="s">
        <v>256</v>
      </c>
    </row>
    <row r="571" spans="2:25">
      <c r="B571" s="1">
        <v>46168</v>
      </c>
      <c r="C571" s="2">
        <v>419</v>
      </c>
      <c r="D571" s="2">
        <v>412</v>
      </c>
      <c r="E571" s="2" t="s">
        <v>255</v>
      </c>
      <c r="V571" s="3">
        <v>46007</v>
      </c>
      <c r="W571" s="215">
        <v>1352</v>
      </c>
      <c r="X571" s="215">
        <v>163</v>
      </c>
      <c r="Y571" s="2" t="s">
        <v>256</v>
      </c>
    </row>
    <row r="572" spans="2:25">
      <c r="B572" s="1">
        <v>46168</v>
      </c>
      <c r="C572" s="2">
        <v>1133</v>
      </c>
      <c r="D572" s="2">
        <v>411</v>
      </c>
      <c r="E572" s="2" t="s">
        <v>255</v>
      </c>
      <c r="V572" s="3">
        <v>46007</v>
      </c>
      <c r="W572" s="215">
        <v>1351</v>
      </c>
      <c r="X572" s="215">
        <v>175</v>
      </c>
      <c r="Y572" s="2" t="s">
        <v>256</v>
      </c>
    </row>
    <row r="573" spans="2:25">
      <c r="B573" s="1">
        <v>46168</v>
      </c>
      <c r="C573" s="2">
        <v>803</v>
      </c>
      <c r="D573" s="2">
        <v>411</v>
      </c>
      <c r="E573" s="2" t="s">
        <v>255</v>
      </c>
      <c r="V573" s="3">
        <v>46007</v>
      </c>
      <c r="W573" s="215">
        <v>1350</v>
      </c>
      <c r="X573" s="215">
        <v>201</v>
      </c>
      <c r="Y573" s="2" t="s">
        <v>256</v>
      </c>
    </row>
    <row r="574" spans="2:25">
      <c r="B574" s="1">
        <v>46168</v>
      </c>
      <c r="C574" s="2">
        <v>679</v>
      </c>
      <c r="D574" s="2">
        <v>411</v>
      </c>
      <c r="E574" s="2" t="s">
        <v>255</v>
      </c>
      <c r="V574" s="3">
        <v>46007</v>
      </c>
      <c r="W574" s="215">
        <v>1349</v>
      </c>
      <c r="X574" s="215">
        <v>201</v>
      </c>
      <c r="Y574" s="2" t="s">
        <v>256</v>
      </c>
    </row>
    <row r="575" spans="2:25">
      <c r="B575" s="1">
        <v>46168</v>
      </c>
      <c r="C575" s="2">
        <v>1158</v>
      </c>
      <c r="D575" s="2">
        <v>410</v>
      </c>
      <c r="E575" s="2" t="s">
        <v>255</v>
      </c>
      <c r="V575" s="3">
        <v>46007</v>
      </c>
      <c r="W575" s="215">
        <v>1348</v>
      </c>
      <c r="X575" s="215">
        <v>213</v>
      </c>
      <c r="Y575" s="2" t="s">
        <v>256</v>
      </c>
    </row>
    <row r="576" spans="2:25">
      <c r="B576" s="1">
        <v>46168</v>
      </c>
      <c r="C576" s="2">
        <v>1095</v>
      </c>
      <c r="D576" s="2">
        <v>410</v>
      </c>
      <c r="E576" s="2" t="s">
        <v>255</v>
      </c>
      <c r="V576" s="3">
        <v>46007</v>
      </c>
      <c r="W576" s="215">
        <v>1347</v>
      </c>
      <c r="X576" s="215">
        <v>226</v>
      </c>
      <c r="Y576" s="2" t="s">
        <v>256</v>
      </c>
    </row>
    <row r="577" spans="2:25">
      <c r="B577" s="1">
        <v>46168</v>
      </c>
      <c r="C577" s="2">
        <v>1009</v>
      </c>
      <c r="D577" s="2">
        <v>410</v>
      </c>
      <c r="E577" s="2" t="s">
        <v>255</v>
      </c>
      <c r="V577" s="3">
        <v>46007</v>
      </c>
      <c r="W577" s="215">
        <v>1346</v>
      </c>
      <c r="X577" s="215">
        <v>200</v>
      </c>
      <c r="Y577" s="2" t="s">
        <v>256</v>
      </c>
    </row>
    <row r="578" spans="2:25">
      <c r="B578" s="1">
        <v>46168</v>
      </c>
      <c r="C578" s="2">
        <v>984</v>
      </c>
      <c r="D578" s="2">
        <v>410</v>
      </c>
      <c r="E578" s="2" t="s">
        <v>255</v>
      </c>
      <c r="V578" s="3">
        <v>46007</v>
      </c>
      <c r="W578" s="215">
        <v>1345</v>
      </c>
      <c r="X578" s="215">
        <v>203</v>
      </c>
      <c r="Y578" s="2" t="s">
        <v>256</v>
      </c>
    </row>
    <row r="579" spans="2:25">
      <c r="B579" s="1">
        <v>46168</v>
      </c>
      <c r="C579" s="2">
        <v>594</v>
      </c>
      <c r="D579" s="2">
        <v>410</v>
      </c>
      <c r="E579" s="2" t="s">
        <v>255</v>
      </c>
      <c r="V579" s="3">
        <v>46007</v>
      </c>
      <c r="W579" s="215">
        <v>1344</v>
      </c>
      <c r="X579" s="215">
        <v>272</v>
      </c>
      <c r="Y579" s="2" t="s">
        <v>256</v>
      </c>
    </row>
    <row r="580" spans="2:25">
      <c r="B580" s="1">
        <v>46168</v>
      </c>
      <c r="C580" s="2">
        <v>578</v>
      </c>
      <c r="D580" s="2">
        <v>410</v>
      </c>
      <c r="E580" s="2" t="s">
        <v>255</v>
      </c>
      <c r="V580" s="3">
        <v>46007</v>
      </c>
      <c r="W580" s="215">
        <v>1343</v>
      </c>
      <c r="X580" s="215">
        <v>162</v>
      </c>
      <c r="Y580" s="2" t="s">
        <v>256</v>
      </c>
    </row>
    <row r="581" spans="2:25">
      <c r="B581" s="1">
        <v>46168</v>
      </c>
      <c r="C581" s="2">
        <v>553</v>
      </c>
      <c r="D581" s="2">
        <v>410</v>
      </c>
      <c r="E581" s="2" t="s">
        <v>255</v>
      </c>
      <c r="V581" s="3">
        <v>46007</v>
      </c>
      <c r="W581" s="215">
        <v>1342</v>
      </c>
      <c r="X581" s="215">
        <v>253</v>
      </c>
      <c r="Y581" s="2" t="s">
        <v>256</v>
      </c>
    </row>
    <row r="582" spans="2:25">
      <c r="B582" s="1">
        <v>46168</v>
      </c>
      <c r="C582" s="2">
        <v>532</v>
      </c>
      <c r="D582" s="2">
        <v>410</v>
      </c>
      <c r="E582" s="2" t="s">
        <v>255</v>
      </c>
      <c r="V582" s="3">
        <v>46007</v>
      </c>
      <c r="W582" s="215">
        <v>1341</v>
      </c>
      <c r="X582" s="215">
        <v>168</v>
      </c>
      <c r="Y582" s="2" t="s">
        <v>256</v>
      </c>
    </row>
    <row r="583" spans="2:25">
      <c r="B583" s="1">
        <v>46168</v>
      </c>
      <c r="C583" s="2">
        <v>1120</v>
      </c>
      <c r="D583" s="2">
        <v>409</v>
      </c>
      <c r="E583" s="2" t="s">
        <v>255</v>
      </c>
      <c r="V583" s="3">
        <v>46007</v>
      </c>
      <c r="W583" s="215">
        <v>1340</v>
      </c>
      <c r="X583" s="215">
        <v>168</v>
      </c>
      <c r="Y583" s="2" t="s">
        <v>256</v>
      </c>
    </row>
    <row r="584" spans="2:25">
      <c r="B584" s="1">
        <v>46168</v>
      </c>
      <c r="C584" s="2">
        <v>1048</v>
      </c>
      <c r="D584" s="2">
        <v>409</v>
      </c>
      <c r="E584" s="2" t="s">
        <v>255</v>
      </c>
      <c r="V584" s="3">
        <v>46007</v>
      </c>
      <c r="W584" s="215">
        <v>1339</v>
      </c>
      <c r="X584" s="215">
        <v>179</v>
      </c>
      <c r="Y584" s="2" t="s">
        <v>256</v>
      </c>
    </row>
    <row r="585" spans="2:25">
      <c r="B585" s="1">
        <v>46168</v>
      </c>
      <c r="C585" s="2">
        <v>823</v>
      </c>
      <c r="D585" s="2">
        <v>409</v>
      </c>
      <c r="E585" s="2" t="s">
        <v>255</v>
      </c>
      <c r="V585" s="3">
        <v>46007</v>
      </c>
      <c r="W585" s="215">
        <v>1338</v>
      </c>
      <c r="X585" s="215">
        <v>190</v>
      </c>
      <c r="Y585" s="2" t="s">
        <v>256</v>
      </c>
    </row>
    <row r="586" spans="2:25">
      <c r="B586" s="1">
        <v>46168</v>
      </c>
      <c r="C586" s="2">
        <v>647</v>
      </c>
      <c r="D586" s="2">
        <v>409</v>
      </c>
      <c r="E586" s="2" t="s">
        <v>255</v>
      </c>
      <c r="V586" s="3">
        <v>46007</v>
      </c>
      <c r="W586" s="215">
        <v>1337</v>
      </c>
      <c r="X586" s="215">
        <v>225</v>
      </c>
      <c r="Y586" s="2" t="s">
        <v>256</v>
      </c>
    </row>
    <row r="587" spans="2:25">
      <c r="B587" s="1">
        <v>46168</v>
      </c>
      <c r="C587" s="2">
        <v>646</v>
      </c>
      <c r="D587" s="2">
        <v>409</v>
      </c>
      <c r="E587" s="2" t="s">
        <v>255</v>
      </c>
      <c r="V587" s="3">
        <v>46007</v>
      </c>
      <c r="W587" s="215">
        <v>1336</v>
      </c>
      <c r="X587" s="215">
        <v>186</v>
      </c>
      <c r="Y587" s="2" t="s">
        <v>256</v>
      </c>
    </row>
    <row r="588" spans="2:25">
      <c r="B588" s="1">
        <v>46168</v>
      </c>
      <c r="C588" s="2">
        <v>485</v>
      </c>
      <c r="D588" s="2">
        <v>409</v>
      </c>
      <c r="E588" s="2" t="s">
        <v>255</v>
      </c>
      <c r="V588" s="3">
        <v>46007</v>
      </c>
      <c r="W588" s="215">
        <v>1335</v>
      </c>
      <c r="X588" s="215">
        <v>256</v>
      </c>
      <c r="Y588" s="2" t="s">
        <v>256</v>
      </c>
    </row>
    <row r="589" spans="2:25">
      <c r="B589" s="1">
        <v>46168</v>
      </c>
      <c r="C589" s="2">
        <v>437</v>
      </c>
      <c r="D589" s="2">
        <v>409</v>
      </c>
      <c r="E589" s="2" t="s">
        <v>255</v>
      </c>
      <c r="V589" s="3">
        <v>46007</v>
      </c>
      <c r="W589" s="215">
        <v>1334</v>
      </c>
      <c r="X589" s="215">
        <v>213</v>
      </c>
      <c r="Y589" s="2" t="s">
        <v>256</v>
      </c>
    </row>
    <row r="590" spans="2:25">
      <c r="B590" s="1">
        <v>46168</v>
      </c>
      <c r="C590" s="2">
        <v>1099</v>
      </c>
      <c r="D590" s="2">
        <v>408</v>
      </c>
      <c r="E590" s="2" t="s">
        <v>255</v>
      </c>
      <c r="V590" s="3">
        <v>46007</v>
      </c>
      <c r="W590" s="215">
        <v>1333</v>
      </c>
      <c r="X590" s="215">
        <v>179</v>
      </c>
      <c r="Y590" s="2" t="s">
        <v>256</v>
      </c>
    </row>
    <row r="591" spans="2:25">
      <c r="B591" s="1">
        <v>46168</v>
      </c>
      <c r="C591" s="2">
        <v>904</v>
      </c>
      <c r="D591" s="2">
        <v>408</v>
      </c>
      <c r="E591" s="2" t="s">
        <v>255</v>
      </c>
      <c r="V591" s="3">
        <v>46007</v>
      </c>
      <c r="W591" s="215">
        <v>1331</v>
      </c>
      <c r="X591" s="215">
        <v>160</v>
      </c>
      <c r="Y591" s="2" t="s">
        <v>256</v>
      </c>
    </row>
    <row r="592" spans="2:25">
      <c r="B592" s="1">
        <v>46168</v>
      </c>
      <c r="C592" s="2">
        <v>835</v>
      </c>
      <c r="D592" s="2">
        <v>408</v>
      </c>
      <c r="E592" s="2" t="s">
        <v>255</v>
      </c>
      <c r="V592" s="3">
        <v>46007</v>
      </c>
      <c r="W592" s="215">
        <v>1330</v>
      </c>
      <c r="X592" s="215">
        <v>218</v>
      </c>
      <c r="Y592" s="2" t="s">
        <v>256</v>
      </c>
    </row>
    <row r="593" spans="2:25">
      <c r="B593" s="1">
        <v>46168</v>
      </c>
      <c r="C593" s="2">
        <v>759</v>
      </c>
      <c r="D593" s="2">
        <v>408</v>
      </c>
      <c r="E593" s="2" t="s">
        <v>255</v>
      </c>
      <c r="V593" s="3">
        <v>46007</v>
      </c>
      <c r="W593" s="215">
        <v>1329</v>
      </c>
      <c r="X593" s="215">
        <v>174</v>
      </c>
      <c r="Y593" s="2" t="s">
        <v>256</v>
      </c>
    </row>
    <row r="594" spans="2:25">
      <c r="B594" s="1">
        <v>46168</v>
      </c>
      <c r="C594" s="2">
        <v>517</v>
      </c>
      <c r="D594" s="2">
        <v>408</v>
      </c>
      <c r="E594" s="2" t="s">
        <v>255</v>
      </c>
      <c r="V594" s="3">
        <v>46007</v>
      </c>
      <c r="W594" s="215">
        <v>1328</v>
      </c>
      <c r="X594" s="215">
        <v>202</v>
      </c>
      <c r="Y594" s="2" t="s">
        <v>256</v>
      </c>
    </row>
    <row r="595" spans="2:25">
      <c r="B595" s="1">
        <v>46168</v>
      </c>
      <c r="C595" s="2">
        <v>997</v>
      </c>
      <c r="D595" s="2">
        <v>407</v>
      </c>
      <c r="E595" s="2" t="s">
        <v>255</v>
      </c>
      <c r="V595" s="3">
        <v>46007</v>
      </c>
      <c r="W595" s="215">
        <v>1327</v>
      </c>
      <c r="X595" s="215">
        <v>245</v>
      </c>
      <c r="Y595" s="2" t="s">
        <v>256</v>
      </c>
    </row>
    <row r="596" spans="2:25">
      <c r="B596" s="1">
        <v>46168</v>
      </c>
      <c r="C596" s="2">
        <v>740</v>
      </c>
      <c r="D596" s="2">
        <v>407</v>
      </c>
      <c r="E596" s="2" t="s">
        <v>255</v>
      </c>
      <c r="V596" s="3">
        <v>46007</v>
      </c>
      <c r="W596" s="215">
        <v>1326</v>
      </c>
      <c r="X596" s="215">
        <v>177</v>
      </c>
      <c r="Y596" s="2" t="s">
        <v>256</v>
      </c>
    </row>
    <row r="597" spans="2:25">
      <c r="B597" s="1">
        <v>46168</v>
      </c>
      <c r="C597" s="2">
        <v>723</v>
      </c>
      <c r="D597" s="2">
        <v>407</v>
      </c>
      <c r="E597" s="2" t="s">
        <v>255</v>
      </c>
      <c r="V597" s="3">
        <v>46007</v>
      </c>
      <c r="W597" s="215">
        <v>1325</v>
      </c>
      <c r="X597" s="215">
        <v>174</v>
      </c>
      <c r="Y597" s="2" t="s">
        <v>256</v>
      </c>
    </row>
    <row r="598" spans="2:25">
      <c r="B598" s="1">
        <v>46168</v>
      </c>
      <c r="C598" s="2">
        <v>640</v>
      </c>
      <c r="D598" s="2">
        <v>407</v>
      </c>
      <c r="E598" s="2" t="s">
        <v>255</v>
      </c>
      <c r="V598" s="3">
        <v>46007</v>
      </c>
      <c r="W598" s="215">
        <v>1324</v>
      </c>
      <c r="X598" s="215">
        <v>186</v>
      </c>
      <c r="Y598" s="2" t="s">
        <v>256</v>
      </c>
    </row>
    <row r="599" spans="2:25">
      <c r="B599" s="1">
        <v>46168</v>
      </c>
      <c r="C599" s="2">
        <v>533</v>
      </c>
      <c r="D599" s="2">
        <v>407</v>
      </c>
      <c r="E599" s="2" t="s">
        <v>255</v>
      </c>
      <c r="V599" s="3">
        <v>46007</v>
      </c>
      <c r="W599" s="215">
        <v>1323</v>
      </c>
      <c r="X599" s="215">
        <v>177</v>
      </c>
      <c r="Y599" s="2" t="s">
        <v>256</v>
      </c>
    </row>
    <row r="600" spans="2:25">
      <c r="B600" s="1">
        <v>46168</v>
      </c>
      <c r="C600" s="2">
        <v>1098</v>
      </c>
      <c r="D600" s="2">
        <v>406</v>
      </c>
      <c r="E600" s="2" t="s">
        <v>255</v>
      </c>
      <c r="V600" s="3">
        <v>46007</v>
      </c>
      <c r="W600" s="215">
        <v>1322</v>
      </c>
      <c r="X600" s="215">
        <v>240</v>
      </c>
      <c r="Y600" s="2" t="s">
        <v>256</v>
      </c>
    </row>
    <row r="601" spans="2:25">
      <c r="B601" s="1">
        <v>46168</v>
      </c>
      <c r="C601" s="2">
        <v>855</v>
      </c>
      <c r="D601" s="2">
        <v>406</v>
      </c>
      <c r="E601" s="2" t="s">
        <v>255</v>
      </c>
      <c r="V601" s="3">
        <v>46007</v>
      </c>
      <c r="W601" s="215">
        <v>1321</v>
      </c>
      <c r="X601" s="215">
        <v>209</v>
      </c>
      <c r="Y601" s="2" t="s">
        <v>256</v>
      </c>
    </row>
    <row r="602" spans="2:25">
      <c r="B602" s="1">
        <v>46168</v>
      </c>
      <c r="C602" s="2">
        <v>635</v>
      </c>
      <c r="D602" s="2">
        <v>406</v>
      </c>
      <c r="E602" s="2" t="s">
        <v>255</v>
      </c>
      <c r="V602" s="3">
        <v>46007</v>
      </c>
      <c r="W602" s="215">
        <v>1320</v>
      </c>
      <c r="X602" s="215">
        <v>182</v>
      </c>
      <c r="Y602" s="2" t="s">
        <v>256</v>
      </c>
    </row>
    <row r="603" spans="2:25">
      <c r="B603" s="1">
        <v>46168</v>
      </c>
      <c r="C603" s="2">
        <v>328</v>
      </c>
      <c r="D603" s="2">
        <v>406</v>
      </c>
      <c r="E603" s="2" t="s">
        <v>255</v>
      </c>
      <c r="V603" s="3">
        <v>46007</v>
      </c>
      <c r="W603" s="215">
        <v>1319</v>
      </c>
      <c r="X603" s="215">
        <v>265</v>
      </c>
      <c r="Y603" s="2" t="s">
        <v>256</v>
      </c>
    </row>
    <row r="604" spans="2:25">
      <c r="B604" s="1">
        <v>46168</v>
      </c>
      <c r="C604" s="2">
        <v>1025</v>
      </c>
      <c r="D604" s="2">
        <v>405</v>
      </c>
      <c r="E604" s="2" t="s">
        <v>255</v>
      </c>
      <c r="V604" s="3">
        <v>46007</v>
      </c>
      <c r="W604" s="215">
        <v>1318</v>
      </c>
      <c r="X604" s="215">
        <v>166</v>
      </c>
      <c r="Y604" s="2" t="s">
        <v>256</v>
      </c>
    </row>
    <row r="605" spans="2:25">
      <c r="B605" s="1">
        <v>46168</v>
      </c>
      <c r="C605" s="2">
        <v>818</v>
      </c>
      <c r="D605" s="2">
        <v>405</v>
      </c>
      <c r="E605" s="2" t="s">
        <v>255</v>
      </c>
      <c r="V605" s="3">
        <v>46007</v>
      </c>
      <c r="W605" s="215">
        <v>1317</v>
      </c>
      <c r="X605" s="215">
        <v>220</v>
      </c>
      <c r="Y605" s="2" t="s">
        <v>256</v>
      </c>
    </row>
    <row r="606" spans="2:25">
      <c r="B606" s="1">
        <v>46168</v>
      </c>
      <c r="C606" s="2">
        <v>812</v>
      </c>
      <c r="D606" s="2">
        <v>405</v>
      </c>
      <c r="E606" s="2" t="s">
        <v>255</v>
      </c>
      <c r="V606" s="3">
        <v>46007</v>
      </c>
      <c r="W606" s="215">
        <v>1316</v>
      </c>
      <c r="X606" s="215">
        <v>199</v>
      </c>
      <c r="Y606" s="2" t="s">
        <v>256</v>
      </c>
    </row>
    <row r="607" spans="2:25">
      <c r="B607" s="1">
        <v>46168</v>
      </c>
      <c r="C607" s="2">
        <v>392</v>
      </c>
      <c r="D607" s="2">
        <v>405</v>
      </c>
      <c r="E607" s="2" t="s">
        <v>255</v>
      </c>
      <c r="V607" s="3">
        <v>46007</v>
      </c>
      <c r="W607" s="215">
        <v>1315</v>
      </c>
      <c r="X607" s="215">
        <v>249</v>
      </c>
      <c r="Y607" s="2" t="s">
        <v>256</v>
      </c>
    </row>
    <row r="608" spans="2:25">
      <c r="B608" s="1">
        <v>46168</v>
      </c>
      <c r="C608" s="2">
        <v>1058</v>
      </c>
      <c r="D608" s="2">
        <v>404</v>
      </c>
      <c r="E608" s="2" t="s">
        <v>255</v>
      </c>
      <c r="V608" s="3">
        <v>46007</v>
      </c>
      <c r="W608" s="215">
        <v>1314</v>
      </c>
      <c r="X608" s="215">
        <v>210</v>
      </c>
      <c r="Y608" s="2" t="s">
        <v>256</v>
      </c>
    </row>
    <row r="609" spans="2:25">
      <c r="B609" s="1">
        <v>46168</v>
      </c>
      <c r="C609" s="2">
        <v>858</v>
      </c>
      <c r="D609" s="2">
        <v>404</v>
      </c>
      <c r="E609" s="2" t="s">
        <v>255</v>
      </c>
      <c r="V609" s="3">
        <v>46007</v>
      </c>
      <c r="W609" s="215">
        <v>1313</v>
      </c>
      <c r="X609" s="215">
        <v>181</v>
      </c>
      <c r="Y609" s="2" t="s">
        <v>256</v>
      </c>
    </row>
    <row r="610" spans="2:25">
      <c r="B610" s="1">
        <v>46168</v>
      </c>
      <c r="C610" s="2">
        <v>757</v>
      </c>
      <c r="D610" s="2">
        <v>404</v>
      </c>
      <c r="E610" s="2" t="s">
        <v>255</v>
      </c>
      <c r="V610" s="3">
        <v>46007</v>
      </c>
      <c r="W610" s="215">
        <v>1312</v>
      </c>
      <c r="X610" s="215">
        <v>188</v>
      </c>
      <c r="Y610" s="2" t="s">
        <v>256</v>
      </c>
    </row>
    <row r="611" spans="2:25">
      <c r="B611" s="1">
        <v>46168</v>
      </c>
      <c r="C611" s="2">
        <v>718</v>
      </c>
      <c r="D611" s="2">
        <v>404</v>
      </c>
      <c r="E611" s="2" t="s">
        <v>255</v>
      </c>
      <c r="V611" s="3">
        <v>46007</v>
      </c>
      <c r="W611" s="215">
        <v>1311</v>
      </c>
      <c r="X611" s="215">
        <v>193</v>
      </c>
      <c r="Y611" s="2" t="s">
        <v>256</v>
      </c>
    </row>
    <row r="612" spans="2:25">
      <c r="B612" s="1">
        <v>46168</v>
      </c>
      <c r="C612" s="2">
        <v>701</v>
      </c>
      <c r="D612" s="2">
        <v>404</v>
      </c>
      <c r="E612" s="2" t="s">
        <v>255</v>
      </c>
      <c r="V612" s="3">
        <v>46007</v>
      </c>
      <c r="W612" s="215">
        <v>1310</v>
      </c>
      <c r="X612" s="215">
        <v>230</v>
      </c>
      <c r="Y612" s="2" t="s">
        <v>256</v>
      </c>
    </row>
    <row r="613" spans="2:25">
      <c r="B613" s="1">
        <v>46168</v>
      </c>
      <c r="C613" s="2">
        <v>700</v>
      </c>
      <c r="D613" s="2">
        <v>404</v>
      </c>
      <c r="E613" s="2" t="s">
        <v>255</v>
      </c>
      <c r="V613" s="3">
        <v>46007</v>
      </c>
      <c r="W613" s="215">
        <v>1309</v>
      </c>
      <c r="X613" s="215">
        <v>178</v>
      </c>
      <c r="Y613" s="2" t="s">
        <v>256</v>
      </c>
    </row>
    <row r="614" spans="2:25">
      <c r="B614" s="1">
        <v>46168</v>
      </c>
      <c r="C614" s="2">
        <v>356</v>
      </c>
      <c r="D614" s="2">
        <v>404</v>
      </c>
      <c r="E614" s="2" t="s">
        <v>255</v>
      </c>
      <c r="V614" s="3">
        <v>46007</v>
      </c>
      <c r="W614" s="215">
        <v>1308</v>
      </c>
      <c r="X614" s="215">
        <v>172</v>
      </c>
      <c r="Y614" s="2" t="s">
        <v>256</v>
      </c>
    </row>
    <row r="615" spans="2:25">
      <c r="B615" s="1">
        <v>46168</v>
      </c>
      <c r="C615" s="2">
        <v>309</v>
      </c>
      <c r="D615" s="2">
        <v>404</v>
      </c>
      <c r="E615" s="2" t="s">
        <v>255</v>
      </c>
      <c r="V615" s="3">
        <v>46007</v>
      </c>
      <c r="W615" s="215">
        <v>1307</v>
      </c>
      <c r="X615" s="215">
        <v>222</v>
      </c>
      <c r="Y615" s="2" t="s">
        <v>256</v>
      </c>
    </row>
    <row r="616" spans="2:25">
      <c r="B616" s="1">
        <v>46168</v>
      </c>
      <c r="C616" s="2">
        <v>1094</v>
      </c>
      <c r="D616" s="2">
        <v>403</v>
      </c>
      <c r="E616" s="2" t="s">
        <v>255</v>
      </c>
      <c r="V616" s="3">
        <v>46007</v>
      </c>
      <c r="W616" s="215">
        <v>1306</v>
      </c>
      <c r="X616" s="215">
        <v>185</v>
      </c>
      <c r="Y616" s="2" t="s">
        <v>256</v>
      </c>
    </row>
    <row r="617" spans="2:25">
      <c r="B617" s="1">
        <v>46168</v>
      </c>
      <c r="C617" s="2">
        <v>715</v>
      </c>
      <c r="D617" s="2">
        <v>403</v>
      </c>
      <c r="E617" s="2" t="s">
        <v>255</v>
      </c>
      <c r="V617" s="3">
        <v>46007</v>
      </c>
      <c r="W617" s="215">
        <v>1304</v>
      </c>
      <c r="X617" s="215">
        <v>153</v>
      </c>
      <c r="Y617" s="2" t="s">
        <v>256</v>
      </c>
    </row>
    <row r="618" spans="2:25">
      <c r="B618" s="1">
        <v>46168</v>
      </c>
      <c r="C618" s="2">
        <v>698</v>
      </c>
      <c r="D618" s="2">
        <v>403</v>
      </c>
      <c r="E618" s="2" t="s">
        <v>255</v>
      </c>
      <c r="V618" s="3">
        <v>46007</v>
      </c>
      <c r="W618" s="215">
        <v>1303</v>
      </c>
      <c r="X618" s="215">
        <v>176</v>
      </c>
      <c r="Y618" s="2" t="s">
        <v>256</v>
      </c>
    </row>
    <row r="619" spans="2:25">
      <c r="B619" s="1">
        <v>46168</v>
      </c>
      <c r="C619" s="2">
        <v>455</v>
      </c>
      <c r="D619" s="2">
        <v>403</v>
      </c>
      <c r="E619" s="2" t="s">
        <v>255</v>
      </c>
      <c r="V619" s="3">
        <v>46007</v>
      </c>
      <c r="W619" s="215">
        <v>1302</v>
      </c>
      <c r="X619" s="215">
        <v>177</v>
      </c>
      <c r="Y619" s="2" t="s">
        <v>256</v>
      </c>
    </row>
    <row r="620" spans="2:25">
      <c r="B620" s="1">
        <v>46168</v>
      </c>
      <c r="C620" s="2">
        <v>1130</v>
      </c>
      <c r="D620" s="2">
        <v>402</v>
      </c>
      <c r="E620" s="2" t="s">
        <v>255</v>
      </c>
      <c r="V620" s="3">
        <v>46007</v>
      </c>
      <c r="W620" s="215">
        <v>1300</v>
      </c>
      <c r="X620" s="215">
        <v>252</v>
      </c>
      <c r="Y620" s="2" t="s">
        <v>256</v>
      </c>
    </row>
    <row r="621" spans="2:25">
      <c r="B621" s="1">
        <v>46168</v>
      </c>
      <c r="C621" s="2">
        <v>1096</v>
      </c>
      <c r="D621" s="2">
        <v>402</v>
      </c>
      <c r="E621" s="2" t="s">
        <v>255</v>
      </c>
      <c r="V621" s="3">
        <v>46007</v>
      </c>
      <c r="W621" s="215">
        <v>1299</v>
      </c>
      <c r="X621" s="215">
        <v>192</v>
      </c>
      <c r="Y621" s="2" t="s">
        <v>256</v>
      </c>
    </row>
    <row r="622" spans="2:25">
      <c r="B622" s="1">
        <v>46168</v>
      </c>
      <c r="C622" s="2">
        <v>878</v>
      </c>
      <c r="D622" s="2">
        <v>402</v>
      </c>
      <c r="E622" s="2" t="s">
        <v>255</v>
      </c>
      <c r="V622" s="3">
        <v>46007</v>
      </c>
      <c r="W622" s="215">
        <v>1298</v>
      </c>
      <c r="X622" s="215">
        <v>256</v>
      </c>
      <c r="Y622" s="2" t="s">
        <v>256</v>
      </c>
    </row>
    <row r="623" spans="2:25">
      <c r="B623" s="1">
        <v>46168</v>
      </c>
      <c r="C623" s="2">
        <v>684</v>
      </c>
      <c r="D623" s="2">
        <v>402</v>
      </c>
      <c r="E623" s="2" t="s">
        <v>255</v>
      </c>
      <c r="V623" s="3">
        <v>46007</v>
      </c>
      <c r="W623" s="215">
        <v>1297</v>
      </c>
      <c r="X623" s="215">
        <v>174</v>
      </c>
      <c r="Y623" s="2" t="s">
        <v>256</v>
      </c>
    </row>
    <row r="624" spans="2:25">
      <c r="B624" s="1">
        <v>46168</v>
      </c>
      <c r="C624" s="2">
        <v>665</v>
      </c>
      <c r="D624" s="2">
        <v>402</v>
      </c>
      <c r="E624" s="2" t="s">
        <v>255</v>
      </c>
      <c r="V624" s="3">
        <v>46007</v>
      </c>
      <c r="W624" s="215">
        <v>1296</v>
      </c>
      <c r="X624" s="215">
        <v>163</v>
      </c>
      <c r="Y624" s="2" t="s">
        <v>256</v>
      </c>
    </row>
    <row r="625" spans="2:25">
      <c r="B625" s="1">
        <v>46168</v>
      </c>
      <c r="C625" s="2">
        <v>563</v>
      </c>
      <c r="D625" s="2">
        <v>402</v>
      </c>
      <c r="E625" s="2" t="s">
        <v>255</v>
      </c>
      <c r="V625" s="3">
        <v>46007</v>
      </c>
      <c r="W625" s="215">
        <v>1295</v>
      </c>
      <c r="X625" s="215">
        <v>233</v>
      </c>
      <c r="Y625" s="2" t="s">
        <v>256</v>
      </c>
    </row>
    <row r="626" spans="2:25">
      <c r="B626" s="1">
        <v>46168</v>
      </c>
      <c r="C626" s="2">
        <v>558</v>
      </c>
      <c r="D626" s="2">
        <v>402</v>
      </c>
      <c r="E626" s="2" t="s">
        <v>255</v>
      </c>
      <c r="V626" s="3">
        <v>46007</v>
      </c>
      <c r="W626" s="215">
        <v>1294</v>
      </c>
      <c r="X626" s="215">
        <v>206</v>
      </c>
      <c r="Y626" s="2" t="s">
        <v>256</v>
      </c>
    </row>
    <row r="627" spans="2:25">
      <c r="B627" s="1">
        <v>46168</v>
      </c>
      <c r="C627" s="2">
        <v>307</v>
      </c>
      <c r="D627" s="2">
        <v>402</v>
      </c>
      <c r="E627" s="2" t="s">
        <v>255</v>
      </c>
      <c r="V627" s="3">
        <v>46007</v>
      </c>
      <c r="W627" s="215">
        <v>1293</v>
      </c>
      <c r="X627" s="215">
        <v>189</v>
      </c>
      <c r="Y627" s="2" t="s">
        <v>256</v>
      </c>
    </row>
    <row r="628" spans="2:25">
      <c r="B628" s="1">
        <v>46168</v>
      </c>
      <c r="C628" s="2">
        <v>1121</v>
      </c>
      <c r="D628" s="2">
        <v>401</v>
      </c>
      <c r="E628" s="2" t="s">
        <v>255</v>
      </c>
      <c r="V628" s="3">
        <v>46007</v>
      </c>
      <c r="W628" s="215">
        <v>1292</v>
      </c>
      <c r="X628" s="215">
        <v>191</v>
      </c>
      <c r="Y628" s="2" t="s">
        <v>256</v>
      </c>
    </row>
    <row r="629" spans="2:25">
      <c r="B629" s="1">
        <v>46168</v>
      </c>
      <c r="C629" s="2">
        <v>1014</v>
      </c>
      <c r="D629" s="2">
        <v>401</v>
      </c>
      <c r="E629" s="2" t="s">
        <v>255</v>
      </c>
      <c r="V629" s="3">
        <v>46007</v>
      </c>
      <c r="W629" s="215">
        <v>1291</v>
      </c>
      <c r="X629" s="215">
        <v>206</v>
      </c>
      <c r="Y629" s="2" t="s">
        <v>256</v>
      </c>
    </row>
    <row r="630" spans="2:25">
      <c r="B630" s="1">
        <v>46168</v>
      </c>
      <c r="C630" s="2">
        <v>988</v>
      </c>
      <c r="D630" s="2">
        <v>401</v>
      </c>
      <c r="E630" s="2" t="s">
        <v>255</v>
      </c>
      <c r="V630" s="3">
        <v>46007</v>
      </c>
      <c r="W630" s="215">
        <v>1290</v>
      </c>
      <c r="X630" s="215">
        <v>171</v>
      </c>
      <c r="Y630" s="2" t="s">
        <v>256</v>
      </c>
    </row>
    <row r="631" spans="2:25">
      <c r="B631" s="1">
        <v>46168</v>
      </c>
      <c r="C631" s="2">
        <v>657</v>
      </c>
      <c r="D631" s="2">
        <v>401</v>
      </c>
      <c r="E631" s="2" t="s">
        <v>255</v>
      </c>
      <c r="V631" s="3">
        <v>46007</v>
      </c>
      <c r="W631" s="215">
        <v>1289</v>
      </c>
      <c r="X631" s="215">
        <v>155</v>
      </c>
      <c r="Y631" s="2" t="s">
        <v>256</v>
      </c>
    </row>
    <row r="632" spans="2:25">
      <c r="B632" s="1">
        <v>46168</v>
      </c>
      <c r="C632" s="2">
        <v>516</v>
      </c>
      <c r="D632" s="2">
        <v>401</v>
      </c>
      <c r="E632" s="2" t="s">
        <v>255</v>
      </c>
      <c r="V632" s="3">
        <v>46007</v>
      </c>
      <c r="W632" s="215">
        <v>1288</v>
      </c>
      <c r="X632" s="215">
        <v>191</v>
      </c>
      <c r="Y632" s="2" t="s">
        <v>256</v>
      </c>
    </row>
    <row r="633" spans="2:25">
      <c r="B633" s="1">
        <v>46168</v>
      </c>
      <c r="C633" s="2">
        <v>469</v>
      </c>
      <c r="D633" s="2">
        <v>401</v>
      </c>
      <c r="E633" s="2" t="s">
        <v>255</v>
      </c>
      <c r="V633" s="3">
        <v>46007</v>
      </c>
      <c r="W633" s="215">
        <v>1286</v>
      </c>
      <c r="X633" s="215">
        <v>189</v>
      </c>
      <c r="Y633" s="2" t="s">
        <v>256</v>
      </c>
    </row>
    <row r="634" spans="2:25">
      <c r="B634" s="1">
        <v>46168</v>
      </c>
      <c r="C634" s="2">
        <v>1144</v>
      </c>
      <c r="D634" s="2">
        <v>400</v>
      </c>
      <c r="E634" s="2" t="s">
        <v>255</v>
      </c>
      <c r="V634" s="3">
        <v>46007</v>
      </c>
      <c r="W634" s="215">
        <v>1285</v>
      </c>
      <c r="X634" s="215">
        <v>209</v>
      </c>
      <c r="Y634" s="2" t="s">
        <v>256</v>
      </c>
    </row>
    <row r="635" spans="2:25">
      <c r="B635" s="1">
        <v>46168</v>
      </c>
      <c r="C635" s="2">
        <v>340</v>
      </c>
      <c r="D635" s="2">
        <v>400</v>
      </c>
      <c r="E635" s="2" t="s">
        <v>255</v>
      </c>
      <c r="V635" s="3">
        <v>46007</v>
      </c>
      <c r="W635" s="215">
        <v>1284</v>
      </c>
      <c r="X635" s="215">
        <v>197</v>
      </c>
      <c r="Y635" s="2" t="s">
        <v>256</v>
      </c>
    </row>
    <row r="636" spans="2:25">
      <c r="B636" s="1">
        <v>46168</v>
      </c>
      <c r="C636" s="2">
        <v>644</v>
      </c>
      <c r="D636" s="2">
        <v>399</v>
      </c>
      <c r="E636" s="2" t="s">
        <v>255</v>
      </c>
      <c r="V636" s="3">
        <v>46007</v>
      </c>
      <c r="W636" s="215">
        <v>1283</v>
      </c>
      <c r="X636" s="215">
        <v>175</v>
      </c>
      <c r="Y636" s="2" t="s">
        <v>256</v>
      </c>
    </row>
    <row r="637" spans="2:25">
      <c r="B637" s="1">
        <v>46168</v>
      </c>
      <c r="C637" s="2">
        <v>327</v>
      </c>
      <c r="D637" s="2">
        <v>399</v>
      </c>
      <c r="E637" s="2" t="s">
        <v>255</v>
      </c>
      <c r="V637" s="3">
        <v>46007</v>
      </c>
      <c r="W637" s="215">
        <v>1282</v>
      </c>
      <c r="X637" s="215">
        <v>208</v>
      </c>
      <c r="Y637" s="2" t="s">
        <v>256</v>
      </c>
    </row>
    <row r="638" spans="2:25">
      <c r="B638" s="1">
        <v>46168</v>
      </c>
      <c r="C638" s="2">
        <v>1163</v>
      </c>
      <c r="D638" s="2">
        <v>398</v>
      </c>
      <c r="E638" s="2" t="s">
        <v>255</v>
      </c>
      <c r="V638" s="3">
        <v>46007</v>
      </c>
      <c r="W638" s="215">
        <v>1281</v>
      </c>
      <c r="X638" s="215">
        <v>210</v>
      </c>
      <c r="Y638" s="2" t="s">
        <v>256</v>
      </c>
    </row>
    <row r="639" spans="2:25">
      <c r="B639" s="1">
        <v>46168</v>
      </c>
      <c r="C639" s="2">
        <v>1109</v>
      </c>
      <c r="D639" s="2">
        <v>398</v>
      </c>
      <c r="E639" s="2" t="s">
        <v>255</v>
      </c>
      <c r="V639" s="3">
        <v>46007</v>
      </c>
      <c r="W639" s="215">
        <v>1280</v>
      </c>
      <c r="X639" s="215">
        <v>248</v>
      </c>
      <c r="Y639" s="2" t="s">
        <v>256</v>
      </c>
    </row>
    <row r="640" spans="2:25">
      <c r="B640" s="1">
        <v>46168</v>
      </c>
      <c r="C640" s="2">
        <v>1075</v>
      </c>
      <c r="D640" s="2">
        <v>398</v>
      </c>
      <c r="E640" s="2" t="s">
        <v>255</v>
      </c>
      <c r="V640" s="3">
        <v>46007</v>
      </c>
      <c r="W640" s="215">
        <v>1279</v>
      </c>
      <c r="X640" s="215">
        <v>253</v>
      </c>
      <c r="Y640" s="2" t="s">
        <v>256</v>
      </c>
    </row>
    <row r="641" spans="2:25">
      <c r="B641" s="1">
        <v>46168</v>
      </c>
      <c r="C641" s="2">
        <v>963</v>
      </c>
      <c r="D641" s="2">
        <v>398</v>
      </c>
      <c r="E641" s="2" t="s">
        <v>255</v>
      </c>
      <c r="V641" s="3">
        <v>46007</v>
      </c>
      <c r="W641" s="215">
        <v>1278</v>
      </c>
      <c r="X641" s="215">
        <v>216</v>
      </c>
      <c r="Y641" s="2" t="s">
        <v>256</v>
      </c>
    </row>
    <row r="642" spans="2:25">
      <c r="B642" s="1">
        <v>46168</v>
      </c>
      <c r="C642" s="2">
        <v>704</v>
      </c>
      <c r="D642" s="2">
        <v>398</v>
      </c>
      <c r="E642" s="2" t="s">
        <v>255</v>
      </c>
      <c r="V642" s="3">
        <v>46007</v>
      </c>
      <c r="W642" s="215">
        <v>1276</v>
      </c>
      <c r="X642" s="215">
        <v>209</v>
      </c>
      <c r="Y642" s="2" t="s">
        <v>256</v>
      </c>
    </row>
    <row r="643" spans="2:25">
      <c r="B643" s="1">
        <v>46168</v>
      </c>
      <c r="C643" s="2">
        <v>663</v>
      </c>
      <c r="D643" s="2">
        <v>398</v>
      </c>
      <c r="E643" s="2" t="s">
        <v>255</v>
      </c>
      <c r="V643" s="3">
        <v>46007</v>
      </c>
      <c r="W643" s="215">
        <v>1274</v>
      </c>
      <c r="X643" s="215">
        <v>217</v>
      </c>
      <c r="Y643" s="2" t="s">
        <v>256</v>
      </c>
    </row>
    <row r="644" spans="2:25">
      <c r="B644" s="1">
        <v>46168</v>
      </c>
      <c r="C644" s="2">
        <v>526</v>
      </c>
      <c r="D644" s="2">
        <v>398</v>
      </c>
      <c r="E644" s="2" t="s">
        <v>255</v>
      </c>
      <c r="V644" s="3">
        <v>46007</v>
      </c>
      <c r="W644" s="215">
        <v>1273</v>
      </c>
      <c r="X644" s="215">
        <v>207</v>
      </c>
      <c r="Y644" s="2" t="s">
        <v>256</v>
      </c>
    </row>
    <row r="645" spans="2:25">
      <c r="B645" s="1">
        <v>46168</v>
      </c>
      <c r="C645" s="2">
        <v>1118</v>
      </c>
      <c r="D645" s="2">
        <v>397</v>
      </c>
      <c r="E645" s="2" t="s">
        <v>255</v>
      </c>
      <c r="V645" s="3">
        <v>46007</v>
      </c>
      <c r="W645" s="215">
        <v>1272</v>
      </c>
      <c r="X645" s="215">
        <v>240</v>
      </c>
      <c r="Y645" s="2" t="s">
        <v>256</v>
      </c>
    </row>
    <row r="646" spans="2:25">
      <c r="B646" s="1">
        <v>46168</v>
      </c>
      <c r="C646" s="2">
        <v>453</v>
      </c>
      <c r="D646" s="2">
        <v>397</v>
      </c>
      <c r="E646" s="2" t="s">
        <v>255</v>
      </c>
      <c r="V646" s="3">
        <v>46007</v>
      </c>
      <c r="W646" s="215">
        <v>1270</v>
      </c>
      <c r="X646" s="215">
        <v>200</v>
      </c>
      <c r="Y646" s="2" t="s">
        <v>256</v>
      </c>
    </row>
    <row r="647" spans="2:25">
      <c r="B647" s="1">
        <v>46168</v>
      </c>
      <c r="C647" s="2">
        <v>804</v>
      </c>
      <c r="D647" s="2">
        <v>396</v>
      </c>
      <c r="E647" s="2" t="s">
        <v>255</v>
      </c>
      <c r="V647" s="3">
        <v>46007</v>
      </c>
      <c r="W647" s="215">
        <v>1269</v>
      </c>
      <c r="X647" s="215">
        <v>211</v>
      </c>
      <c r="Y647" s="2" t="s">
        <v>256</v>
      </c>
    </row>
    <row r="648" spans="2:25">
      <c r="B648" s="1">
        <v>46168</v>
      </c>
      <c r="C648" s="2">
        <v>721</v>
      </c>
      <c r="D648" s="2">
        <v>396</v>
      </c>
      <c r="E648" s="2" t="s">
        <v>255</v>
      </c>
      <c r="V648" s="3">
        <v>46007</v>
      </c>
      <c r="W648" s="215">
        <v>1268</v>
      </c>
      <c r="X648" s="215">
        <v>195</v>
      </c>
      <c r="Y648" s="2" t="s">
        <v>256</v>
      </c>
    </row>
    <row r="649" spans="2:25">
      <c r="B649" s="1">
        <v>46168</v>
      </c>
      <c r="C649" s="2">
        <v>714</v>
      </c>
      <c r="D649" s="2">
        <v>396</v>
      </c>
      <c r="E649" s="2" t="s">
        <v>255</v>
      </c>
      <c r="V649" s="3">
        <v>46007</v>
      </c>
      <c r="W649" s="215">
        <v>1267</v>
      </c>
      <c r="X649" s="215">
        <v>219</v>
      </c>
      <c r="Y649" s="2" t="s">
        <v>256</v>
      </c>
    </row>
    <row r="650" spans="2:25">
      <c r="B650" s="1">
        <v>46168</v>
      </c>
      <c r="C650" s="2">
        <v>702</v>
      </c>
      <c r="D650" s="2">
        <v>396</v>
      </c>
      <c r="E650" s="2" t="s">
        <v>255</v>
      </c>
      <c r="V650" s="3">
        <v>46007</v>
      </c>
      <c r="W650" s="215">
        <v>1266</v>
      </c>
      <c r="X650" s="215">
        <v>224</v>
      </c>
      <c r="Y650" s="2" t="s">
        <v>256</v>
      </c>
    </row>
    <row r="651" spans="2:25">
      <c r="B651" s="1">
        <v>46168</v>
      </c>
      <c r="C651" s="2">
        <v>561</v>
      </c>
      <c r="D651" s="2">
        <v>396</v>
      </c>
      <c r="E651" s="2" t="s">
        <v>255</v>
      </c>
      <c r="V651" s="3">
        <v>46007</v>
      </c>
      <c r="W651" s="215">
        <v>1265</v>
      </c>
      <c r="X651" s="215">
        <v>229</v>
      </c>
      <c r="Y651" s="2" t="s">
        <v>256</v>
      </c>
    </row>
    <row r="652" spans="2:25">
      <c r="B652" s="1">
        <v>46168</v>
      </c>
      <c r="C652" s="2">
        <v>510</v>
      </c>
      <c r="D652" s="2">
        <v>396</v>
      </c>
      <c r="E652" s="2" t="s">
        <v>255</v>
      </c>
      <c r="V652" s="3">
        <v>46007</v>
      </c>
      <c r="W652" s="215">
        <v>1264</v>
      </c>
      <c r="X652" s="215">
        <v>192</v>
      </c>
      <c r="Y652" s="2" t="s">
        <v>256</v>
      </c>
    </row>
    <row r="653" spans="2:25">
      <c r="B653" s="1">
        <v>46168</v>
      </c>
      <c r="C653" s="2">
        <v>962</v>
      </c>
      <c r="D653" s="2">
        <v>395</v>
      </c>
      <c r="E653" s="2" t="s">
        <v>255</v>
      </c>
      <c r="V653" s="3">
        <v>46007</v>
      </c>
      <c r="W653" s="2">
        <v>1263</v>
      </c>
      <c r="X653" s="2">
        <v>260</v>
      </c>
      <c r="Y653" s="2" t="s">
        <v>256</v>
      </c>
    </row>
    <row r="654" spans="2:25">
      <c r="B654" s="1">
        <v>46168</v>
      </c>
      <c r="C654" s="2">
        <v>914</v>
      </c>
      <c r="D654" s="2">
        <v>395</v>
      </c>
      <c r="E654" s="2" t="s">
        <v>255</v>
      </c>
      <c r="V654" s="3">
        <v>46007</v>
      </c>
      <c r="W654" s="215">
        <v>1251</v>
      </c>
      <c r="X654" s="215">
        <v>224</v>
      </c>
      <c r="Y654" s="2" t="s">
        <v>256</v>
      </c>
    </row>
    <row r="655" spans="2:25">
      <c r="B655" s="1">
        <v>46168</v>
      </c>
      <c r="C655" s="2">
        <v>361</v>
      </c>
      <c r="D655" s="2">
        <v>395</v>
      </c>
      <c r="E655" s="2" t="s">
        <v>255</v>
      </c>
      <c r="V655" s="3">
        <v>46007</v>
      </c>
      <c r="W655" s="2">
        <v>1248</v>
      </c>
      <c r="X655" s="2">
        <v>211</v>
      </c>
      <c r="Y655" s="2" t="s">
        <v>256</v>
      </c>
    </row>
    <row r="656" spans="2:25">
      <c r="B656" s="1">
        <v>46168</v>
      </c>
      <c r="C656" s="2">
        <v>1053</v>
      </c>
      <c r="D656" s="2">
        <v>394</v>
      </c>
      <c r="E656" s="2" t="s">
        <v>255</v>
      </c>
      <c r="V656" s="3">
        <v>46007</v>
      </c>
      <c r="W656" s="215">
        <v>1245</v>
      </c>
      <c r="X656" s="215">
        <v>232</v>
      </c>
      <c r="Y656" s="2" t="s">
        <v>256</v>
      </c>
    </row>
    <row r="657" spans="2:25">
      <c r="B657" s="1">
        <v>46168</v>
      </c>
      <c r="C657" s="2">
        <v>654</v>
      </c>
      <c r="D657" s="2">
        <v>394</v>
      </c>
      <c r="E657" s="2" t="s">
        <v>255</v>
      </c>
      <c r="V657" s="3">
        <v>46007</v>
      </c>
      <c r="W657" s="2">
        <v>1244</v>
      </c>
      <c r="X657" s="2">
        <v>535</v>
      </c>
      <c r="Y657" s="2" t="s">
        <v>256</v>
      </c>
    </row>
    <row r="658" spans="2:25">
      <c r="B658" s="1">
        <v>46168</v>
      </c>
      <c r="C658" s="2">
        <v>637</v>
      </c>
      <c r="D658" s="2">
        <v>394</v>
      </c>
      <c r="E658" s="2" t="s">
        <v>255</v>
      </c>
      <c r="V658" s="3">
        <v>46007</v>
      </c>
      <c r="W658" s="2">
        <v>1242</v>
      </c>
      <c r="X658" s="2">
        <v>381</v>
      </c>
      <c r="Y658" s="2" t="s">
        <v>256</v>
      </c>
    </row>
    <row r="659" spans="2:25">
      <c r="B659" s="1">
        <v>46168</v>
      </c>
      <c r="C659" s="2">
        <v>439</v>
      </c>
      <c r="D659" s="2">
        <v>394</v>
      </c>
      <c r="E659" s="2" t="s">
        <v>255</v>
      </c>
      <c r="V659" s="3">
        <v>46007</v>
      </c>
      <c r="W659" s="215">
        <v>1240</v>
      </c>
      <c r="X659" s="215">
        <v>207</v>
      </c>
      <c r="Y659" s="2" t="s">
        <v>256</v>
      </c>
    </row>
    <row r="660" spans="2:25">
      <c r="B660" s="1">
        <v>46168</v>
      </c>
      <c r="C660" s="2">
        <v>316</v>
      </c>
      <c r="D660" s="2">
        <v>394</v>
      </c>
      <c r="E660" s="2" t="s">
        <v>255</v>
      </c>
      <c r="V660" s="3">
        <v>46007</v>
      </c>
      <c r="W660" s="215">
        <v>1236</v>
      </c>
      <c r="X660" s="215">
        <v>517</v>
      </c>
      <c r="Y660" s="2" t="s">
        <v>256</v>
      </c>
    </row>
    <row r="661" spans="2:25">
      <c r="B661" s="1">
        <v>46168</v>
      </c>
      <c r="C661" s="2">
        <v>1239</v>
      </c>
      <c r="D661" s="2">
        <v>393</v>
      </c>
      <c r="E661" s="2" t="s">
        <v>255</v>
      </c>
      <c r="V661" s="3">
        <v>46007</v>
      </c>
      <c r="W661" s="215">
        <v>1233</v>
      </c>
      <c r="X661" s="215">
        <v>477</v>
      </c>
      <c r="Y661" s="2" t="s">
        <v>256</v>
      </c>
    </row>
    <row r="662" spans="2:25">
      <c r="B662" s="1">
        <v>46168</v>
      </c>
      <c r="C662" s="2">
        <v>1162</v>
      </c>
      <c r="D662" s="2">
        <v>393</v>
      </c>
      <c r="E662" s="2" t="s">
        <v>255</v>
      </c>
      <c r="V662" s="3">
        <v>46007</v>
      </c>
      <c r="W662" s="215">
        <v>1232</v>
      </c>
      <c r="X662" s="215">
        <v>491</v>
      </c>
      <c r="Y662" s="2" t="s">
        <v>256</v>
      </c>
    </row>
    <row r="663" spans="2:25">
      <c r="B663" s="1">
        <v>46168</v>
      </c>
      <c r="C663" s="2">
        <v>1057</v>
      </c>
      <c r="D663" s="2">
        <v>393</v>
      </c>
      <c r="E663" s="2" t="s">
        <v>255</v>
      </c>
      <c r="V663" s="3">
        <v>46007</v>
      </c>
      <c r="W663" s="2">
        <v>1227</v>
      </c>
      <c r="X663" s="2">
        <v>551</v>
      </c>
      <c r="Y663" s="2" t="s">
        <v>256</v>
      </c>
    </row>
    <row r="664" spans="2:25">
      <c r="B664" s="1">
        <v>46168</v>
      </c>
      <c r="C664" s="2">
        <v>781</v>
      </c>
      <c r="D664" s="2">
        <v>393</v>
      </c>
      <c r="E664" s="2" t="s">
        <v>255</v>
      </c>
      <c r="V664" s="3">
        <v>46007</v>
      </c>
      <c r="W664" s="215">
        <v>1224</v>
      </c>
      <c r="X664" s="215">
        <v>541</v>
      </c>
      <c r="Y664" s="2" t="s">
        <v>256</v>
      </c>
    </row>
    <row r="665" spans="2:25">
      <c r="B665" s="1">
        <v>46168</v>
      </c>
      <c r="C665" s="2">
        <v>722</v>
      </c>
      <c r="D665" s="2">
        <v>393</v>
      </c>
      <c r="E665" s="2" t="s">
        <v>255</v>
      </c>
      <c r="V665" s="3">
        <v>46007</v>
      </c>
      <c r="W665" s="2">
        <v>1220</v>
      </c>
      <c r="X665" s="2">
        <v>471</v>
      </c>
      <c r="Y665" s="2" t="s">
        <v>256</v>
      </c>
    </row>
    <row r="666" spans="2:25">
      <c r="B666" s="1">
        <v>46168</v>
      </c>
      <c r="C666" s="2">
        <v>593</v>
      </c>
      <c r="D666" s="2">
        <v>393</v>
      </c>
      <c r="E666" s="2" t="s">
        <v>255</v>
      </c>
      <c r="V666" s="3">
        <v>46007</v>
      </c>
      <c r="W666" s="215">
        <v>1217</v>
      </c>
      <c r="X666" s="215">
        <v>485</v>
      </c>
      <c r="Y666" s="2" t="s">
        <v>256</v>
      </c>
    </row>
    <row r="667" spans="2:25">
      <c r="B667" s="1">
        <v>46168</v>
      </c>
      <c r="C667" s="2">
        <v>523</v>
      </c>
      <c r="D667" s="2">
        <v>393</v>
      </c>
      <c r="E667" s="2" t="s">
        <v>255</v>
      </c>
      <c r="V667" s="3">
        <v>46007</v>
      </c>
      <c r="W667" s="2">
        <v>1215</v>
      </c>
      <c r="X667" s="2">
        <v>498</v>
      </c>
      <c r="Y667" s="2" t="s">
        <v>256</v>
      </c>
    </row>
    <row r="668" spans="2:25">
      <c r="B668" s="1">
        <v>46168</v>
      </c>
      <c r="C668" s="2">
        <v>446</v>
      </c>
      <c r="D668" s="2">
        <v>393</v>
      </c>
      <c r="E668" s="2" t="s">
        <v>255</v>
      </c>
      <c r="V668" s="3">
        <v>46007</v>
      </c>
      <c r="W668" s="2">
        <v>1213</v>
      </c>
      <c r="X668" s="2">
        <v>493</v>
      </c>
      <c r="Y668" s="2" t="s">
        <v>256</v>
      </c>
    </row>
    <row r="669" spans="2:25">
      <c r="B669" s="1">
        <v>46168</v>
      </c>
      <c r="C669" s="2">
        <v>570</v>
      </c>
      <c r="D669" s="2">
        <v>392</v>
      </c>
      <c r="E669" s="2" t="s">
        <v>255</v>
      </c>
      <c r="V669" s="3">
        <v>46007</v>
      </c>
      <c r="W669" s="215">
        <v>1212</v>
      </c>
      <c r="X669" s="215">
        <v>491</v>
      </c>
      <c r="Y669" s="2" t="s">
        <v>256</v>
      </c>
    </row>
    <row r="670" spans="2:25">
      <c r="B670" s="1">
        <v>46168</v>
      </c>
      <c r="C670" s="2">
        <v>458</v>
      </c>
      <c r="D670" s="2">
        <v>392</v>
      </c>
      <c r="E670" s="2" t="s">
        <v>255</v>
      </c>
      <c r="V670" s="3">
        <v>46007</v>
      </c>
      <c r="W670" s="2">
        <v>1208</v>
      </c>
      <c r="X670" s="2">
        <v>486</v>
      </c>
      <c r="Y670" s="2" t="s">
        <v>256</v>
      </c>
    </row>
    <row r="671" spans="2:25">
      <c r="B671" s="1">
        <v>46168</v>
      </c>
      <c r="C671" s="2">
        <v>1132</v>
      </c>
      <c r="D671" s="2">
        <v>391</v>
      </c>
      <c r="E671" s="2" t="s">
        <v>255</v>
      </c>
      <c r="V671" s="3">
        <v>46007</v>
      </c>
      <c r="W671" s="2">
        <v>1206</v>
      </c>
      <c r="X671" s="2">
        <v>562</v>
      </c>
      <c r="Y671" s="2" t="s">
        <v>256</v>
      </c>
    </row>
    <row r="672" spans="2:25">
      <c r="B672" s="1">
        <v>46168</v>
      </c>
      <c r="C672" s="2">
        <v>973</v>
      </c>
      <c r="D672" s="2">
        <v>391</v>
      </c>
      <c r="E672" s="2" t="s">
        <v>255</v>
      </c>
      <c r="V672" s="3">
        <v>46007</v>
      </c>
      <c r="W672" s="2">
        <v>1203</v>
      </c>
      <c r="X672" s="2">
        <v>513</v>
      </c>
      <c r="Y672" s="2" t="s">
        <v>256</v>
      </c>
    </row>
    <row r="673" spans="2:25">
      <c r="B673" s="1">
        <v>46168</v>
      </c>
      <c r="C673" s="2">
        <v>915</v>
      </c>
      <c r="D673" s="2">
        <v>391</v>
      </c>
      <c r="E673" s="2" t="s">
        <v>255</v>
      </c>
      <c r="V673" s="3">
        <v>46007</v>
      </c>
      <c r="W673" s="215">
        <v>1199</v>
      </c>
      <c r="X673" s="215">
        <v>489</v>
      </c>
      <c r="Y673" s="2" t="s">
        <v>256</v>
      </c>
    </row>
    <row r="674" spans="2:25">
      <c r="B674" s="1">
        <v>46168</v>
      </c>
      <c r="C674" s="2">
        <v>890</v>
      </c>
      <c r="D674" s="2">
        <v>391</v>
      </c>
      <c r="E674" s="2" t="s">
        <v>255</v>
      </c>
      <c r="V674" s="3">
        <v>46007</v>
      </c>
      <c r="W674" s="215">
        <v>1198</v>
      </c>
      <c r="X674" s="215">
        <v>500</v>
      </c>
      <c r="Y674" s="2" t="s">
        <v>256</v>
      </c>
    </row>
    <row r="675" spans="2:25">
      <c r="B675" s="1">
        <v>46168</v>
      </c>
      <c r="C675" s="2">
        <v>659</v>
      </c>
      <c r="D675" s="2">
        <v>391</v>
      </c>
      <c r="E675" s="2" t="s">
        <v>255</v>
      </c>
      <c r="V675" s="3">
        <v>46007</v>
      </c>
      <c r="W675" s="215">
        <v>1195</v>
      </c>
      <c r="X675" s="215">
        <v>509</v>
      </c>
      <c r="Y675" s="2" t="s">
        <v>256</v>
      </c>
    </row>
    <row r="676" spans="2:25">
      <c r="B676" s="1">
        <v>46168</v>
      </c>
      <c r="C676" s="2">
        <v>652</v>
      </c>
      <c r="D676" s="2">
        <v>391</v>
      </c>
      <c r="E676" s="2" t="s">
        <v>255</v>
      </c>
      <c r="V676" s="3">
        <v>46007</v>
      </c>
      <c r="W676" s="215">
        <v>1194</v>
      </c>
      <c r="X676" s="215">
        <v>483</v>
      </c>
      <c r="Y676" s="2" t="s">
        <v>256</v>
      </c>
    </row>
    <row r="677" spans="2:25">
      <c r="B677" s="1">
        <v>46168</v>
      </c>
      <c r="C677" s="2">
        <v>547</v>
      </c>
      <c r="D677" s="2">
        <v>391</v>
      </c>
      <c r="E677" s="2" t="s">
        <v>255</v>
      </c>
      <c r="V677" s="3">
        <v>46007</v>
      </c>
      <c r="W677" s="2">
        <v>1191</v>
      </c>
      <c r="X677" s="2">
        <v>531</v>
      </c>
      <c r="Y677" s="2" t="s">
        <v>256</v>
      </c>
    </row>
    <row r="678" spans="2:25">
      <c r="B678" s="1">
        <v>46168</v>
      </c>
      <c r="C678" s="2">
        <v>302</v>
      </c>
      <c r="D678" s="2">
        <v>391</v>
      </c>
      <c r="E678" s="2" t="s">
        <v>255</v>
      </c>
      <c r="V678" s="3">
        <v>46007</v>
      </c>
      <c r="W678" s="215">
        <v>1190</v>
      </c>
      <c r="X678" s="215">
        <v>488</v>
      </c>
      <c r="Y678" s="2" t="s">
        <v>256</v>
      </c>
    </row>
    <row r="679" spans="2:25">
      <c r="B679" s="1">
        <v>46168</v>
      </c>
      <c r="C679" s="2">
        <v>1078</v>
      </c>
      <c r="D679" s="2">
        <v>390</v>
      </c>
      <c r="E679" s="2" t="s">
        <v>255</v>
      </c>
      <c r="V679" s="3">
        <v>46007</v>
      </c>
      <c r="W679" s="2">
        <v>1189</v>
      </c>
      <c r="X679" s="2">
        <v>521</v>
      </c>
      <c r="Y679" s="2" t="s">
        <v>256</v>
      </c>
    </row>
    <row r="680" spans="2:25">
      <c r="B680" s="1">
        <v>46168</v>
      </c>
      <c r="C680" s="2">
        <v>1047</v>
      </c>
      <c r="D680" s="2">
        <v>390</v>
      </c>
      <c r="E680" s="2" t="s">
        <v>255</v>
      </c>
      <c r="V680" s="3">
        <v>46007</v>
      </c>
      <c r="W680" s="215">
        <v>1187</v>
      </c>
      <c r="X680" s="215">
        <v>502</v>
      </c>
      <c r="Y680" s="2" t="s">
        <v>256</v>
      </c>
    </row>
    <row r="681" spans="2:25">
      <c r="B681" s="1">
        <v>46168</v>
      </c>
      <c r="C681" s="2">
        <v>585</v>
      </c>
      <c r="D681" s="2">
        <v>390</v>
      </c>
      <c r="E681" s="2" t="s">
        <v>255</v>
      </c>
      <c r="V681" s="3">
        <v>46007</v>
      </c>
      <c r="W681" s="215">
        <v>1186</v>
      </c>
      <c r="X681" s="215">
        <v>472</v>
      </c>
      <c r="Y681" s="2" t="s">
        <v>256</v>
      </c>
    </row>
    <row r="682" spans="2:25">
      <c r="B682" s="1">
        <v>46168</v>
      </c>
      <c r="C682" s="2">
        <v>502</v>
      </c>
      <c r="D682" s="2">
        <v>390</v>
      </c>
      <c r="E682" s="2" t="s">
        <v>255</v>
      </c>
      <c r="V682" s="3">
        <v>46007</v>
      </c>
      <c r="W682" s="215">
        <v>1183</v>
      </c>
      <c r="X682" s="215">
        <v>470</v>
      </c>
      <c r="Y682" s="2" t="s">
        <v>256</v>
      </c>
    </row>
    <row r="683" spans="2:25">
      <c r="B683" s="1">
        <v>46168</v>
      </c>
      <c r="C683" s="2">
        <v>1147</v>
      </c>
      <c r="D683" s="2">
        <v>389</v>
      </c>
      <c r="E683" s="2" t="s">
        <v>255</v>
      </c>
      <c r="V683" s="3">
        <v>46007</v>
      </c>
      <c r="W683" s="215">
        <v>1181</v>
      </c>
      <c r="X683" s="215">
        <v>455</v>
      </c>
      <c r="Y683" s="2" t="s">
        <v>256</v>
      </c>
    </row>
    <row r="684" spans="2:25">
      <c r="B684" s="1">
        <v>46168</v>
      </c>
      <c r="C684" s="2">
        <v>742</v>
      </c>
      <c r="D684" s="2">
        <v>389</v>
      </c>
      <c r="E684" s="2" t="s">
        <v>255</v>
      </c>
      <c r="V684" s="3">
        <v>46007</v>
      </c>
      <c r="W684" s="215">
        <v>1180</v>
      </c>
      <c r="X684" s="215">
        <v>541</v>
      </c>
      <c r="Y684" s="2" t="s">
        <v>256</v>
      </c>
    </row>
    <row r="685" spans="2:25">
      <c r="B685" s="1">
        <v>46168</v>
      </c>
      <c r="C685" s="2">
        <v>573</v>
      </c>
      <c r="D685" s="2">
        <v>389</v>
      </c>
      <c r="E685" s="2" t="s">
        <v>255</v>
      </c>
      <c r="V685" s="3">
        <v>46007</v>
      </c>
      <c r="W685" s="2">
        <v>1177</v>
      </c>
      <c r="X685" s="2">
        <v>526</v>
      </c>
      <c r="Y685" s="2" t="s">
        <v>256</v>
      </c>
    </row>
    <row r="686" spans="2:25">
      <c r="B686" s="1">
        <v>46168</v>
      </c>
      <c r="C686" s="2">
        <v>408</v>
      </c>
      <c r="D686" s="2">
        <v>389</v>
      </c>
      <c r="E686" s="2" t="s">
        <v>255</v>
      </c>
      <c r="V686" s="3">
        <v>46007</v>
      </c>
      <c r="W686" s="215">
        <v>1172</v>
      </c>
      <c r="X686" s="215">
        <v>468</v>
      </c>
      <c r="Y686" s="2" t="s">
        <v>256</v>
      </c>
    </row>
    <row r="687" spans="2:25">
      <c r="B687" s="1">
        <v>46168</v>
      </c>
      <c r="C687" s="2">
        <v>923</v>
      </c>
      <c r="D687" s="2">
        <v>388</v>
      </c>
      <c r="E687" s="2" t="s">
        <v>255</v>
      </c>
      <c r="V687" s="3">
        <v>46007</v>
      </c>
      <c r="W687" s="2">
        <v>1171</v>
      </c>
      <c r="X687" s="2">
        <v>536</v>
      </c>
      <c r="Y687" s="2" t="s">
        <v>256</v>
      </c>
    </row>
    <row r="688" spans="2:25">
      <c r="B688" s="1">
        <v>46168</v>
      </c>
      <c r="C688" s="2">
        <v>897</v>
      </c>
      <c r="D688" s="2">
        <v>388</v>
      </c>
      <c r="E688" s="2" t="s">
        <v>255</v>
      </c>
      <c r="V688" s="3">
        <v>46007</v>
      </c>
      <c r="W688" s="2">
        <v>1170</v>
      </c>
      <c r="X688" s="2">
        <v>546</v>
      </c>
      <c r="Y688" s="2" t="s">
        <v>256</v>
      </c>
    </row>
    <row r="689" spans="2:25">
      <c r="B689" s="1">
        <v>46168</v>
      </c>
      <c r="C689" s="2">
        <v>895</v>
      </c>
      <c r="D689" s="2">
        <v>388</v>
      </c>
      <c r="E689" s="2" t="s">
        <v>255</v>
      </c>
      <c r="V689" s="3">
        <v>46007</v>
      </c>
      <c r="W689" s="215">
        <v>1169</v>
      </c>
      <c r="X689" s="215">
        <v>351</v>
      </c>
      <c r="Y689" s="2" t="s">
        <v>256</v>
      </c>
    </row>
    <row r="690" spans="2:25">
      <c r="B690" s="1">
        <v>46168</v>
      </c>
      <c r="C690" s="2">
        <v>527</v>
      </c>
      <c r="D690" s="2">
        <v>388</v>
      </c>
      <c r="E690" s="2" t="s">
        <v>255</v>
      </c>
      <c r="V690" s="3">
        <v>46007</v>
      </c>
      <c r="W690" s="215">
        <v>1168</v>
      </c>
      <c r="X690" s="215">
        <v>410</v>
      </c>
      <c r="Y690" s="2" t="s">
        <v>256</v>
      </c>
    </row>
    <row r="691" spans="2:25">
      <c r="B691" s="1">
        <v>46168</v>
      </c>
      <c r="C691" s="2">
        <v>428</v>
      </c>
      <c r="D691" s="2">
        <v>388</v>
      </c>
      <c r="E691" s="2" t="s">
        <v>255</v>
      </c>
      <c r="V691" s="3">
        <v>46007</v>
      </c>
      <c r="W691" s="2">
        <v>1167</v>
      </c>
      <c r="X691" s="2">
        <v>397</v>
      </c>
      <c r="Y691" s="2" t="s">
        <v>256</v>
      </c>
    </row>
    <row r="692" spans="2:25">
      <c r="B692" s="1">
        <v>46168</v>
      </c>
      <c r="C692" s="2">
        <v>412</v>
      </c>
      <c r="D692" s="2">
        <v>388</v>
      </c>
      <c r="E692" s="2" t="s">
        <v>255</v>
      </c>
      <c r="V692" s="3">
        <v>46007</v>
      </c>
      <c r="W692" s="215">
        <v>1164</v>
      </c>
      <c r="X692" s="215">
        <v>489</v>
      </c>
      <c r="Y692" s="2" t="s">
        <v>256</v>
      </c>
    </row>
    <row r="693" spans="2:25">
      <c r="B693" s="1">
        <v>46168</v>
      </c>
      <c r="C693" s="2">
        <v>331</v>
      </c>
      <c r="D693" s="2">
        <v>388</v>
      </c>
      <c r="E693" s="2" t="s">
        <v>255</v>
      </c>
      <c r="V693" s="3">
        <v>46007</v>
      </c>
      <c r="W693" s="2">
        <v>1163</v>
      </c>
      <c r="X693" s="2">
        <v>438</v>
      </c>
      <c r="Y693" s="2" t="s">
        <v>256</v>
      </c>
    </row>
    <row r="694" spans="2:25">
      <c r="B694" s="1">
        <v>46168</v>
      </c>
      <c r="C694" s="2">
        <v>680</v>
      </c>
      <c r="D694" s="2">
        <v>387</v>
      </c>
      <c r="E694" s="2" t="s">
        <v>255</v>
      </c>
      <c r="V694" s="3">
        <v>46007</v>
      </c>
      <c r="W694" s="2">
        <v>1162</v>
      </c>
      <c r="X694" s="2">
        <v>453</v>
      </c>
      <c r="Y694" s="2" t="s">
        <v>256</v>
      </c>
    </row>
    <row r="695" spans="2:25">
      <c r="B695" s="1">
        <v>46168</v>
      </c>
      <c r="C695" s="2">
        <v>612</v>
      </c>
      <c r="D695" s="2">
        <v>387</v>
      </c>
      <c r="E695" s="2" t="s">
        <v>255</v>
      </c>
      <c r="V695" s="3">
        <v>46007</v>
      </c>
      <c r="W695" s="215">
        <v>1161</v>
      </c>
      <c r="X695" s="215">
        <v>444</v>
      </c>
      <c r="Y695" s="2" t="s">
        <v>256</v>
      </c>
    </row>
    <row r="696" spans="2:25">
      <c r="B696" s="1">
        <v>46168</v>
      </c>
      <c r="C696" s="2">
        <v>712</v>
      </c>
      <c r="D696" s="2">
        <v>386</v>
      </c>
      <c r="E696" s="2" t="s">
        <v>255</v>
      </c>
      <c r="V696" s="3">
        <v>46007</v>
      </c>
      <c r="W696" s="215">
        <v>1159</v>
      </c>
      <c r="X696" s="215">
        <v>478</v>
      </c>
      <c r="Y696" s="2" t="s">
        <v>256</v>
      </c>
    </row>
    <row r="697" spans="2:25">
      <c r="B697" s="1">
        <v>46168</v>
      </c>
      <c r="C697" s="2">
        <v>763</v>
      </c>
      <c r="D697" s="2">
        <v>385</v>
      </c>
      <c r="E697" s="2" t="s">
        <v>255</v>
      </c>
      <c r="V697" s="3">
        <v>46007</v>
      </c>
      <c r="W697" s="215">
        <v>1158</v>
      </c>
      <c r="X697" s="215">
        <v>442</v>
      </c>
      <c r="Y697" s="2" t="s">
        <v>256</v>
      </c>
    </row>
    <row r="698" spans="2:25">
      <c r="B698" s="1">
        <v>46168</v>
      </c>
      <c r="C698" s="2">
        <v>733</v>
      </c>
      <c r="D698" s="2">
        <v>385</v>
      </c>
      <c r="E698" s="2" t="s">
        <v>255</v>
      </c>
      <c r="V698" s="3">
        <v>46007</v>
      </c>
      <c r="W698" s="2">
        <v>1157</v>
      </c>
      <c r="X698" s="2">
        <v>487</v>
      </c>
      <c r="Y698" s="2" t="s">
        <v>256</v>
      </c>
    </row>
    <row r="699" spans="2:25">
      <c r="B699" s="1">
        <v>46168</v>
      </c>
      <c r="C699" s="2">
        <v>588</v>
      </c>
      <c r="D699" s="2">
        <v>385</v>
      </c>
      <c r="E699" s="2" t="s">
        <v>255</v>
      </c>
      <c r="V699" s="3">
        <v>46007</v>
      </c>
      <c r="W699" s="215">
        <v>1156</v>
      </c>
      <c r="X699" s="215">
        <v>472</v>
      </c>
      <c r="Y699" s="2" t="s">
        <v>256</v>
      </c>
    </row>
    <row r="700" spans="2:25">
      <c r="B700" s="1">
        <v>46168</v>
      </c>
      <c r="C700" s="2">
        <v>868</v>
      </c>
      <c r="D700" s="2">
        <v>384</v>
      </c>
      <c r="E700" s="2" t="s">
        <v>255</v>
      </c>
      <c r="V700" s="3">
        <v>46007</v>
      </c>
      <c r="W700" s="2">
        <v>1155</v>
      </c>
      <c r="X700" s="2">
        <v>486</v>
      </c>
      <c r="Y700" s="2" t="s">
        <v>256</v>
      </c>
    </row>
    <row r="701" spans="2:25">
      <c r="B701" s="1">
        <v>46168</v>
      </c>
      <c r="C701" s="2">
        <v>809</v>
      </c>
      <c r="D701" s="2">
        <v>384</v>
      </c>
      <c r="E701" s="2" t="s">
        <v>255</v>
      </c>
      <c r="V701" s="3">
        <v>46007</v>
      </c>
      <c r="W701" s="215">
        <v>1154</v>
      </c>
      <c r="X701" s="215">
        <v>385</v>
      </c>
      <c r="Y701" s="2" t="s">
        <v>256</v>
      </c>
    </row>
    <row r="702" spans="2:25">
      <c r="B702" s="1">
        <v>46168</v>
      </c>
      <c r="C702" s="2">
        <v>688</v>
      </c>
      <c r="D702" s="2">
        <v>384</v>
      </c>
      <c r="E702" s="2" t="s">
        <v>255</v>
      </c>
      <c r="V702" s="3">
        <v>46007</v>
      </c>
      <c r="W702" s="2">
        <v>1153</v>
      </c>
      <c r="X702" s="2">
        <v>463</v>
      </c>
      <c r="Y702" s="2" t="s">
        <v>256</v>
      </c>
    </row>
    <row r="703" spans="2:25">
      <c r="B703" s="1">
        <v>46168</v>
      </c>
      <c r="C703" s="2">
        <v>1125</v>
      </c>
      <c r="D703" s="2">
        <v>383</v>
      </c>
      <c r="E703" s="2" t="s">
        <v>255</v>
      </c>
      <c r="V703" s="3">
        <v>46007</v>
      </c>
      <c r="W703" s="2">
        <v>1152</v>
      </c>
      <c r="X703" s="2">
        <v>515</v>
      </c>
      <c r="Y703" s="2" t="s">
        <v>256</v>
      </c>
    </row>
    <row r="704" spans="2:25">
      <c r="B704" s="1">
        <v>46168</v>
      </c>
      <c r="C704" s="2">
        <v>634</v>
      </c>
      <c r="D704" s="2">
        <v>383</v>
      </c>
      <c r="E704" s="2" t="s">
        <v>255</v>
      </c>
      <c r="V704" s="3">
        <v>46007</v>
      </c>
      <c r="W704" s="215">
        <v>1150</v>
      </c>
      <c r="X704" s="215">
        <v>371</v>
      </c>
      <c r="Y704" s="2" t="s">
        <v>256</v>
      </c>
    </row>
    <row r="705" spans="2:25">
      <c r="B705" s="1">
        <v>46168</v>
      </c>
      <c r="C705" s="2">
        <v>367</v>
      </c>
      <c r="D705" s="2">
        <v>383</v>
      </c>
      <c r="E705" s="2" t="s">
        <v>255</v>
      </c>
      <c r="V705" s="3">
        <v>46007</v>
      </c>
      <c r="W705" s="2">
        <v>1148</v>
      </c>
      <c r="X705" s="2">
        <v>487</v>
      </c>
      <c r="Y705" s="2" t="s">
        <v>256</v>
      </c>
    </row>
    <row r="706" spans="2:25">
      <c r="B706" s="1">
        <v>46168</v>
      </c>
      <c r="C706" s="2">
        <v>321</v>
      </c>
      <c r="D706" s="2">
        <v>383</v>
      </c>
      <c r="E706" s="2" t="s">
        <v>255</v>
      </c>
      <c r="V706" s="3">
        <v>46007</v>
      </c>
      <c r="W706" s="215">
        <v>1147</v>
      </c>
      <c r="X706" s="215">
        <v>469</v>
      </c>
      <c r="Y706" s="2" t="s">
        <v>256</v>
      </c>
    </row>
    <row r="707" spans="2:25">
      <c r="B707" s="1">
        <v>46168</v>
      </c>
      <c r="C707" s="2">
        <v>891</v>
      </c>
      <c r="D707" s="2">
        <v>382</v>
      </c>
      <c r="E707" s="2" t="s">
        <v>255</v>
      </c>
      <c r="V707" s="3">
        <v>46007</v>
      </c>
      <c r="W707" s="215">
        <v>1144</v>
      </c>
      <c r="X707" s="215">
        <v>465</v>
      </c>
      <c r="Y707" s="2" t="s">
        <v>256</v>
      </c>
    </row>
    <row r="708" spans="2:25">
      <c r="B708" s="1">
        <v>46168</v>
      </c>
      <c r="C708" s="2">
        <v>686</v>
      </c>
      <c r="D708" s="2">
        <v>382</v>
      </c>
      <c r="E708" s="2" t="s">
        <v>255</v>
      </c>
      <c r="V708" s="3">
        <v>46007</v>
      </c>
      <c r="W708" s="215">
        <v>1143</v>
      </c>
      <c r="X708" s="215">
        <v>491</v>
      </c>
      <c r="Y708" s="2" t="s">
        <v>256</v>
      </c>
    </row>
    <row r="709" spans="2:25">
      <c r="B709" s="1">
        <v>46168</v>
      </c>
      <c r="C709" s="2">
        <v>395</v>
      </c>
      <c r="D709" s="2">
        <v>382</v>
      </c>
      <c r="E709" s="2" t="s">
        <v>255</v>
      </c>
      <c r="V709" s="3">
        <v>46007</v>
      </c>
      <c r="W709" s="2">
        <v>1142</v>
      </c>
      <c r="X709" s="2">
        <v>471</v>
      </c>
      <c r="Y709" s="2" t="s">
        <v>256</v>
      </c>
    </row>
    <row r="710" spans="2:25">
      <c r="B710" s="1">
        <v>46168</v>
      </c>
      <c r="C710" s="2">
        <v>1127</v>
      </c>
      <c r="D710" s="2">
        <v>381</v>
      </c>
      <c r="E710" s="2" t="s">
        <v>255</v>
      </c>
      <c r="V710" s="3">
        <v>46007</v>
      </c>
      <c r="W710" s="2">
        <v>1141</v>
      </c>
      <c r="X710" s="2">
        <v>375</v>
      </c>
      <c r="Y710" s="2" t="s">
        <v>256</v>
      </c>
    </row>
    <row r="711" spans="2:25">
      <c r="B711" s="1">
        <v>46168</v>
      </c>
      <c r="C711" s="2">
        <v>1126</v>
      </c>
      <c r="D711" s="2">
        <v>381</v>
      </c>
      <c r="E711" s="2" t="s">
        <v>255</v>
      </c>
      <c r="V711" s="3">
        <v>46007</v>
      </c>
      <c r="W711" s="2">
        <v>1140</v>
      </c>
      <c r="X711" s="2">
        <v>467</v>
      </c>
      <c r="Y711" s="2" t="s">
        <v>256</v>
      </c>
    </row>
    <row r="712" spans="2:25">
      <c r="B712" s="1">
        <v>46168</v>
      </c>
      <c r="C712" s="2">
        <v>1003</v>
      </c>
      <c r="D712" s="2">
        <v>381</v>
      </c>
      <c r="E712" s="2" t="s">
        <v>255</v>
      </c>
      <c r="V712" s="3">
        <v>46007</v>
      </c>
      <c r="W712" s="2">
        <v>1139</v>
      </c>
      <c r="X712" s="2">
        <v>496</v>
      </c>
      <c r="Y712" s="2" t="s">
        <v>256</v>
      </c>
    </row>
    <row r="713" spans="2:25">
      <c r="B713" s="1">
        <v>46168</v>
      </c>
      <c r="C713" s="2">
        <v>1001</v>
      </c>
      <c r="D713" s="2">
        <v>381</v>
      </c>
      <c r="E713" s="2" t="s">
        <v>255</v>
      </c>
      <c r="V713" s="3">
        <v>46007</v>
      </c>
      <c r="W713" s="215">
        <v>1138</v>
      </c>
      <c r="X713" s="215">
        <v>460</v>
      </c>
      <c r="Y713" s="2" t="s">
        <v>256</v>
      </c>
    </row>
    <row r="714" spans="2:25">
      <c r="B714" s="1">
        <v>46168</v>
      </c>
      <c r="C714" s="2">
        <v>815</v>
      </c>
      <c r="D714" s="2">
        <v>381</v>
      </c>
      <c r="E714" s="2" t="s">
        <v>255</v>
      </c>
      <c r="V714" s="3">
        <v>46007</v>
      </c>
      <c r="W714" s="215">
        <v>1137</v>
      </c>
      <c r="X714" s="215">
        <v>468</v>
      </c>
      <c r="Y714" s="2" t="s">
        <v>256</v>
      </c>
    </row>
    <row r="715" spans="2:25">
      <c r="B715" s="1">
        <v>46168</v>
      </c>
      <c r="C715" s="2">
        <v>595</v>
      </c>
      <c r="D715" s="2">
        <v>381</v>
      </c>
      <c r="E715" s="2" t="s">
        <v>255</v>
      </c>
      <c r="V715" s="3">
        <v>46007</v>
      </c>
      <c r="W715" s="215">
        <v>1136</v>
      </c>
      <c r="X715" s="215">
        <v>400</v>
      </c>
      <c r="Y715" s="2" t="s">
        <v>256</v>
      </c>
    </row>
    <row r="716" spans="2:25">
      <c r="B716" s="1">
        <v>46168</v>
      </c>
      <c r="C716" s="2">
        <v>344</v>
      </c>
      <c r="D716" s="2">
        <v>381</v>
      </c>
      <c r="E716" s="2" t="s">
        <v>255</v>
      </c>
      <c r="V716" s="3">
        <v>46007</v>
      </c>
      <c r="W716" s="215">
        <v>1135</v>
      </c>
      <c r="X716" s="215">
        <v>459</v>
      </c>
      <c r="Y716" s="2" t="s">
        <v>256</v>
      </c>
    </row>
    <row r="717" spans="2:25">
      <c r="B717" s="1">
        <v>46168</v>
      </c>
      <c r="C717" s="2">
        <v>1093</v>
      </c>
      <c r="D717" s="2">
        <v>380</v>
      </c>
      <c r="E717" s="2" t="s">
        <v>255</v>
      </c>
      <c r="V717" s="3">
        <v>46007</v>
      </c>
      <c r="W717" s="215">
        <v>1134</v>
      </c>
      <c r="X717" s="215">
        <v>398</v>
      </c>
      <c r="Y717" s="2" t="s">
        <v>256</v>
      </c>
    </row>
    <row r="718" spans="2:25">
      <c r="B718" s="1">
        <v>46168</v>
      </c>
      <c r="C718" s="2">
        <v>1046</v>
      </c>
      <c r="D718" s="2">
        <v>380</v>
      </c>
      <c r="E718" s="2" t="s">
        <v>255</v>
      </c>
      <c r="V718" s="3">
        <v>46007</v>
      </c>
      <c r="W718" s="215">
        <v>1133</v>
      </c>
      <c r="X718" s="215">
        <v>495</v>
      </c>
      <c r="Y718" s="2" t="s">
        <v>256</v>
      </c>
    </row>
    <row r="719" spans="2:25">
      <c r="B719" s="1">
        <v>46168</v>
      </c>
      <c r="C719" s="2">
        <v>653</v>
      </c>
      <c r="D719" s="2">
        <v>380</v>
      </c>
      <c r="E719" s="2" t="s">
        <v>255</v>
      </c>
      <c r="V719" s="3">
        <v>46007</v>
      </c>
      <c r="W719" s="2">
        <v>1132</v>
      </c>
      <c r="X719" s="2">
        <v>420</v>
      </c>
      <c r="Y719" s="2" t="s">
        <v>256</v>
      </c>
    </row>
    <row r="720" spans="2:25">
      <c r="B720" s="1">
        <v>46168</v>
      </c>
      <c r="C720" s="2">
        <v>572</v>
      </c>
      <c r="D720" s="2">
        <v>380</v>
      </c>
      <c r="E720" s="2" t="s">
        <v>255</v>
      </c>
      <c r="V720" s="3">
        <v>46007</v>
      </c>
      <c r="W720" s="215">
        <v>1131</v>
      </c>
      <c r="X720" s="215">
        <v>399</v>
      </c>
      <c r="Y720" s="2" t="s">
        <v>256</v>
      </c>
    </row>
    <row r="721" spans="2:25">
      <c r="B721" s="1">
        <v>46168</v>
      </c>
      <c r="C721" s="2">
        <v>507</v>
      </c>
      <c r="D721" s="2">
        <v>380</v>
      </c>
      <c r="E721" s="2" t="s">
        <v>255</v>
      </c>
      <c r="V721" s="3">
        <v>46007</v>
      </c>
      <c r="W721" s="215">
        <v>1130</v>
      </c>
      <c r="X721" s="215">
        <v>442</v>
      </c>
      <c r="Y721" s="2" t="s">
        <v>256</v>
      </c>
    </row>
    <row r="722" spans="2:25">
      <c r="B722" s="1">
        <v>46168</v>
      </c>
      <c r="C722" s="2">
        <v>103</v>
      </c>
      <c r="D722" s="2">
        <v>378</v>
      </c>
      <c r="E722" s="2" t="s">
        <v>255</v>
      </c>
      <c r="V722" s="3">
        <v>46007</v>
      </c>
      <c r="W722" s="2">
        <v>1127</v>
      </c>
      <c r="X722" s="2">
        <v>393</v>
      </c>
      <c r="Y722" s="2" t="s">
        <v>256</v>
      </c>
    </row>
    <row r="723" spans="2:25">
      <c r="B723" s="1">
        <v>46168</v>
      </c>
      <c r="C723" s="2">
        <v>834</v>
      </c>
      <c r="D723" s="2">
        <v>377</v>
      </c>
      <c r="E723" s="2" t="s">
        <v>255</v>
      </c>
      <c r="V723" s="3">
        <v>46007</v>
      </c>
      <c r="W723" s="2">
        <v>1126</v>
      </c>
      <c r="X723" s="2">
        <v>431</v>
      </c>
      <c r="Y723" s="2" t="s">
        <v>256</v>
      </c>
    </row>
    <row r="724" spans="2:25">
      <c r="B724" s="1">
        <v>46168</v>
      </c>
      <c r="C724" s="2">
        <v>739</v>
      </c>
      <c r="D724" s="2">
        <v>377</v>
      </c>
      <c r="E724" s="2" t="s">
        <v>255</v>
      </c>
      <c r="V724" s="3">
        <v>46007</v>
      </c>
      <c r="W724" s="215">
        <v>1125</v>
      </c>
      <c r="X724" s="215">
        <v>435</v>
      </c>
      <c r="Y724" s="2" t="s">
        <v>256</v>
      </c>
    </row>
    <row r="725" spans="2:25">
      <c r="B725" s="1">
        <v>46168</v>
      </c>
      <c r="C725" s="2">
        <v>675</v>
      </c>
      <c r="D725" s="2">
        <v>377</v>
      </c>
      <c r="E725" s="2" t="s">
        <v>255</v>
      </c>
      <c r="V725" s="3">
        <v>46007</v>
      </c>
      <c r="W725" s="2">
        <v>1124</v>
      </c>
      <c r="X725" s="2">
        <v>378</v>
      </c>
      <c r="Y725" s="2" t="s">
        <v>256</v>
      </c>
    </row>
    <row r="726" spans="2:25">
      <c r="B726" s="1">
        <v>46168</v>
      </c>
      <c r="C726" s="2">
        <v>431</v>
      </c>
      <c r="D726" s="2">
        <v>377</v>
      </c>
      <c r="E726" s="2" t="s">
        <v>255</v>
      </c>
      <c r="V726" s="3">
        <v>46007</v>
      </c>
      <c r="W726" s="215">
        <v>1124</v>
      </c>
      <c r="X726" s="215">
        <v>425</v>
      </c>
      <c r="Y726" s="2" t="s">
        <v>256</v>
      </c>
    </row>
    <row r="727" spans="2:25">
      <c r="B727" s="1">
        <v>46168</v>
      </c>
      <c r="C727" s="2">
        <v>972</v>
      </c>
      <c r="D727" s="2">
        <v>376</v>
      </c>
      <c r="E727" s="2" t="s">
        <v>255</v>
      </c>
      <c r="V727" s="3">
        <v>46007</v>
      </c>
      <c r="W727" s="215">
        <v>1123</v>
      </c>
      <c r="X727" s="215">
        <v>514</v>
      </c>
      <c r="Y727" s="2" t="s">
        <v>256</v>
      </c>
    </row>
    <row r="728" spans="2:25">
      <c r="B728" s="1">
        <v>46168</v>
      </c>
      <c r="C728" s="2">
        <v>771</v>
      </c>
      <c r="D728" s="2">
        <v>376</v>
      </c>
      <c r="E728" s="2" t="s">
        <v>255</v>
      </c>
      <c r="V728" s="3">
        <v>46007</v>
      </c>
      <c r="W728" s="215">
        <v>1122</v>
      </c>
      <c r="X728" s="215">
        <v>406</v>
      </c>
      <c r="Y728" s="2" t="s">
        <v>256</v>
      </c>
    </row>
    <row r="729" spans="2:25">
      <c r="B729" s="1">
        <v>46168</v>
      </c>
      <c r="C729" s="2">
        <v>462</v>
      </c>
      <c r="D729" s="2">
        <v>376</v>
      </c>
      <c r="E729" s="2" t="s">
        <v>255</v>
      </c>
      <c r="V729" s="3">
        <v>46007</v>
      </c>
      <c r="W729" s="215">
        <v>1121</v>
      </c>
      <c r="X729" s="215">
        <v>443</v>
      </c>
      <c r="Y729" s="2" t="s">
        <v>256</v>
      </c>
    </row>
    <row r="730" spans="2:25">
      <c r="B730" s="1">
        <v>46168</v>
      </c>
      <c r="C730" s="2">
        <v>380</v>
      </c>
      <c r="D730" s="2">
        <v>376</v>
      </c>
      <c r="E730" s="2" t="s">
        <v>255</v>
      </c>
      <c r="V730" s="3">
        <v>46007</v>
      </c>
      <c r="W730" s="215">
        <v>1120</v>
      </c>
      <c r="X730" s="215">
        <v>439</v>
      </c>
      <c r="Y730" s="2" t="s">
        <v>256</v>
      </c>
    </row>
    <row r="731" spans="2:25">
      <c r="B731" s="1">
        <v>46168</v>
      </c>
      <c r="C731" s="2">
        <v>778</v>
      </c>
      <c r="D731" s="2">
        <v>375</v>
      </c>
      <c r="E731" s="2" t="s">
        <v>255</v>
      </c>
      <c r="V731" s="3">
        <v>46007</v>
      </c>
      <c r="W731" s="215">
        <v>1119</v>
      </c>
      <c r="X731" s="215">
        <v>363</v>
      </c>
      <c r="Y731" s="2" t="s">
        <v>256</v>
      </c>
    </row>
    <row r="732" spans="2:25">
      <c r="B732" s="1">
        <v>46168</v>
      </c>
      <c r="C732" s="2">
        <v>491</v>
      </c>
      <c r="D732" s="2">
        <v>375</v>
      </c>
      <c r="E732" s="2" t="s">
        <v>255</v>
      </c>
      <c r="V732" s="3">
        <v>46007</v>
      </c>
      <c r="W732" s="215">
        <v>1118</v>
      </c>
      <c r="X732" s="215">
        <v>440</v>
      </c>
      <c r="Y732" s="2" t="s">
        <v>256</v>
      </c>
    </row>
    <row r="733" spans="2:25">
      <c r="B733" s="1">
        <v>46168</v>
      </c>
      <c r="C733" s="2">
        <v>464</v>
      </c>
      <c r="D733" s="2">
        <v>375</v>
      </c>
      <c r="E733" s="2" t="s">
        <v>255</v>
      </c>
      <c r="V733" s="3">
        <v>46007</v>
      </c>
      <c r="W733" s="215">
        <v>1117</v>
      </c>
      <c r="X733" s="215">
        <v>451</v>
      </c>
      <c r="Y733" s="2" t="s">
        <v>256</v>
      </c>
    </row>
    <row r="734" spans="2:25">
      <c r="B734" s="1">
        <v>46168</v>
      </c>
      <c r="C734" s="2">
        <v>821</v>
      </c>
      <c r="D734" s="2">
        <v>374</v>
      </c>
      <c r="E734" s="2" t="s">
        <v>255</v>
      </c>
      <c r="V734" s="3">
        <v>46007</v>
      </c>
      <c r="W734" s="215">
        <v>1116</v>
      </c>
      <c r="X734" s="215">
        <v>346</v>
      </c>
      <c r="Y734" s="2" t="s">
        <v>256</v>
      </c>
    </row>
    <row r="735" spans="2:25">
      <c r="B735" s="1">
        <v>46168</v>
      </c>
      <c r="C735" s="2">
        <v>820</v>
      </c>
      <c r="D735" s="2">
        <v>374</v>
      </c>
      <c r="E735" s="2" t="s">
        <v>255</v>
      </c>
      <c r="V735" s="3">
        <v>46007</v>
      </c>
      <c r="W735" s="215">
        <v>1115</v>
      </c>
      <c r="X735" s="215">
        <v>497</v>
      </c>
      <c r="Y735" s="2" t="s">
        <v>256</v>
      </c>
    </row>
    <row r="736" spans="2:25">
      <c r="B736" s="1">
        <v>46168</v>
      </c>
      <c r="C736" s="2">
        <v>807</v>
      </c>
      <c r="D736" s="2">
        <v>374</v>
      </c>
      <c r="E736" s="2" t="s">
        <v>255</v>
      </c>
      <c r="V736" s="3">
        <v>46007</v>
      </c>
      <c r="W736" s="2">
        <v>1114</v>
      </c>
      <c r="X736" s="2">
        <v>470</v>
      </c>
      <c r="Y736" s="2" t="s">
        <v>256</v>
      </c>
    </row>
    <row r="737" spans="2:25">
      <c r="B737" s="1">
        <v>46168</v>
      </c>
      <c r="C737" s="2">
        <v>615</v>
      </c>
      <c r="D737" s="2">
        <v>374</v>
      </c>
      <c r="E737" s="2" t="s">
        <v>255</v>
      </c>
      <c r="V737" s="3">
        <v>46007</v>
      </c>
      <c r="W737" s="2">
        <v>1113</v>
      </c>
      <c r="X737" s="2">
        <v>405</v>
      </c>
      <c r="Y737" s="2" t="s">
        <v>256</v>
      </c>
    </row>
    <row r="738" spans="2:25">
      <c r="B738" s="1">
        <v>46168</v>
      </c>
      <c r="C738" s="2">
        <v>1124</v>
      </c>
      <c r="D738" s="2">
        <v>373</v>
      </c>
      <c r="E738" s="2" t="s">
        <v>255</v>
      </c>
      <c r="V738" s="3">
        <v>46007</v>
      </c>
      <c r="W738" s="215">
        <v>1112</v>
      </c>
      <c r="X738" s="215">
        <v>445</v>
      </c>
      <c r="Y738" s="2" t="s">
        <v>256</v>
      </c>
    </row>
    <row r="739" spans="2:25">
      <c r="B739" s="1">
        <v>46168</v>
      </c>
      <c r="C739" s="2">
        <v>1113</v>
      </c>
      <c r="D739" s="2">
        <v>373</v>
      </c>
      <c r="E739" s="2" t="s">
        <v>255</v>
      </c>
      <c r="V739" s="3">
        <v>46007</v>
      </c>
      <c r="W739" s="215">
        <v>1111</v>
      </c>
      <c r="X739" s="215">
        <v>463</v>
      </c>
      <c r="Y739" s="2" t="s">
        <v>256</v>
      </c>
    </row>
    <row r="740" spans="2:25">
      <c r="B740" s="1">
        <v>46168</v>
      </c>
      <c r="C740" s="2">
        <v>777</v>
      </c>
      <c r="D740" s="2">
        <v>373</v>
      </c>
      <c r="E740" s="2" t="s">
        <v>255</v>
      </c>
      <c r="V740" s="3">
        <v>46007</v>
      </c>
      <c r="W740" s="215">
        <v>1110</v>
      </c>
      <c r="X740" s="215">
        <v>445</v>
      </c>
      <c r="Y740" s="2" t="s">
        <v>256</v>
      </c>
    </row>
    <row r="741" spans="2:25">
      <c r="B741" s="1">
        <v>46168</v>
      </c>
      <c r="C741" s="2">
        <v>651</v>
      </c>
      <c r="D741" s="2">
        <v>373</v>
      </c>
      <c r="E741" s="2" t="s">
        <v>255</v>
      </c>
      <c r="V741" s="3">
        <v>46007</v>
      </c>
      <c r="W741" s="215">
        <v>1109</v>
      </c>
      <c r="X741" s="215">
        <v>444</v>
      </c>
      <c r="Y741" s="2" t="s">
        <v>256</v>
      </c>
    </row>
    <row r="742" spans="2:25">
      <c r="B742" s="1">
        <v>46168</v>
      </c>
      <c r="C742" s="2">
        <v>641</v>
      </c>
      <c r="D742" s="2">
        <v>373</v>
      </c>
      <c r="E742" s="2" t="s">
        <v>255</v>
      </c>
      <c r="V742" s="3">
        <v>46007</v>
      </c>
      <c r="W742" s="2">
        <v>1108</v>
      </c>
      <c r="X742" s="2">
        <v>572</v>
      </c>
      <c r="Y742" s="2" t="s">
        <v>256</v>
      </c>
    </row>
    <row r="743" spans="2:25">
      <c r="B743" s="1">
        <v>46168</v>
      </c>
      <c r="C743" s="2">
        <v>924</v>
      </c>
      <c r="D743" s="2">
        <v>372</v>
      </c>
      <c r="E743" s="2" t="s">
        <v>255</v>
      </c>
      <c r="V743" s="3">
        <v>46007</v>
      </c>
      <c r="W743" s="215">
        <v>1106</v>
      </c>
      <c r="X743" s="215">
        <v>387</v>
      </c>
      <c r="Y743" s="2" t="s">
        <v>256</v>
      </c>
    </row>
    <row r="744" spans="2:25">
      <c r="B744" s="1">
        <v>46168</v>
      </c>
      <c r="C744" s="2">
        <v>504</v>
      </c>
      <c r="D744" s="2">
        <v>372</v>
      </c>
      <c r="E744" s="2" t="s">
        <v>255</v>
      </c>
      <c r="V744" s="3">
        <v>46007</v>
      </c>
      <c r="W744" s="215">
        <v>1105</v>
      </c>
      <c r="X744" s="215">
        <v>467</v>
      </c>
      <c r="Y744" s="2" t="s">
        <v>256</v>
      </c>
    </row>
    <row r="745" spans="2:25">
      <c r="B745" s="1">
        <v>46168</v>
      </c>
      <c r="C745" s="2">
        <v>377</v>
      </c>
      <c r="D745" s="2">
        <v>372</v>
      </c>
      <c r="E745" s="2" t="s">
        <v>255</v>
      </c>
      <c r="V745" s="3">
        <v>46007</v>
      </c>
      <c r="W745" s="215">
        <v>1104</v>
      </c>
      <c r="X745" s="215">
        <v>479</v>
      </c>
      <c r="Y745" s="2" t="s">
        <v>256</v>
      </c>
    </row>
    <row r="746" spans="2:25">
      <c r="B746" s="1">
        <v>46168</v>
      </c>
      <c r="C746" s="2">
        <v>1074</v>
      </c>
      <c r="D746" s="2">
        <v>371</v>
      </c>
      <c r="E746" s="2" t="s">
        <v>255</v>
      </c>
      <c r="V746" s="3">
        <v>46007</v>
      </c>
      <c r="W746" s="215">
        <v>1103</v>
      </c>
      <c r="X746" s="215">
        <v>426</v>
      </c>
      <c r="Y746" s="2" t="s">
        <v>256</v>
      </c>
    </row>
    <row r="747" spans="2:25">
      <c r="B747" s="1">
        <v>46168</v>
      </c>
      <c r="C747" s="2">
        <v>900</v>
      </c>
      <c r="D747" s="2">
        <v>371</v>
      </c>
      <c r="E747" s="2" t="s">
        <v>255</v>
      </c>
      <c r="V747" s="3">
        <v>46007</v>
      </c>
      <c r="W747" s="215">
        <v>1102</v>
      </c>
      <c r="X747" s="215">
        <v>451</v>
      </c>
      <c r="Y747" s="2" t="s">
        <v>256</v>
      </c>
    </row>
    <row r="748" spans="2:25">
      <c r="B748" s="1">
        <v>46168</v>
      </c>
      <c r="C748" s="2">
        <v>660</v>
      </c>
      <c r="D748" s="2">
        <v>371</v>
      </c>
      <c r="E748" s="2" t="s">
        <v>255</v>
      </c>
      <c r="V748" s="3">
        <v>46007</v>
      </c>
      <c r="W748" s="215">
        <v>1101</v>
      </c>
      <c r="X748" s="215">
        <v>472</v>
      </c>
      <c r="Y748" s="2" t="s">
        <v>256</v>
      </c>
    </row>
    <row r="749" spans="2:25">
      <c r="B749" s="1">
        <v>46168</v>
      </c>
      <c r="C749" s="2">
        <v>427</v>
      </c>
      <c r="D749" s="2">
        <v>371</v>
      </c>
      <c r="E749" s="2" t="s">
        <v>255</v>
      </c>
      <c r="V749" s="3">
        <v>46007</v>
      </c>
      <c r="W749" s="215">
        <v>1100</v>
      </c>
      <c r="X749" s="215">
        <v>495</v>
      </c>
      <c r="Y749" s="2" t="s">
        <v>256</v>
      </c>
    </row>
    <row r="750" spans="2:25">
      <c r="B750" s="1">
        <v>46168</v>
      </c>
      <c r="C750" s="2">
        <v>426</v>
      </c>
      <c r="D750" s="2">
        <v>371</v>
      </c>
      <c r="E750" s="2" t="s">
        <v>255</v>
      </c>
      <c r="V750" s="3">
        <v>46007</v>
      </c>
      <c r="W750" s="215">
        <v>1099</v>
      </c>
      <c r="X750" s="215">
        <v>421</v>
      </c>
      <c r="Y750" s="2" t="s">
        <v>256</v>
      </c>
    </row>
    <row r="751" spans="2:25">
      <c r="B751" s="1">
        <v>46168</v>
      </c>
      <c r="C751" s="2">
        <v>350</v>
      </c>
      <c r="D751" s="2">
        <v>371</v>
      </c>
      <c r="E751" s="2" t="s">
        <v>255</v>
      </c>
      <c r="V751" s="3">
        <v>46007</v>
      </c>
      <c r="W751" s="215">
        <v>1098</v>
      </c>
      <c r="X751" s="215">
        <v>437</v>
      </c>
      <c r="Y751" s="2" t="s">
        <v>256</v>
      </c>
    </row>
    <row r="752" spans="2:25">
      <c r="B752" s="1">
        <v>46168</v>
      </c>
      <c r="C752" s="2">
        <v>773</v>
      </c>
      <c r="D752" s="2">
        <v>370</v>
      </c>
      <c r="E752" s="2" t="s">
        <v>255</v>
      </c>
      <c r="V752" s="3">
        <v>46007</v>
      </c>
      <c r="W752" s="215">
        <v>1097</v>
      </c>
      <c r="X752" s="215">
        <v>446</v>
      </c>
      <c r="Y752" s="2" t="s">
        <v>256</v>
      </c>
    </row>
    <row r="753" spans="2:25">
      <c r="B753" s="1">
        <v>46168</v>
      </c>
      <c r="C753" s="2">
        <v>460</v>
      </c>
      <c r="D753" s="2">
        <v>370</v>
      </c>
      <c r="E753" s="2" t="s">
        <v>255</v>
      </c>
      <c r="V753" s="3">
        <v>46007</v>
      </c>
      <c r="W753" s="215">
        <v>1096</v>
      </c>
      <c r="X753" s="215">
        <v>460</v>
      </c>
      <c r="Y753" s="2" t="s">
        <v>256</v>
      </c>
    </row>
    <row r="754" spans="2:25">
      <c r="B754" s="1">
        <v>46168</v>
      </c>
      <c r="C754" s="2">
        <v>452</v>
      </c>
      <c r="D754" s="2">
        <v>368</v>
      </c>
      <c r="E754" s="2" t="s">
        <v>255</v>
      </c>
      <c r="V754" s="3">
        <v>46007</v>
      </c>
      <c r="W754" s="2">
        <v>1095</v>
      </c>
      <c r="X754" s="2">
        <v>482</v>
      </c>
      <c r="Y754" s="2" t="s">
        <v>256</v>
      </c>
    </row>
    <row r="755" spans="2:25">
      <c r="B755" s="1">
        <v>46168</v>
      </c>
      <c r="C755" s="2">
        <v>305</v>
      </c>
      <c r="D755" s="2">
        <v>368</v>
      </c>
      <c r="E755" s="2" t="s">
        <v>255</v>
      </c>
      <c r="V755" s="3">
        <v>46007</v>
      </c>
      <c r="W755" s="215">
        <v>1093</v>
      </c>
      <c r="X755" s="215">
        <v>410</v>
      </c>
      <c r="Y755" s="2" t="s">
        <v>256</v>
      </c>
    </row>
    <row r="756" spans="2:25">
      <c r="B756" s="1">
        <v>46168</v>
      </c>
      <c r="C756" s="2">
        <v>1004</v>
      </c>
      <c r="D756" s="2">
        <v>367</v>
      </c>
      <c r="E756" s="2" t="s">
        <v>255</v>
      </c>
      <c r="V756" s="3">
        <v>46007</v>
      </c>
      <c r="W756" s="2">
        <v>1092</v>
      </c>
      <c r="X756" s="2">
        <v>401</v>
      </c>
      <c r="Y756" s="2" t="s">
        <v>256</v>
      </c>
    </row>
    <row r="757" spans="2:25">
      <c r="B757" s="1">
        <v>46168</v>
      </c>
      <c r="C757" s="2">
        <v>987</v>
      </c>
      <c r="D757" s="2">
        <v>367</v>
      </c>
      <c r="E757" s="2" t="s">
        <v>255</v>
      </c>
      <c r="V757" s="3">
        <v>46007</v>
      </c>
      <c r="W757" s="2">
        <v>1091</v>
      </c>
      <c r="X757" s="2">
        <v>526</v>
      </c>
      <c r="Y757" s="2" t="s">
        <v>256</v>
      </c>
    </row>
    <row r="758" spans="2:25">
      <c r="B758" s="1">
        <v>46168</v>
      </c>
      <c r="C758" s="2">
        <v>656</v>
      </c>
      <c r="D758" s="2">
        <v>367</v>
      </c>
      <c r="E758" s="2" t="s">
        <v>255</v>
      </c>
      <c r="V758" s="3">
        <v>46007</v>
      </c>
      <c r="W758" s="215">
        <v>1089</v>
      </c>
      <c r="X758" s="215">
        <v>461</v>
      </c>
      <c r="Y758" s="2" t="s">
        <v>256</v>
      </c>
    </row>
    <row r="759" spans="2:25">
      <c r="B759" s="1">
        <v>46168</v>
      </c>
      <c r="C759" s="2">
        <v>551</v>
      </c>
      <c r="D759" s="2">
        <v>367</v>
      </c>
      <c r="E759" s="2" t="s">
        <v>255</v>
      </c>
      <c r="V759" s="3">
        <v>46007</v>
      </c>
      <c r="W759" s="2">
        <v>1088</v>
      </c>
      <c r="X759" s="2">
        <v>535</v>
      </c>
      <c r="Y759" s="2" t="s">
        <v>256</v>
      </c>
    </row>
    <row r="760" spans="2:25">
      <c r="B760" s="1">
        <v>46168</v>
      </c>
      <c r="C760" s="2">
        <v>457</v>
      </c>
      <c r="D760" s="2">
        <v>367</v>
      </c>
      <c r="E760" s="2" t="s">
        <v>255</v>
      </c>
      <c r="V760" s="3">
        <v>46007</v>
      </c>
      <c r="W760" s="2">
        <v>1087</v>
      </c>
      <c r="X760" s="2">
        <v>512</v>
      </c>
      <c r="Y760" s="2" t="s">
        <v>256</v>
      </c>
    </row>
    <row r="761" spans="2:25">
      <c r="B761" s="1">
        <v>46168</v>
      </c>
      <c r="C761" s="2">
        <v>678</v>
      </c>
      <c r="D761" s="2">
        <v>366</v>
      </c>
      <c r="E761" s="2" t="s">
        <v>255</v>
      </c>
      <c r="V761" s="3">
        <v>46007</v>
      </c>
      <c r="W761" s="215">
        <v>1086</v>
      </c>
      <c r="X761" s="215">
        <v>398</v>
      </c>
      <c r="Y761" s="2" t="s">
        <v>256</v>
      </c>
    </row>
    <row r="762" spans="2:25">
      <c r="B762" s="1">
        <v>46168</v>
      </c>
      <c r="C762" s="2">
        <v>336</v>
      </c>
      <c r="D762" s="2">
        <v>366</v>
      </c>
      <c r="E762" s="2" t="s">
        <v>255</v>
      </c>
      <c r="V762" s="3">
        <v>46007</v>
      </c>
      <c r="W762" s="215">
        <v>1084</v>
      </c>
      <c r="X762" s="215">
        <v>486</v>
      </c>
      <c r="Y762" s="2" t="s">
        <v>256</v>
      </c>
    </row>
    <row r="763" spans="2:25">
      <c r="B763" s="1">
        <v>46168</v>
      </c>
      <c r="C763" s="2">
        <v>1110</v>
      </c>
      <c r="D763" s="2">
        <v>365</v>
      </c>
      <c r="E763" s="2" t="s">
        <v>255</v>
      </c>
      <c r="V763" s="3">
        <v>46007</v>
      </c>
      <c r="W763" s="2">
        <v>1082</v>
      </c>
      <c r="X763" s="2">
        <v>519</v>
      </c>
      <c r="Y763" s="2" t="s">
        <v>256</v>
      </c>
    </row>
    <row r="764" spans="2:25">
      <c r="B764" s="1">
        <v>46168</v>
      </c>
      <c r="C764" s="2">
        <v>1077</v>
      </c>
      <c r="D764" s="2">
        <v>365</v>
      </c>
      <c r="E764" s="2" t="s">
        <v>255</v>
      </c>
      <c r="V764" s="3">
        <v>46007</v>
      </c>
      <c r="W764" s="215">
        <v>1081</v>
      </c>
      <c r="X764" s="215">
        <v>458</v>
      </c>
      <c r="Y764" s="2" t="s">
        <v>256</v>
      </c>
    </row>
    <row r="765" spans="2:25">
      <c r="B765" s="1">
        <v>46168</v>
      </c>
      <c r="C765" s="2">
        <v>787</v>
      </c>
      <c r="D765" s="2">
        <v>365</v>
      </c>
      <c r="E765" s="2" t="s">
        <v>255</v>
      </c>
      <c r="V765" s="3">
        <v>46007</v>
      </c>
      <c r="W765" s="215">
        <v>1080</v>
      </c>
      <c r="X765" s="215">
        <v>370</v>
      </c>
      <c r="Y765" s="2" t="s">
        <v>256</v>
      </c>
    </row>
    <row r="766" spans="2:25">
      <c r="B766" s="1">
        <v>46168</v>
      </c>
      <c r="C766" s="2">
        <v>755</v>
      </c>
      <c r="D766" s="2">
        <v>365</v>
      </c>
      <c r="E766" s="2" t="s">
        <v>255</v>
      </c>
      <c r="V766" s="3">
        <v>46007</v>
      </c>
      <c r="W766" s="2">
        <v>1079</v>
      </c>
      <c r="X766" s="2">
        <v>467</v>
      </c>
      <c r="Y766" s="2" t="s">
        <v>256</v>
      </c>
    </row>
    <row r="767" spans="2:25">
      <c r="B767" s="1">
        <v>46168</v>
      </c>
      <c r="C767" s="2">
        <v>447</v>
      </c>
      <c r="D767" s="2">
        <v>365</v>
      </c>
      <c r="E767" s="2" t="s">
        <v>255</v>
      </c>
      <c r="V767" s="3">
        <v>46007</v>
      </c>
      <c r="W767" s="215">
        <v>1078</v>
      </c>
      <c r="X767" s="215">
        <v>458</v>
      </c>
      <c r="Y767" s="2" t="s">
        <v>256</v>
      </c>
    </row>
    <row r="768" spans="2:25">
      <c r="B768" s="1">
        <v>46168</v>
      </c>
      <c r="C768" s="2">
        <v>317</v>
      </c>
      <c r="D768" s="2">
        <v>365</v>
      </c>
      <c r="E768" s="2" t="s">
        <v>255</v>
      </c>
      <c r="V768" s="3">
        <v>46007</v>
      </c>
      <c r="W768" s="2">
        <v>1077</v>
      </c>
      <c r="X768" s="2">
        <v>440</v>
      </c>
      <c r="Y768" s="2" t="s">
        <v>256</v>
      </c>
    </row>
    <row r="769" spans="2:25">
      <c r="B769" s="1">
        <v>46168</v>
      </c>
      <c r="C769" s="2">
        <v>916</v>
      </c>
      <c r="D769" s="2">
        <v>364</v>
      </c>
      <c r="E769" s="2" t="s">
        <v>255</v>
      </c>
      <c r="V769" s="3">
        <v>46007</v>
      </c>
      <c r="W769" s="215">
        <v>1075</v>
      </c>
      <c r="X769" s="215">
        <v>498</v>
      </c>
      <c r="Y769" s="2" t="s">
        <v>256</v>
      </c>
    </row>
    <row r="770" spans="2:25">
      <c r="B770" s="1">
        <v>46168</v>
      </c>
      <c r="C770" s="2">
        <v>810</v>
      </c>
      <c r="D770" s="2">
        <v>364</v>
      </c>
      <c r="E770" s="2" t="s">
        <v>255</v>
      </c>
      <c r="V770" s="3">
        <v>46007</v>
      </c>
      <c r="W770" s="2">
        <v>1073</v>
      </c>
      <c r="X770" s="2">
        <v>500</v>
      </c>
      <c r="Y770" s="2" t="s">
        <v>256</v>
      </c>
    </row>
    <row r="771" spans="2:25">
      <c r="B771" s="1">
        <v>46168</v>
      </c>
      <c r="C771" s="2">
        <v>745</v>
      </c>
      <c r="D771" s="2">
        <v>364</v>
      </c>
      <c r="E771" s="2" t="s">
        <v>255</v>
      </c>
      <c r="V771" s="3">
        <v>46007</v>
      </c>
      <c r="W771" s="215">
        <v>1072</v>
      </c>
      <c r="X771" s="215">
        <v>399</v>
      </c>
      <c r="Y771" s="2" t="s">
        <v>256</v>
      </c>
    </row>
    <row r="772" spans="2:25">
      <c r="B772" s="1">
        <v>46168</v>
      </c>
      <c r="C772" s="2">
        <v>1134</v>
      </c>
      <c r="D772" s="2">
        <v>363</v>
      </c>
      <c r="E772" s="2" t="s">
        <v>255</v>
      </c>
      <c r="V772" s="3">
        <v>46007</v>
      </c>
      <c r="W772" s="215">
        <v>1071</v>
      </c>
      <c r="X772" s="215">
        <v>349</v>
      </c>
      <c r="Y772" s="2" t="s">
        <v>256</v>
      </c>
    </row>
    <row r="773" spans="2:25">
      <c r="B773" s="1">
        <v>46168</v>
      </c>
      <c r="C773" s="2">
        <v>1031</v>
      </c>
      <c r="D773" s="2">
        <v>363</v>
      </c>
      <c r="E773" s="2" t="s">
        <v>255</v>
      </c>
      <c r="V773" s="3">
        <v>46007</v>
      </c>
      <c r="W773" s="2">
        <v>1070</v>
      </c>
      <c r="X773" s="2">
        <v>355</v>
      </c>
      <c r="Y773" s="2" t="s">
        <v>256</v>
      </c>
    </row>
    <row r="774" spans="2:25">
      <c r="B774" s="1">
        <v>46168</v>
      </c>
      <c r="C774" s="2">
        <v>797</v>
      </c>
      <c r="D774" s="2">
        <v>363</v>
      </c>
      <c r="E774" s="2" t="s">
        <v>255</v>
      </c>
      <c r="V774" s="3">
        <v>46007</v>
      </c>
      <c r="W774" s="2">
        <v>1069</v>
      </c>
      <c r="X774" s="2">
        <v>441</v>
      </c>
      <c r="Y774" s="2" t="s">
        <v>256</v>
      </c>
    </row>
    <row r="775" spans="2:25">
      <c r="B775" s="1">
        <v>46168</v>
      </c>
      <c r="C775" s="2">
        <v>708</v>
      </c>
      <c r="D775" s="2">
        <v>362</v>
      </c>
      <c r="E775" s="2" t="s">
        <v>255</v>
      </c>
      <c r="V775" s="3">
        <v>46007</v>
      </c>
      <c r="W775" s="215">
        <v>1068</v>
      </c>
      <c r="X775" s="215">
        <v>425</v>
      </c>
      <c r="Y775" s="2" t="s">
        <v>256</v>
      </c>
    </row>
    <row r="776" spans="2:25">
      <c r="B776" s="1">
        <v>46168</v>
      </c>
      <c r="C776" s="2">
        <v>322</v>
      </c>
      <c r="D776" s="2">
        <v>362</v>
      </c>
      <c r="E776" s="2" t="s">
        <v>255</v>
      </c>
      <c r="V776" s="3">
        <v>46007</v>
      </c>
      <c r="W776" s="2">
        <v>1066</v>
      </c>
      <c r="X776" s="2">
        <v>442</v>
      </c>
      <c r="Y776" s="2" t="s">
        <v>256</v>
      </c>
    </row>
    <row r="777" spans="2:25">
      <c r="B777" s="1">
        <v>46168</v>
      </c>
      <c r="C777" s="2">
        <v>977</v>
      </c>
      <c r="D777" s="2">
        <v>361</v>
      </c>
      <c r="E777" s="2" t="s">
        <v>255</v>
      </c>
      <c r="V777" s="3">
        <v>46007</v>
      </c>
      <c r="W777" s="215">
        <v>1065</v>
      </c>
      <c r="X777" s="215">
        <v>477</v>
      </c>
      <c r="Y777" s="2" t="s">
        <v>256</v>
      </c>
    </row>
    <row r="778" spans="2:25">
      <c r="B778" s="1">
        <v>46168</v>
      </c>
      <c r="C778" s="2">
        <v>590</v>
      </c>
      <c r="D778" s="2">
        <v>361</v>
      </c>
      <c r="E778" s="2" t="s">
        <v>255</v>
      </c>
      <c r="V778" s="3">
        <v>46007</v>
      </c>
      <c r="W778" s="2">
        <v>1063</v>
      </c>
      <c r="X778" s="2">
        <v>526</v>
      </c>
      <c r="Y778" s="2" t="s">
        <v>256</v>
      </c>
    </row>
    <row r="779" spans="2:25">
      <c r="B779" s="1">
        <v>46168</v>
      </c>
      <c r="C779" s="2">
        <v>379</v>
      </c>
      <c r="D779" s="2">
        <v>361</v>
      </c>
      <c r="E779" s="2" t="s">
        <v>255</v>
      </c>
      <c r="V779" s="3">
        <v>46007</v>
      </c>
      <c r="W779" s="2">
        <v>1062</v>
      </c>
      <c r="X779" s="2">
        <v>487</v>
      </c>
      <c r="Y779" s="2" t="s">
        <v>256</v>
      </c>
    </row>
    <row r="780" spans="2:25">
      <c r="B780" s="1">
        <v>46168</v>
      </c>
      <c r="C780" s="2">
        <v>1005</v>
      </c>
      <c r="D780" s="2">
        <v>360</v>
      </c>
      <c r="E780" s="2" t="s">
        <v>255</v>
      </c>
      <c r="V780" s="3">
        <v>46007</v>
      </c>
      <c r="W780" s="2">
        <v>1060</v>
      </c>
      <c r="X780" s="2">
        <v>367</v>
      </c>
      <c r="Y780" s="2" t="s">
        <v>256</v>
      </c>
    </row>
    <row r="781" spans="2:25">
      <c r="B781" s="1">
        <v>46168</v>
      </c>
      <c r="C781" s="2">
        <v>627</v>
      </c>
      <c r="D781" s="2">
        <v>360</v>
      </c>
      <c r="E781" s="2" t="s">
        <v>255</v>
      </c>
      <c r="V781" s="3">
        <v>46007</v>
      </c>
      <c r="W781" s="2">
        <v>1059</v>
      </c>
      <c r="X781" s="2">
        <v>420</v>
      </c>
      <c r="Y781" s="2" t="s">
        <v>256</v>
      </c>
    </row>
    <row r="782" spans="2:25">
      <c r="B782" s="1">
        <v>46168</v>
      </c>
      <c r="C782" s="2">
        <v>566</v>
      </c>
      <c r="D782" s="2">
        <v>360</v>
      </c>
      <c r="E782" s="2" t="s">
        <v>255</v>
      </c>
      <c r="V782" s="3">
        <v>46007</v>
      </c>
      <c r="W782" s="215">
        <v>1057</v>
      </c>
      <c r="X782" s="215">
        <v>398</v>
      </c>
      <c r="Y782" s="2" t="s">
        <v>256</v>
      </c>
    </row>
    <row r="783" spans="2:25">
      <c r="B783" s="1">
        <v>46168</v>
      </c>
      <c r="C783" s="2">
        <v>1026</v>
      </c>
      <c r="D783" s="2">
        <v>358</v>
      </c>
      <c r="E783" s="2" t="s">
        <v>255</v>
      </c>
      <c r="V783" s="3">
        <v>46007</v>
      </c>
      <c r="W783" s="215">
        <v>1056</v>
      </c>
      <c r="X783" s="215">
        <v>529</v>
      </c>
      <c r="Y783" s="2" t="s">
        <v>256</v>
      </c>
    </row>
    <row r="784" spans="2:25">
      <c r="B784" s="1">
        <v>46168</v>
      </c>
      <c r="C784" s="2">
        <v>535</v>
      </c>
      <c r="D784" s="2">
        <v>357</v>
      </c>
      <c r="E784" s="2" t="s">
        <v>255</v>
      </c>
      <c r="V784" s="3">
        <v>46007</v>
      </c>
      <c r="W784" s="215">
        <v>1055</v>
      </c>
      <c r="X784" s="215">
        <v>449</v>
      </c>
      <c r="Y784" s="2" t="s">
        <v>256</v>
      </c>
    </row>
    <row r="785" spans="2:25">
      <c r="B785" s="1">
        <v>46168</v>
      </c>
      <c r="C785" s="2">
        <v>542</v>
      </c>
      <c r="D785" s="2">
        <v>356</v>
      </c>
      <c r="E785" s="2" t="s">
        <v>255</v>
      </c>
      <c r="V785" s="3">
        <v>46007</v>
      </c>
      <c r="W785" s="215">
        <v>1054</v>
      </c>
      <c r="X785" s="215">
        <v>453</v>
      </c>
      <c r="Y785" s="2" t="s">
        <v>256</v>
      </c>
    </row>
    <row r="786" spans="2:25">
      <c r="B786" s="1">
        <v>46168</v>
      </c>
      <c r="C786" s="2">
        <v>541</v>
      </c>
      <c r="D786" s="2">
        <v>356</v>
      </c>
      <c r="E786" s="2" t="s">
        <v>255</v>
      </c>
      <c r="V786" s="3">
        <v>46007</v>
      </c>
      <c r="W786" s="215">
        <v>1053</v>
      </c>
      <c r="X786" s="215">
        <v>357</v>
      </c>
      <c r="Y786" s="2" t="s">
        <v>256</v>
      </c>
    </row>
    <row r="787" spans="2:25">
      <c r="B787" s="1">
        <v>46168</v>
      </c>
      <c r="C787" s="2">
        <v>376</v>
      </c>
      <c r="D787" s="2">
        <v>356</v>
      </c>
      <c r="E787" s="2" t="s">
        <v>255</v>
      </c>
      <c r="V787" s="3">
        <v>46007</v>
      </c>
      <c r="W787" s="215">
        <v>1051</v>
      </c>
      <c r="X787" s="215">
        <v>411</v>
      </c>
      <c r="Y787" s="2" t="s">
        <v>256</v>
      </c>
    </row>
    <row r="788" spans="2:25">
      <c r="B788" s="1">
        <v>46168</v>
      </c>
      <c r="C788" s="2">
        <v>354</v>
      </c>
      <c r="D788" s="2">
        <v>356</v>
      </c>
      <c r="E788" s="2" t="s">
        <v>255</v>
      </c>
      <c r="V788" s="3">
        <v>46007</v>
      </c>
      <c r="W788" s="2">
        <v>1050</v>
      </c>
      <c r="X788" s="2">
        <v>453</v>
      </c>
      <c r="Y788" s="2" t="s">
        <v>256</v>
      </c>
    </row>
    <row r="789" spans="2:25">
      <c r="B789" s="1">
        <v>46168</v>
      </c>
      <c r="C789" s="2">
        <v>687</v>
      </c>
      <c r="D789" s="2">
        <v>355</v>
      </c>
      <c r="E789" s="2" t="s">
        <v>255</v>
      </c>
      <c r="V789" s="3">
        <v>46007</v>
      </c>
      <c r="W789" s="215">
        <v>1049</v>
      </c>
      <c r="X789" s="215">
        <v>476</v>
      </c>
      <c r="Y789" s="2" t="s">
        <v>256</v>
      </c>
    </row>
    <row r="790" spans="2:25">
      <c r="B790" s="1">
        <v>46168</v>
      </c>
      <c r="C790" s="2">
        <v>524</v>
      </c>
      <c r="D790" s="2">
        <v>355</v>
      </c>
      <c r="E790" s="2" t="s">
        <v>255</v>
      </c>
      <c r="V790" s="3">
        <v>46007</v>
      </c>
      <c r="W790" s="215">
        <v>1048</v>
      </c>
      <c r="X790" s="215">
        <v>443</v>
      </c>
      <c r="Y790" s="2" t="s">
        <v>256</v>
      </c>
    </row>
    <row r="791" spans="2:25">
      <c r="B791" s="1">
        <v>46168</v>
      </c>
      <c r="C791" s="2">
        <v>669</v>
      </c>
      <c r="D791" s="2">
        <v>354</v>
      </c>
      <c r="E791" s="2" t="s">
        <v>255</v>
      </c>
      <c r="V791" s="3">
        <v>46007</v>
      </c>
      <c r="W791" s="2">
        <v>1047</v>
      </c>
      <c r="X791" s="2">
        <v>399</v>
      </c>
      <c r="Y791" s="2" t="s">
        <v>256</v>
      </c>
    </row>
    <row r="792" spans="2:25">
      <c r="B792" s="1">
        <v>46168</v>
      </c>
      <c r="C792" s="2">
        <v>372</v>
      </c>
      <c r="D792" s="2">
        <v>354</v>
      </c>
      <c r="E792" s="2" t="s">
        <v>255</v>
      </c>
      <c r="V792" s="3">
        <v>46007</v>
      </c>
      <c r="W792" s="2">
        <v>1046</v>
      </c>
      <c r="X792" s="2">
        <v>518</v>
      </c>
      <c r="Y792" s="2" t="s">
        <v>256</v>
      </c>
    </row>
    <row r="793" spans="2:25">
      <c r="B793" s="1">
        <v>46168</v>
      </c>
      <c r="C793" s="2">
        <v>610</v>
      </c>
      <c r="D793" s="2">
        <v>353</v>
      </c>
      <c r="E793" s="2" t="s">
        <v>255</v>
      </c>
      <c r="V793" s="3">
        <v>46007</v>
      </c>
      <c r="W793" s="215">
        <v>1044</v>
      </c>
      <c r="X793" s="215">
        <v>457</v>
      </c>
      <c r="Y793" s="2" t="s">
        <v>256</v>
      </c>
    </row>
    <row r="794" spans="2:25">
      <c r="B794" s="1">
        <v>46168</v>
      </c>
      <c r="C794" s="2">
        <v>805</v>
      </c>
      <c r="D794" s="2">
        <v>351</v>
      </c>
      <c r="E794" s="2" t="s">
        <v>255</v>
      </c>
      <c r="V794" s="3">
        <v>46007</v>
      </c>
      <c r="W794" s="2">
        <v>1043</v>
      </c>
      <c r="X794" s="2">
        <v>415</v>
      </c>
      <c r="Y794" s="2" t="s">
        <v>256</v>
      </c>
    </row>
    <row r="795" spans="2:25">
      <c r="B795" s="1">
        <v>46168</v>
      </c>
      <c r="C795" s="2">
        <v>493</v>
      </c>
      <c r="D795" s="2">
        <v>351</v>
      </c>
      <c r="E795" s="2" t="s">
        <v>255</v>
      </c>
      <c r="V795" s="3">
        <v>46007</v>
      </c>
      <c r="W795" s="215">
        <v>1041</v>
      </c>
      <c r="X795" s="215">
        <v>472</v>
      </c>
      <c r="Y795" s="2" t="s">
        <v>256</v>
      </c>
    </row>
    <row r="796" spans="2:25">
      <c r="B796" s="1">
        <v>46168</v>
      </c>
      <c r="C796" s="2">
        <v>906</v>
      </c>
      <c r="D796" s="2">
        <v>350</v>
      </c>
      <c r="E796" s="2" t="s">
        <v>255</v>
      </c>
      <c r="V796" s="3">
        <v>46007</v>
      </c>
      <c r="W796" s="2">
        <v>1039</v>
      </c>
      <c r="X796" s="2">
        <v>231</v>
      </c>
      <c r="Y796" s="2" t="s">
        <v>256</v>
      </c>
    </row>
    <row r="797" spans="2:25">
      <c r="B797" s="1">
        <v>46168</v>
      </c>
      <c r="C797" s="2">
        <v>827</v>
      </c>
      <c r="D797" s="2">
        <v>350</v>
      </c>
      <c r="E797" s="2" t="s">
        <v>255</v>
      </c>
      <c r="V797" s="3">
        <v>46007</v>
      </c>
      <c r="W797" s="215">
        <v>1038</v>
      </c>
      <c r="X797" s="215">
        <v>447</v>
      </c>
      <c r="Y797" s="2" t="s">
        <v>256</v>
      </c>
    </row>
    <row r="798" spans="2:25">
      <c r="B798" s="1">
        <v>46168</v>
      </c>
      <c r="C798" s="2">
        <v>793</v>
      </c>
      <c r="D798" s="2">
        <v>350</v>
      </c>
      <c r="E798" s="2" t="s">
        <v>255</v>
      </c>
      <c r="V798" s="3">
        <v>46007</v>
      </c>
      <c r="W798" s="215">
        <v>1037</v>
      </c>
      <c r="X798" s="215">
        <v>491</v>
      </c>
      <c r="Y798" s="2" t="s">
        <v>256</v>
      </c>
    </row>
    <row r="799" spans="2:25">
      <c r="B799" s="1">
        <v>46168</v>
      </c>
      <c r="C799" s="2">
        <v>711</v>
      </c>
      <c r="D799" s="2">
        <v>350</v>
      </c>
      <c r="E799" s="2" t="s">
        <v>255</v>
      </c>
      <c r="V799" s="3">
        <v>46007</v>
      </c>
      <c r="W799" s="2">
        <v>1034</v>
      </c>
      <c r="X799" s="2">
        <v>453</v>
      </c>
      <c r="Y799" s="2" t="s">
        <v>256</v>
      </c>
    </row>
    <row r="800" spans="2:25">
      <c r="B800" s="1">
        <v>46168</v>
      </c>
      <c r="C800" s="2">
        <v>765</v>
      </c>
      <c r="D800" s="2">
        <v>349</v>
      </c>
      <c r="E800" s="2" t="s">
        <v>255</v>
      </c>
      <c r="V800" s="3">
        <v>46007</v>
      </c>
      <c r="W800" s="215">
        <v>1032</v>
      </c>
      <c r="X800" s="215">
        <v>449</v>
      </c>
      <c r="Y800" s="2" t="s">
        <v>256</v>
      </c>
    </row>
    <row r="801" spans="2:25">
      <c r="B801" s="1">
        <v>46168</v>
      </c>
      <c r="C801" s="2">
        <v>346</v>
      </c>
      <c r="D801" s="2">
        <v>349</v>
      </c>
      <c r="E801" s="2" t="s">
        <v>255</v>
      </c>
      <c r="V801" s="3">
        <v>46007</v>
      </c>
      <c r="W801" s="215">
        <v>1031</v>
      </c>
      <c r="X801" s="215">
        <v>397</v>
      </c>
      <c r="Y801" s="2" t="s">
        <v>256</v>
      </c>
    </row>
    <row r="802" spans="2:25">
      <c r="B802" s="1">
        <v>46168</v>
      </c>
      <c r="C802" s="2">
        <v>774</v>
      </c>
      <c r="D802" s="2">
        <v>348</v>
      </c>
      <c r="E802" s="2" t="s">
        <v>255</v>
      </c>
      <c r="V802" s="3">
        <v>46007</v>
      </c>
      <c r="W802" s="215">
        <v>1028</v>
      </c>
      <c r="X802" s="215">
        <v>431</v>
      </c>
      <c r="Y802" s="2" t="s">
        <v>256</v>
      </c>
    </row>
    <row r="803" spans="2:25">
      <c r="B803" s="1">
        <v>46168</v>
      </c>
      <c r="C803" s="2">
        <v>306</v>
      </c>
      <c r="D803" s="2">
        <v>347</v>
      </c>
      <c r="E803" s="2" t="s">
        <v>255</v>
      </c>
      <c r="V803" s="3">
        <v>46007</v>
      </c>
      <c r="W803" s="215">
        <v>1027</v>
      </c>
      <c r="X803" s="215">
        <v>403</v>
      </c>
      <c r="Y803" s="2" t="s">
        <v>256</v>
      </c>
    </row>
    <row r="804" spans="2:25">
      <c r="B804" s="1">
        <v>46168</v>
      </c>
      <c r="C804" s="2">
        <v>1086</v>
      </c>
      <c r="D804" s="2">
        <v>346</v>
      </c>
      <c r="E804" s="2" t="s">
        <v>255</v>
      </c>
      <c r="V804" s="3">
        <v>46007</v>
      </c>
      <c r="W804" s="215">
        <v>1026</v>
      </c>
      <c r="X804" s="215">
        <v>361</v>
      </c>
      <c r="Y804" s="2" t="s">
        <v>256</v>
      </c>
    </row>
    <row r="805" spans="2:25">
      <c r="B805" s="1">
        <v>46168</v>
      </c>
      <c r="C805" s="2">
        <v>738</v>
      </c>
      <c r="D805" s="2">
        <v>346</v>
      </c>
      <c r="E805" s="2" t="s">
        <v>255</v>
      </c>
      <c r="V805" s="3">
        <v>46007</v>
      </c>
      <c r="W805" s="215">
        <v>1025</v>
      </c>
      <c r="X805" s="215">
        <v>406</v>
      </c>
      <c r="Y805" s="2" t="s">
        <v>256</v>
      </c>
    </row>
    <row r="806" spans="2:25">
      <c r="B806" s="1">
        <v>46168</v>
      </c>
      <c r="C806" s="2">
        <v>1106</v>
      </c>
      <c r="D806" s="2">
        <v>345</v>
      </c>
      <c r="E806" s="2" t="s">
        <v>255</v>
      </c>
      <c r="V806" s="3">
        <v>46007</v>
      </c>
      <c r="W806" s="2">
        <v>1024</v>
      </c>
      <c r="X806" s="2">
        <v>535</v>
      </c>
      <c r="Y806" s="2" t="s">
        <v>256</v>
      </c>
    </row>
    <row r="807" spans="2:25">
      <c r="B807" s="1">
        <v>46168</v>
      </c>
      <c r="C807" s="2">
        <v>767</v>
      </c>
      <c r="D807" s="2">
        <v>345</v>
      </c>
      <c r="E807" s="2" t="s">
        <v>255</v>
      </c>
      <c r="V807" s="3">
        <v>46007</v>
      </c>
      <c r="W807" s="215">
        <v>1023</v>
      </c>
      <c r="X807" s="215">
        <v>471</v>
      </c>
      <c r="Y807" s="2" t="s">
        <v>256</v>
      </c>
    </row>
    <row r="808" spans="2:25">
      <c r="B808" s="1">
        <v>46168</v>
      </c>
      <c r="C808" s="2">
        <v>583</v>
      </c>
      <c r="D808" s="2">
        <v>345</v>
      </c>
      <c r="E808" s="2" t="s">
        <v>255</v>
      </c>
      <c r="V808" s="3">
        <v>46007</v>
      </c>
      <c r="W808" s="215">
        <v>1020</v>
      </c>
      <c r="X808" s="215">
        <v>467</v>
      </c>
      <c r="Y808" s="2" t="s">
        <v>256</v>
      </c>
    </row>
    <row r="809" spans="2:25">
      <c r="B809" s="1">
        <v>46168</v>
      </c>
      <c r="C809" s="2">
        <v>571</v>
      </c>
      <c r="D809" s="2">
        <v>345</v>
      </c>
      <c r="E809" s="2" t="s">
        <v>255</v>
      </c>
      <c r="V809" s="3">
        <v>46007</v>
      </c>
      <c r="W809" s="2">
        <v>1018</v>
      </c>
      <c r="X809" s="2">
        <v>410</v>
      </c>
      <c r="Y809" s="2" t="s">
        <v>256</v>
      </c>
    </row>
    <row r="810" spans="2:25">
      <c r="B810" s="1">
        <v>46168</v>
      </c>
      <c r="C810" s="2">
        <v>353</v>
      </c>
      <c r="D810" s="2">
        <v>345</v>
      </c>
      <c r="E810" s="2" t="s">
        <v>255</v>
      </c>
      <c r="V810" s="3">
        <v>46007</v>
      </c>
      <c r="W810" s="2">
        <v>1015</v>
      </c>
      <c r="X810" s="2">
        <v>455</v>
      </c>
      <c r="Y810" s="2" t="s">
        <v>256</v>
      </c>
    </row>
    <row r="811" spans="2:25">
      <c r="B811" s="1">
        <v>46168</v>
      </c>
      <c r="C811" s="2">
        <v>788</v>
      </c>
      <c r="D811" s="2">
        <v>344</v>
      </c>
      <c r="E811" s="2" t="s">
        <v>255</v>
      </c>
      <c r="V811" s="3">
        <v>46007</v>
      </c>
      <c r="W811" s="2">
        <v>1014</v>
      </c>
      <c r="X811" s="2">
        <v>411</v>
      </c>
      <c r="Y811" s="2" t="s">
        <v>256</v>
      </c>
    </row>
    <row r="812" spans="2:25">
      <c r="B812" s="1">
        <v>46168</v>
      </c>
      <c r="C812" s="2">
        <v>703</v>
      </c>
      <c r="D812" s="2">
        <v>344</v>
      </c>
      <c r="E812" s="2" t="s">
        <v>255</v>
      </c>
      <c r="V812" s="3">
        <v>46007</v>
      </c>
      <c r="W812" s="215">
        <v>1010</v>
      </c>
      <c r="X812" s="215">
        <v>470</v>
      </c>
      <c r="Y812" s="2" t="s">
        <v>256</v>
      </c>
    </row>
    <row r="813" spans="2:25">
      <c r="B813" s="1">
        <v>46168</v>
      </c>
      <c r="C813" s="2">
        <v>668</v>
      </c>
      <c r="D813" s="2">
        <v>344</v>
      </c>
      <c r="E813" s="2" t="s">
        <v>255</v>
      </c>
      <c r="V813" s="3">
        <v>46007</v>
      </c>
      <c r="W813" s="215">
        <v>1009</v>
      </c>
      <c r="X813" s="215">
        <v>419</v>
      </c>
      <c r="Y813" s="2" t="s">
        <v>256</v>
      </c>
    </row>
    <row r="814" spans="2:25">
      <c r="B814" s="1">
        <v>46168</v>
      </c>
      <c r="C814" s="2">
        <v>613</v>
      </c>
      <c r="D814" s="2">
        <v>344</v>
      </c>
      <c r="E814" s="2" t="s">
        <v>255</v>
      </c>
      <c r="V814" s="3">
        <v>46007</v>
      </c>
      <c r="W814" s="215">
        <v>1008</v>
      </c>
      <c r="X814" s="215">
        <v>440</v>
      </c>
      <c r="Y814" s="2" t="s">
        <v>256</v>
      </c>
    </row>
    <row r="815" spans="2:25">
      <c r="B815" s="1">
        <v>46168</v>
      </c>
      <c r="C815" s="2">
        <v>1122</v>
      </c>
      <c r="D815" s="2">
        <v>343</v>
      </c>
      <c r="E815" s="2" t="s">
        <v>255</v>
      </c>
      <c r="V815" s="3">
        <v>46007</v>
      </c>
      <c r="W815" s="215">
        <v>1007</v>
      </c>
      <c r="X815" s="215">
        <v>439</v>
      </c>
      <c r="Y815" s="2" t="s">
        <v>256</v>
      </c>
    </row>
    <row r="816" spans="2:25">
      <c r="B816" s="1">
        <v>46168</v>
      </c>
      <c r="C816" s="2">
        <v>913</v>
      </c>
      <c r="D816" s="2">
        <v>343</v>
      </c>
      <c r="E816" s="2" t="s">
        <v>255</v>
      </c>
      <c r="V816" s="3">
        <v>46007</v>
      </c>
      <c r="W816" s="215">
        <v>1006</v>
      </c>
      <c r="X816" s="215">
        <v>487</v>
      </c>
      <c r="Y816" s="2" t="s">
        <v>256</v>
      </c>
    </row>
    <row r="817" spans="2:25">
      <c r="B817" s="1">
        <v>46168</v>
      </c>
      <c r="C817" s="2">
        <v>762</v>
      </c>
      <c r="D817" s="2">
        <v>343</v>
      </c>
      <c r="E817" s="2" t="s">
        <v>255</v>
      </c>
      <c r="V817" s="3">
        <v>46007</v>
      </c>
      <c r="W817" s="2">
        <v>1005</v>
      </c>
      <c r="X817" s="2">
        <v>405</v>
      </c>
      <c r="Y817" s="2" t="s">
        <v>256</v>
      </c>
    </row>
    <row r="818" spans="2:25">
      <c r="B818" s="1">
        <v>46168</v>
      </c>
      <c r="C818" s="2">
        <v>401</v>
      </c>
      <c r="D818" s="2">
        <v>343</v>
      </c>
      <c r="E818" s="2" t="s">
        <v>255</v>
      </c>
      <c r="V818" s="3">
        <v>46007</v>
      </c>
      <c r="W818" s="215">
        <v>1004</v>
      </c>
      <c r="X818" s="215">
        <v>340</v>
      </c>
      <c r="Y818" s="2" t="s">
        <v>256</v>
      </c>
    </row>
    <row r="819" spans="2:25">
      <c r="B819" s="1">
        <v>46168</v>
      </c>
      <c r="C819" s="2">
        <v>313</v>
      </c>
      <c r="D819" s="2">
        <v>342</v>
      </c>
      <c r="E819" s="2" t="s">
        <v>255</v>
      </c>
      <c r="V819" s="3">
        <v>46007</v>
      </c>
      <c r="W819" s="2">
        <v>1003</v>
      </c>
      <c r="X819" s="2">
        <v>447</v>
      </c>
      <c r="Y819" s="2" t="s">
        <v>256</v>
      </c>
    </row>
    <row r="820" spans="2:25">
      <c r="B820" s="1">
        <v>46168</v>
      </c>
      <c r="C820" s="2">
        <v>1119</v>
      </c>
      <c r="D820" s="2">
        <v>338</v>
      </c>
      <c r="E820" s="2" t="s">
        <v>255</v>
      </c>
      <c r="V820" s="3">
        <v>46007</v>
      </c>
      <c r="W820" s="215">
        <v>1002</v>
      </c>
      <c r="X820" s="215">
        <v>399</v>
      </c>
      <c r="Y820" s="2" t="s">
        <v>256</v>
      </c>
    </row>
    <row r="821" spans="2:25">
      <c r="B821" s="1">
        <v>46168</v>
      </c>
      <c r="C821" s="2">
        <v>598</v>
      </c>
      <c r="D821" s="2">
        <v>338</v>
      </c>
      <c r="E821" s="2" t="s">
        <v>255</v>
      </c>
      <c r="V821" s="3">
        <v>46007</v>
      </c>
      <c r="W821" s="215">
        <v>999</v>
      </c>
      <c r="X821" s="215">
        <v>433</v>
      </c>
      <c r="Y821" s="2" t="s">
        <v>256</v>
      </c>
    </row>
    <row r="822" spans="2:25">
      <c r="B822" s="1">
        <v>46168</v>
      </c>
      <c r="C822" s="2">
        <v>1129</v>
      </c>
      <c r="D822" s="2">
        <v>337</v>
      </c>
      <c r="E822" s="2" t="s">
        <v>255</v>
      </c>
      <c r="V822" s="3">
        <v>46007</v>
      </c>
      <c r="W822" s="2">
        <v>998</v>
      </c>
      <c r="X822" s="2">
        <v>463</v>
      </c>
      <c r="Y822" s="2" t="s">
        <v>256</v>
      </c>
    </row>
    <row r="823" spans="2:25">
      <c r="B823" s="1">
        <v>46168</v>
      </c>
      <c r="C823" s="2">
        <v>837</v>
      </c>
      <c r="D823" s="2">
        <v>337</v>
      </c>
      <c r="E823" s="2" t="s">
        <v>255</v>
      </c>
      <c r="V823" s="3">
        <v>46007</v>
      </c>
      <c r="W823" s="2">
        <v>997</v>
      </c>
      <c r="X823" s="2">
        <v>411</v>
      </c>
      <c r="Y823" s="2" t="s">
        <v>256</v>
      </c>
    </row>
    <row r="824" spans="2:25">
      <c r="B824" s="1">
        <v>46168</v>
      </c>
      <c r="C824" s="2">
        <v>1060</v>
      </c>
      <c r="D824" s="2">
        <v>336</v>
      </c>
      <c r="E824" s="2" t="s">
        <v>255</v>
      </c>
      <c r="V824" s="3">
        <v>46007</v>
      </c>
      <c r="W824" s="215">
        <v>996</v>
      </c>
      <c r="X824" s="215">
        <v>447</v>
      </c>
      <c r="Y824" s="2" t="s">
        <v>256</v>
      </c>
    </row>
    <row r="825" spans="2:25">
      <c r="B825" s="1">
        <v>46168</v>
      </c>
      <c r="C825" s="2">
        <v>586</v>
      </c>
      <c r="D825" s="2">
        <v>336</v>
      </c>
      <c r="E825" s="2" t="s">
        <v>255</v>
      </c>
      <c r="V825" s="3">
        <v>46007</v>
      </c>
      <c r="W825" s="215">
        <v>995</v>
      </c>
      <c r="X825" s="215">
        <v>441</v>
      </c>
      <c r="Y825" s="2" t="s">
        <v>256</v>
      </c>
    </row>
    <row r="826" spans="2:25">
      <c r="B826" s="1">
        <v>46168</v>
      </c>
      <c r="C826" s="2">
        <v>498</v>
      </c>
      <c r="D826" s="2">
        <v>336</v>
      </c>
      <c r="E826" s="2" t="s">
        <v>255</v>
      </c>
      <c r="V826" s="3">
        <v>46007</v>
      </c>
      <c r="W826" s="2">
        <v>994</v>
      </c>
      <c r="X826" s="2">
        <v>472</v>
      </c>
      <c r="Y826" s="2" t="s">
        <v>256</v>
      </c>
    </row>
    <row r="827" spans="2:25">
      <c r="B827" s="1">
        <v>46168</v>
      </c>
      <c r="C827" s="2">
        <v>1160</v>
      </c>
      <c r="D827" s="2">
        <v>335</v>
      </c>
      <c r="E827" s="2" t="s">
        <v>255</v>
      </c>
      <c r="V827" s="3">
        <v>46007</v>
      </c>
      <c r="W827" s="2">
        <v>993</v>
      </c>
      <c r="X827" s="2">
        <v>524</v>
      </c>
      <c r="Y827" s="2" t="s">
        <v>256</v>
      </c>
    </row>
    <row r="828" spans="2:25">
      <c r="B828" s="1">
        <v>46168</v>
      </c>
      <c r="C828" s="2">
        <v>1141</v>
      </c>
      <c r="D828" s="2">
        <v>335</v>
      </c>
      <c r="E828" s="2" t="s">
        <v>255</v>
      </c>
      <c r="V828" s="3">
        <v>46007</v>
      </c>
      <c r="W828" s="2">
        <v>989</v>
      </c>
      <c r="X828" s="2">
        <v>433</v>
      </c>
      <c r="Y828" s="2" t="s">
        <v>256</v>
      </c>
    </row>
    <row r="829" spans="2:25">
      <c r="B829" s="1">
        <v>46168</v>
      </c>
      <c r="C829" s="2">
        <v>975</v>
      </c>
      <c r="D829" s="2">
        <v>335</v>
      </c>
      <c r="E829" s="2" t="s">
        <v>255</v>
      </c>
      <c r="V829" s="3">
        <v>46007</v>
      </c>
      <c r="W829" s="215">
        <v>988</v>
      </c>
      <c r="X829" s="215">
        <v>425</v>
      </c>
      <c r="Y829" s="2" t="s">
        <v>256</v>
      </c>
    </row>
    <row r="830" spans="2:25">
      <c r="B830" s="1">
        <v>46168</v>
      </c>
      <c r="C830" s="2">
        <v>521</v>
      </c>
      <c r="D830" s="2">
        <v>335</v>
      </c>
      <c r="E830" s="2" t="s">
        <v>255</v>
      </c>
      <c r="V830" s="3">
        <v>46007</v>
      </c>
      <c r="W830" s="2">
        <v>987</v>
      </c>
      <c r="X830" s="2">
        <v>395</v>
      </c>
      <c r="Y830" s="2" t="s">
        <v>256</v>
      </c>
    </row>
    <row r="831" spans="2:25">
      <c r="B831" s="1">
        <v>46168</v>
      </c>
      <c r="C831" s="2">
        <v>512</v>
      </c>
      <c r="D831" s="2">
        <v>335</v>
      </c>
      <c r="E831" s="2" t="s">
        <v>255</v>
      </c>
      <c r="V831" s="3">
        <v>46007</v>
      </c>
      <c r="W831" s="215">
        <v>985</v>
      </c>
      <c r="X831" s="215">
        <v>450</v>
      </c>
      <c r="Y831" s="2" t="s">
        <v>256</v>
      </c>
    </row>
    <row r="832" spans="2:25">
      <c r="B832" s="1">
        <v>46168</v>
      </c>
      <c r="C832" s="2">
        <v>330</v>
      </c>
      <c r="D832" s="2">
        <v>335</v>
      </c>
      <c r="E832" s="2" t="s">
        <v>255</v>
      </c>
      <c r="V832" s="3">
        <v>46007</v>
      </c>
      <c r="W832" s="2">
        <v>984</v>
      </c>
      <c r="X832" s="2">
        <v>451</v>
      </c>
      <c r="Y832" s="2" t="s">
        <v>256</v>
      </c>
    </row>
    <row r="833" spans="2:25">
      <c r="B833" s="1">
        <v>46168</v>
      </c>
      <c r="C833" s="2">
        <v>833</v>
      </c>
      <c r="D833" s="2">
        <v>334</v>
      </c>
      <c r="E833" s="2" t="s">
        <v>255</v>
      </c>
      <c r="V833" s="3">
        <v>46007</v>
      </c>
      <c r="W833" s="215">
        <v>981</v>
      </c>
      <c r="X833" s="215">
        <v>416</v>
      </c>
      <c r="Y833" s="2" t="s">
        <v>256</v>
      </c>
    </row>
    <row r="834" spans="2:25">
      <c r="B834" s="1">
        <v>46168</v>
      </c>
      <c r="C834" s="2">
        <v>817</v>
      </c>
      <c r="D834" s="2">
        <v>334</v>
      </c>
      <c r="E834" s="2" t="s">
        <v>255</v>
      </c>
      <c r="V834" s="3">
        <v>46007</v>
      </c>
      <c r="W834" s="215">
        <v>980</v>
      </c>
      <c r="X834" s="215">
        <v>435</v>
      </c>
      <c r="Y834" s="2" t="s">
        <v>256</v>
      </c>
    </row>
    <row r="835" spans="2:25">
      <c r="B835" s="1">
        <v>46168</v>
      </c>
      <c r="C835" s="2">
        <v>696</v>
      </c>
      <c r="D835" s="2">
        <v>334</v>
      </c>
      <c r="E835" s="2" t="s">
        <v>255</v>
      </c>
      <c r="V835" s="3">
        <v>46007</v>
      </c>
      <c r="W835" s="215">
        <v>978</v>
      </c>
      <c r="X835" s="215">
        <v>421</v>
      </c>
      <c r="Y835" s="2" t="s">
        <v>256</v>
      </c>
    </row>
    <row r="836" spans="2:25">
      <c r="B836" s="1">
        <v>46168</v>
      </c>
      <c r="C836" s="2">
        <v>631</v>
      </c>
      <c r="D836" s="2">
        <v>334</v>
      </c>
      <c r="E836" s="2" t="s">
        <v>255</v>
      </c>
      <c r="V836" s="3">
        <v>46007</v>
      </c>
      <c r="W836" s="215">
        <v>977</v>
      </c>
      <c r="X836" s="215">
        <v>393</v>
      </c>
      <c r="Y836" s="2" t="s">
        <v>256</v>
      </c>
    </row>
    <row r="837" spans="2:25">
      <c r="B837" s="1">
        <v>46168</v>
      </c>
      <c r="C837" s="2">
        <v>596</v>
      </c>
      <c r="D837" s="2">
        <v>334</v>
      </c>
      <c r="E837" s="2" t="s">
        <v>255</v>
      </c>
      <c r="V837" s="3">
        <v>46007</v>
      </c>
      <c r="W837" s="215">
        <v>975</v>
      </c>
      <c r="X837" s="215">
        <v>313</v>
      </c>
      <c r="Y837" s="2" t="s">
        <v>256</v>
      </c>
    </row>
    <row r="838" spans="2:25">
      <c r="B838" s="1">
        <v>46168</v>
      </c>
      <c r="C838" s="2">
        <v>318</v>
      </c>
      <c r="D838" s="2">
        <v>334</v>
      </c>
      <c r="E838" s="2" t="s">
        <v>255</v>
      </c>
      <c r="V838" s="3">
        <v>46007</v>
      </c>
      <c r="W838" s="2">
        <v>974</v>
      </c>
      <c r="X838" s="2">
        <v>422</v>
      </c>
      <c r="Y838" s="2" t="s">
        <v>256</v>
      </c>
    </row>
    <row r="839" spans="2:25">
      <c r="B839" s="1">
        <v>46168</v>
      </c>
      <c r="C839" s="2">
        <v>744</v>
      </c>
      <c r="D839" s="2">
        <v>333</v>
      </c>
      <c r="E839" s="2" t="s">
        <v>255</v>
      </c>
      <c r="V839" s="3">
        <v>46007</v>
      </c>
      <c r="W839" s="215">
        <v>972</v>
      </c>
      <c r="X839" s="215">
        <v>394</v>
      </c>
      <c r="Y839" s="2" t="s">
        <v>256</v>
      </c>
    </row>
    <row r="840" spans="2:25">
      <c r="B840" s="1">
        <v>46168</v>
      </c>
      <c r="C840" s="2">
        <v>467</v>
      </c>
      <c r="D840" s="2">
        <v>333</v>
      </c>
      <c r="E840" s="2" t="s">
        <v>255</v>
      </c>
      <c r="V840" s="3">
        <v>46007</v>
      </c>
      <c r="W840" s="215">
        <v>969</v>
      </c>
      <c r="X840" s="215">
        <v>435</v>
      </c>
      <c r="Y840" s="2" t="s">
        <v>256</v>
      </c>
    </row>
    <row r="841" spans="2:25">
      <c r="B841" s="1">
        <v>46168</v>
      </c>
      <c r="C841" s="2">
        <v>899</v>
      </c>
      <c r="D841" s="2">
        <v>332</v>
      </c>
      <c r="E841" s="2" t="s">
        <v>255</v>
      </c>
      <c r="V841" s="3">
        <v>46007</v>
      </c>
      <c r="W841" s="2">
        <v>968</v>
      </c>
      <c r="X841" s="2">
        <v>515</v>
      </c>
      <c r="Y841" s="2" t="s">
        <v>256</v>
      </c>
    </row>
    <row r="842" spans="2:25">
      <c r="B842" s="1">
        <v>46168</v>
      </c>
      <c r="C842" s="2">
        <v>792</v>
      </c>
      <c r="D842" s="2">
        <v>332</v>
      </c>
      <c r="E842" s="2" t="s">
        <v>255</v>
      </c>
      <c r="V842" s="3">
        <v>46007</v>
      </c>
      <c r="W842" s="215">
        <v>965</v>
      </c>
      <c r="X842" s="215">
        <v>474</v>
      </c>
      <c r="Y842" s="2" t="s">
        <v>256</v>
      </c>
    </row>
    <row r="843" spans="2:25">
      <c r="B843" s="1">
        <v>46168</v>
      </c>
      <c r="C843" s="2">
        <v>769</v>
      </c>
      <c r="D843" s="2">
        <v>332</v>
      </c>
      <c r="E843" s="2" t="s">
        <v>255</v>
      </c>
      <c r="V843" s="3">
        <v>46007</v>
      </c>
      <c r="W843" s="2">
        <v>962</v>
      </c>
      <c r="X843" s="2">
        <v>391</v>
      </c>
      <c r="Y843" s="2" t="s">
        <v>256</v>
      </c>
    </row>
    <row r="844" spans="2:25">
      <c r="B844" s="1">
        <v>46168</v>
      </c>
      <c r="C844" s="2">
        <v>1131</v>
      </c>
      <c r="D844" s="2">
        <v>331</v>
      </c>
      <c r="E844" s="2" t="s">
        <v>255</v>
      </c>
      <c r="V844" s="3">
        <v>46007</v>
      </c>
      <c r="W844" s="215">
        <v>961</v>
      </c>
      <c r="X844" s="215">
        <v>433</v>
      </c>
      <c r="Y844" s="2" t="s">
        <v>256</v>
      </c>
    </row>
    <row r="845" spans="2:25">
      <c r="B845" s="1">
        <v>46168</v>
      </c>
      <c r="C845" s="2">
        <v>1071</v>
      </c>
      <c r="D845" s="2">
        <v>331</v>
      </c>
      <c r="E845" s="2" t="s">
        <v>255</v>
      </c>
      <c r="V845" s="3">
        <v>46007</v>
      </c>
      <c r="W845" s="215">
        <v>960</v>
      </c>
      <c r="X845" s="215">
        <v>401</v>
      </c>
      <c r="Y845" s="2" t="s">
        <v>256</v>
      </c>
    </row>
    <row r="846" spans="2:25">
      <c r="B846" s="1">
        <v>46168</v>
      </c>
      <c r="C846" s="2">
        <v>734</v>
      </c>
      <c r="D846" s="2">
        <v>331</v>
      </c>
      <c r="E846" s="2" t="s">
        <v>255</v>
      </c>
      <c r="V846" s="3">
        <v>46007</v>
      </c>
      <c r="W846" s="215">
        <v>958</v>
      </c>
      <c r="X846" s="215">
        <v>427</v>
      </c>
      <c r="Y846" s="2" t="s">
        <v>256</v>
      </c>
    </row>
    <row r="847" spans="2:25">
      <c r="B847" s="1">
        <v>46168</v>
      </c>
      <c r="C847" s="2">
        <v>717</v>
      </c>
      <c r="D847" s="2">
        <v>331</v>
      </c>
      <c r="E847" s="2" t="s">
        <v>255</v>
      </c>
      <c r="V847" s="3">
        <v>46007</v>
      </c>
      <c r="W847" s="2">
        <v>955</v>
      </c>
      <c r="X847" s="2">
        <v>435</v>
      </c>
      <c r="Y847" s="2" t="s">
        <v>256</v>
      </c>
    </row>
    <row r="848" spans="2:25">
      <c r="B848" s="1">
        <v>46168</v>
      </c>
      <c r="C848" s="2">
        <v>362</v>
      </c>
      <c r="D848" s="2">
        <v>331</v>
      </c>
      <c r="E848" s="2" t="s">
        <v>255</v>
      </c>
      <c r="V848" s="3">
        <v>46007</v>
      </c>
      <c r="W848" s="2">
        <v>954</v>
      </c>
      <c r="X848" s="2">
        <v>452</v>
      </c>
      <c r="Y848" s="2" t="s">
        <v>256</v>
      </c>
    </row>
    <row r="849" spans="2:25">
      <c r="B849" s="1">
        <v>46168</v>
      </c>
      <c r="C849" s="2">
        <v>1136</v>
      </c>
      <c r="D849" s="2">
        <v>330</v>
      </c>
      <c r="E849" s="2" t="s">
        <v>255</v>
      </c>
      <c r="V849" s="3">
        <v>46007</v>
      </c>
      <c r="W849" s="215">
        <v>953</v>
      </c>
      <c r="X849" s="215">
        <v>462</v>
      </c>
      <c r="Y849" s="2" t="s">
        <v>256</v>
      </c>
    </row>
    <row r="850" spans="2:25">
      <c r="B850" s="1">
        <v>46168</v>
      </c>
      <c r="C850" s="2">
        <v>1070</v>
      </c>
      <c r="D850" s="2">
        <v>330</v>
      </c>
      <c r="E850" s="2" t="s">
        <v>255</v>
      </c>
      <c r="V850" s="3">
        <v>46007</v>
      </c>
      <c r="W850" s="215">
        <v>952</v>
      </c>
      <c r="X850" s="215">
        <v>470</v>
      </c>
      <c r="Y850" s="2" t="s">
        <v>256</v>
      </c>
    </row>
    <row r="851" spans="2:25">
      <c r="B851" s="1">
        <v>46168</v>
      </c>
      <c r="C851" s="2">
        <v>695</v>
      </c>
      <c r="D851" s="2">
        <v>330</v>
      </c>
      <c r="E851" s="2" t="s">
        <v>255</v>
      </c>
      <c r="V851" s="3">
        <v>46007</v>
      </c>
      <c r="W851" s="215">
        <v>951</v>
      </c>
      <c r="X851" s="215">
        <v>433</v>
      </c>
      <c r="Y851" s="2" t="s">
        <v>256</v>
      </c>
    </row>
    <row r="852" spans="2:25">
      <c r="B852" s="1">
        <v>46168</v>
      </c>
      <c r="C852" s="2">
        <v>600</v>
      </c>
      <c r="D852" s="2">
        <v>330</v>
      </c>
      <c r="E852" s="2" t="s">
        <v>255</v>
      </c>
      <c r="V852" s="3">
        <v>46007</v>
      </c>
      <c r="W852" s="2">
        <v>950</v>
      </c>
      <c r="X852" s="2">
        <v>478</v>
      </c>
      <c r="Y852" s="2" t="s">
        <v>256</v>
      </c>
    </row>
    <row r="853" spans="2:25">
      <c r="B853" s="1">
        <v>46168</v>
      </c>
      <c r="C853" s="2">
        <v>391</v>
      </c>
      <c r="D853" s="2">
        <v>330</v>
      </c>
      <c r="E853" s="2" t="s">
        <v>255</v>
      </c>
      <c r="V853" s="3">
        <v>46007</v>
      </c>
      <c r="W853" s="2">
        <v>947</v>
      </c>
      <c r="X853" s="2">
        <v>528</v>
      </c>
      <c r="Y853" s="2" t="s">
        <v>256</v>
      </c>
    </row>
    <row r="854" spans="2:25">
      <c r="B854" s="1">
        <v>46168</v>
      </c>
      <c r="C854" s="2">
        <v>343</v>
      </c>
      <c r="D854" s="2">
        <v>330</v>
      </c>
      <c r="E854" s="2" t="s">
        <v>255</v>
      </c>
      <c r="V854" s="3">
        <v>46007</v>
      </c>
      <c r="W854" s="215">
        <v>946</v>
      </c>
      <c r="X854" s="215">
        <v>451</v>
      </c>
      <c r="Y854" s="2" t="s">
        <v>256</v>
      </c>
    </row>
    <row r="855" spans="2:25">
      <c r="B855" s="1">
        <v>46168</v>
      </c>
      <c r="C855" s="2">
        <v>611</v>
      </c>
      <c r="D855" s="2">
        <v>328</v>
      </c>
      <c r="E855" s="2" t="s">
        <v>255</v>
      </c>
      <c r="V855" s="3">
        <v>46007</v>
      </c>
      <c r="W855" s="2">
        <v>945</v>
      </c>
      <c r="X855" s="2">
        <v>573</v>
      </c>
      <c r="Y855" s="2" t="s">
        <v>256</v>
      </c>
    </row>
    <row r="856" spans="2:25">
      <c r="B856" s="1">
        <v>46168</v>
      </c>
      <c r="C856" s="2">
        <v>416</v>
      </c>
      <c r="D856" s="2">
        <v>328</v>
      </c>
      <c r="E856" s="2" t="s">
        <v>255</v>
      </c>
      <c r="V856" s="3">
        <v>46007</v>
      </c>
      <c r="W856" s="2">
        <v>942</v>
      </c>
      <c r="X856" s="2">
        <v>485</v>
      </c>
      <c r="Y856" s="2" t="s">
        <v>256</v>
      </c>
    </row>
    <row r="857" spans="2:25">
      <c r="B857" s="1">
        <v>46168</v>
      </c>
      <c r="C857" s="2">
        <v>584</v>
      </c>
      <c r="D857" s="2">
        <v>327</v>
      </c>
      <c r="E857" s="2" t="s">
        <v>255</v>
      </c>
      <c r="V857" s="3">
        <v>46007</v>
      </c>
      <c r="W857" s="215">
        <v>940</v>
      </c>
      <c r="X857" s="215">
        <v>429</v>
      </c>
      <c r="Y857" s="2" t="s">
        <v>256</v>
      </c>
    </row>
    <row r="858" spans="2:25">
      <c r="B858" s="1">
        <v>46168</v>
      </c>
      <c r="C858" s="2">
        <v>1072</v>
      </c>
      <c r="D858" s="2">
        <v>326</v>
      </c>
      <c r="E858" s="2" t="s">
        <v>255</v>
      </c>
      <c r="V858" s="3">
        <v>46007</v>
      </c>
      <c r="W858" s="215">
        <v>939</v>
      </c>
      <c r="X858" s="215">
        <v>393</v>
      </c>
      <c r="Y858" s="2" t="s">
        <v>256</v>
      </c>
    </row>
    <row r="859" spans="2:25">
      <c r="B859" s="1">
        <v>46168</v>
      </c>
      <c r="C859" s="2">
        <v>796</v>
      </c>
      <c r="D859" s="2">
        <v>326</v>
      </c>
      <c r="E859" s="2" t="s">
        <v>255</v>
      </c>
      <c r="V859" s="3">
        <v>46007</v>
      </c>
      <c r="W859" s="215">
        <v>937</v>
      </c>
      <c r="X859" s="215">
        <v>428</v>
      </c>
      <c r="Y859" s="2" t="s">
        <v>256</v>
      </c>
    </row>
    <row r="860" spans="2:25">
      <c r="B860" s="1">
        <v>46168</v>
      </c>
      <c r="C860" s="2">
        <v>620</v>
      </c>
      <c r="D860" s="2">
        <v>326</v>
      </c>
      <c r="E860" s="2" t="s">
        <v>255</v>
      </c>
      <c r="V860" s="3">
        <v>46007</v>
      </c>
      <c r="W860" s="2">
        <v>936</v>
      </c>
      <c r="X860" s="2">
        <v>459</v>
      </c>
      <c r="Y860" s="2" t="s">
        <v>256</v>
      </c>
    </row>
    <row r="861" spans="2:25">
      <c r="B861" s="1">
        <v>46168</v>
      </c>
      <c r="C861" s="2">
        <v>992</v>
      </c>
      <c r="D861" s="2">
        <v>322</v>
      </c>
      <c r="E861" s="2" t="s">
        <v>255</v>
      </c>
      <c r="V861" s="3">
        <v>46007</v>
      </c>
      <c r="W861" s="215">
        <v>935</v>
      </c>
      <c r="X861" s="215">
        <v>520</v>
      </c>
      <c r="Y861" s="2" t="s">
        <v>256</v>
      </c>
    </row>
    <row r="862" spans="2:25">
      <c r="B862" s="1">
        <v>46168</v>
      </c>
      <c r="C862" s="2">
        <v>728</v>
      </c>
      <c r="D862" s="2">
        <v>321</v>
      </c>
      <c r="E862" s="2" t="s">
        <v>255</v>
      </c>
      <c r="V862" s="3">
        <v>46007</v>
      </c>
      <c r="W862" s="2">
        <v>933</v>
      </c>
      <c r="X862" s="2">
        <v>504</v>
      </c>
      <c r="Y862" s="2" t="s">
        <v>256</v>
      </c>
    </row>
    <row r="863" spans="2:25">
      <c r="B863" s="1">
        <v>46168</v>
      </c>
      <c r="C863" s="2">
        <v>690</v>
      </c>
      <c r="D863" s="2">
        <v>321</v>
      </c>
      <c r="E863" s="2" t="s">
        <v>255</v>
      </c>
      <c r="V863" s="3">
        <v>46007</v>
      </c>
      <c r="W863" s="215">
        <v>932</v>
      </c>
      <c r="X863" s="215">
        <v>428</v>
      </c>
      <c r="Y863" s="2" t="s">
        <v>256</v>
      </c>
    </row>
    <row r="864" spans="2:25">
      <c r="B864" s="1">
        <v>46168</v>
      </c>
      <c r="C864" s="2">
        <v>1150</v>
      </c>
      <c r="D864" s="2">
        <v>320</v>
      </c>
      <c r="E864" s="2" t="s">
        <v>255</v>
      </c>
      <c r="V864" s="3">
        <v>46007</v>
      </c>
      <c r="W864" s="2">
        <v>931</v>
      </c>
      <c r="X864" s="2">
        <v>438</v>
      </c>
      <c r="Y864" s="2" t="s">
        <v>256</v>
      </c>
    </row>
    <row r="865" spans="2:25">
      <c r="B865" s="1">
        <v>46168</v>
      </c>
      <c r="C865" s="2">
        <v>917</v>
      </c>
      <c r="D865" s="2">
        <v>320</v>
      </c>
      <c r="E865" s="2" t="s">
        <v>255</v>
      </c>
      <c r="V865" s="3">
        <v>46007</v>
      </c>
      <c r="W865" s="2">
        <v>930</v>
      </c>
      <c r="X865" s="2">
        <v>472</v>
      </c>
      <c r="Y865" s="2" t="s">
        <v>256</v>
      </c>
    </row>
    <row r="866" spans="2:25">
      <c r="B866" s="1">
        <v>46168</v>
      </c>
      <c r="C866" s="2">
        <v>655</v>
      </c>
      <c r="D866" s="2">
        <v>320</v>
      </c>
      <c r="E866" s="2" t="s">
        <v>255</v>
      </c>
      <c r="V866" s="3">
        <v>46007</v>
      </c>
      <c r="W866" s="2">
        <v>929</v>
      </c>
      <c r="X866" s="2">
        <v>453</v>
      </c>
      <c r="Y866" s="2" t="s">
        <v>256</v>
      </c>
    </row>
    <row r="867" spans="2:25">
      <c r="B867" s="1">
        <v>46168</v>
      </c>
      <c r="C867" s="2">
        <v>565</v>
      </c>
      <c r="D867" s="2">
        <v>320</v>
      </c>
      <c r="E867" s="2" t="s">
        <v>255</v>
      </c>
      <c r="V867" s="3">
        <v>46007</v>
      </c>
      <c r="W867" s="215">
        <v>928</v>
      </c>
      <c r="X867" s="215">
        <v>437</v>
      </c>
      <c r="Y867" s="2" t="s">
        <v>256</v>
      </c>
    </row>
    <row r="868" spans="2:25">
      <c r="B868" s="1">
        <v>46168</v>
      </c>
      <c r="C868" s="2">
        <v>310</v>
      </c>
      <c r="D868" s="2">
        <v>320</v>
      </c>
      <c r="E868" s="2" t="s">
        <v>255</v>
      </c>
      <c r="V868" s="3">
        <v>46007</v>
      </c>
      <c r="W868" s="2">
        <v>924</v>
      </c>
      <c r="X868" s="2">
        <v>404</v>
      </c>
      <c r="Y868" s="2" t="s">
        <v>256</v>
      </c>
    </row>
    <row r="869" spans="2:25">
      <c r="B869" s="1">
        <v>46168</v>
      </c>
      <c r="C869" s="2">
        <v>905</v>
      </c>
      <c r="D869" s="2">
        <v>318</v>
      </c>
      <c r="E869" s="2" t="s">
        <v>255</v>
      </c>
      <c r="V869" s="3">
        <v>46007</v>
      </c>
      <c r="W869" s="215">
        <v>924</v>
      </c>
      <c r="X869" s="215">
        <v>493</v>
      </c>
      <c r="Y869" s="2" t="s">
        <v>256</v>
      </c>
    </row>
    <row r="870" spans="2:25">
      <c r="B870" s="1">
        <v>46168</v>
      </c>
      <c r="C870" s="2">
        <v>482</v>
      </c>
      <c r="D870" s="2">
        <v>318</v>
      </c>
      <c r="E870" s="2" t="s">
        <v>255</v>
      </c>
      <c r="V870" s="3">
        <v>46007</v>
      </c>
      <c r="W870" s="215">
        <v>923</v>
      </c>
      <c r="X870" s="215">
        <v>434</v>
      </c>
      <c r="Y870" s="2" t="s">
        <v>256</v>
      </c>
    </row>
    <row r="871" spans="2:25">
      <c r="B871" s="1">
        <v>46168</v>
      </c>
      <c r="C871" s="2">
        <v>808</v>
      </c>
      <c r="D871" s="2">
        <v>317</v>
      </c>
      <c r="E871" s="2" t="s">
        <v>255</v>
      </c>
      <c r="V871" s="3">
        <v>46007</v>
      </c>
      <c r="W871" s="215">
        <v>919</v>
      </c>
      <c r="X871" s="215">
        <v>461</v>
      </c>
      <c r="Y871" s="2" t="s">
        <v>256</v>
      </c>
    </row>
    <row r="872" spans="2:25">
      <c r="B872" s="1">
        <v>46168</v>
      </c>
      <c r="C872" s="2">
        <v>369</v>
      </c>
      <c r="D872" s="2">
        <v>317</v>
      </c>
      <c r="E872" s="2" t="s">
        <v>255</v>
      </c>
      <c r="V872" s="3">
        <v>46007</v>
      </c>
      <c r="W872" s="2">
        <v>918</v>
      </c>
      <c r="X872" s="2">
        <v>553</v>
      </c>
      <c r="Y872" s="2" t="s">
        <v>256</v>
      </c>
    </row>
    <row r="873" spans="2:25">
      <c r="B873" s="1">
        <v>46168</v>
      </c>
      <c r="C873" s="2">
        <v>785</v>
      </c>
      <c r="D873" s="2">
        <v>316</v>
      </c>
      <c r="E873" s="2" t="s">
        <v>255</v>
      </c>
      <c r="V873" s="3">
        <v>46007</v>
      </c>
      <c r="W873" s="215">
        <v>917</v>
      </c>
      <c r="X873" s="215">
        <v>423</v>
      </c>
      <c r="Y873" s="2" t="s">
        <v>256</v>
      </c>
    </row>
    <row r="874" spans="2:25">
      <c r="B874" s="1">
        <v>46168</v>
      </c>
      <c r="C874" s="2">
        <v>670</v>
      </c>
      <c r="D874" s="2">
        <v>316</v>
      </c>
      <c r="E874" s="2" t="s">
        <v>255</v>
      </c>
      <c r="V874" s="3">
        <v>46007</v>
      </c>
      <c r="W874" s="215">
        <v>916</v>
      </c>
      <c r="X874" s="215">
        <v>470</v>
      </c>
      <c r="Y874" s="2" t="s">
        <v>256</v>
      </c>
    </row>
    <row r="875" spans="2:25">
      <c r="B875" s="1">
        <v>46168</v>
      </c>
      <c r="C875" s="2">
        <v>1154</v>
      </c>
      <c r="D875" s="2">
        <v>315</v>
      </c>
      <c r="E875" s="2" t="s">
        <v>255</v>
      </c>
      <c r="V875" s="3">
        <v>46007</v>
      </c>
      <c r="W875" s="2">
        <v>915</v>
      </c>
      <c r="X875" s="2">
        <v>517</v>
      </c>
      <c r="Y875" s="2" t="s">
        <v>256</v>
      </c>
    </row>
    <row r="876" spans="2:25">
      <c r="B876" s="1">
        <v>46168</v>
      </c>
      <c r="C876" s="2">
        <v>741</v>
      </c>
      <c r="D876" s="2">
        <v>314</v>
      </c>
      <c r="E876" s="2" t="s">
        <v>255</v>
      </c>
      <c r="V876" s="3">
        <v>46007</v>
      </c>
      <c r="W876" s="2">
        <v>914</v>
      </c>
      <c r="X876" s="2">
        <v>506</v>
      </c>
      <c r="Y876" s="2" t="s">
        <v>256</v>
      </c>
    </row>
    <row r="877" spans="2:25">
      <c r="B877" s="1">
        <v>46168</v>
      </c>
      <c r="C877" s="2">
        <v>1080</v>
      </c>
      <c r="D877" s="2">
        <v>312</v>
      </c>
      <c r="E877" s="2" t="s">
        <v>255</v>
      </c>
      <c r="V877" s="3">
        <v>46007</v>
      </c>
      <c r="W877" s="215">
        <v>913</v>
      </c>
      <c r="X877" s="215">
        <v>485</v>
      </c>
      <c r="Y877" s="2" t="s">
        <v>256</v>
      </c>
    </row>
    <row r="878" spans="2:25">
      <c r="B878" s="1">
        <v>46168</v>
      </c>
      <c r="C878" s="2">
        <v>110</v>
      </c>
      <c r="D878" s="2">
        <v>312</v>
      </c>
      <c r="E878" s="2" t="s">
        <v>255</v>
      </c>
      <c r="V878" s="3">
        <v>46007</v>
      </c>
      <c r="W878" s="215">
        <v>912</v>
      </c>
      <c r="X878" s="215">
        <v>520</v>
      </c>
      <c r="Y878" s="2" t="s">
        <v>256</v>
      </c>
    </row>
    <row r="879" spans="2:25">
      <c r="B879" s="1">
        <v>46168</v>
      </c>
      <c r="C879" s="2">
        <v>371</v>
      </c>
      <c r="D879" s="2">
        <v>311</v>
      </c>
      <c r="E879" s="2" t="s">
        <v>255</v>
      </c>
      <c r="V879" s="3">
        <v>46007</v>
      </c>
      <c r="W879" s="215">
        <v>911</v>
      </c>
      <c r="X879" s="215">
        <v>490</v>
      </c>
      <c r="Y879" s="2" t="s">
        <v>256</v>
      </c>
    </row>
    <row r="880" spans="2:25">
      <c r="B880" s="1">
        <v>46168</v>
      </c>
      <c r="C880" s="2">
        <v>126</v>
      </c>
      <c r="D880" s="2">
        <v>311</v>
      </c>
      <c r="E880" s="2" t="s">
        <v>255</v>
      </c>
      <c r="V880" s="3">
        <v>46007</v>
      </c>
      <c r="W880" s="215">
        <v>909</v>
      </c>
      <c r="X880" s="215">
        <v>535</v>
      </c>
      <c r="Y880" s="2" t="s">
        <v>256</v>
      </c>
    </row>
    <row r="881" spans="2:25">
      <c r="B881" s="1">
        <v>46168</v>
      </c>
      <c r="C881" s="2">
        <v>580</v>
      </c>
      <c r="D881" s="2">
        <v>310</v>
      </c>
      <c r="E881" s="2" t="s">
        <v>255</v>
      </c>
      <c r="V881" s="3">
        <v>46007</v>
      </c>
      <c r="W881" s="215">
        <v>908</v>
      </c>
      <c r="X881" s="215">
        <v>500</v>
      </c>
      <c r="Y881" s="2" t="s">
        <v>256</v>
      </c>
    </row>
    <row r="882" spans="2:25">
      <c r="B882" s="1">
        <v>46168</v>
      </c>
      <c r="C882" s="2">
        <v>568</v>
      </c>
      <c r="D882" s="2">
        <v>309</v>
      </c>
      <c r="E882" s="2" t="s">
        <v>255</v>
      </c>
      <c r="V882" s="3">
        <v>46007</v>
      </c>
      <c r="W882" s="2">
        <v>907</v>
      </c>
      <c r="X882" s="2">
        <v>570</v>
      </c>
      <c r="Y882" s="2" t="s">
        <v>256</v>
      </c>
    </row>
    <row r="883" spans="2:25">
      <c r="B883" s="1">
        <v>46168</v>
      </c>
      <c r="C883" s="2">
        <v>1116</v>
      </c>
      <c r="D883" s="2">
        <v>308</v>
      </c>
      <c r="E883" s="2" t="s">
        <v>255</v>
      </c>
      <c r="V883" s="3">
        <v>46007</v>
      </c>
      <c r="W883" s="215">
        <v>904</v>
      </c>
      <c r="X883" s="215">
        <v>478</v>
      </c>
      <c r="Y883" s="2" t="s">
        <v>256</v>
      </c>
    </row>
    <row r="884" spans="2:25">
      <c r="B884" s="1">
        <v>46168</v>
      </c>
      <c r="C884" s="2">
        <v>393</v>
      </c>
      <c r="D884" s="2">
        <v>308</v>
      </c>
      <c r="E884" s="2" t="s">
        <v>255</v>
      </c>
      <c r="V884" s="3">
        <v>46007</v>
      </c>
      <c r="W884" s="215">
        <v>903</v>
      </c>
      <c r="X884" s="215">
        <v>360</v>
      </c>
      <c r="Y884" s="2" t="s">
        <v>256</v>
      </c>
    </row>
    <row r="885" spans="2:25">
      <c r="B885" s="1">
        <v>46168</v>
      </c>
      <c r="C885" s="2">
        <v>448</v>
      </c>
      <c r="D885" s="2">
        <v>306</v>
      </c>
      <c r="E885" s="2" t="s">
        <v>255</v>
      </c>
      <c r="V885" s="3">
        <v>46007</v>
      </c>
      <c r="W885" s="215">
        <v>902</v>
      </c>
      <c r="X885" s="215">
        <v>388</v>
      </c>
      <c r="Y885" s="2" t="s">
        <v>256</v>
      </c>
    </row>
    <row r="886" spans="2:25">
      <c r="B886" s="1">
        <v>46168</v>
      </c>
      <c r="C886" s="2">
        <v>626</v>
      </c>
      <c r="D886" s="2">
        <v>305</v>
      </c>
      <c r="E886" s="2" t="s">
        <v>255</v>
      </c>
      <c r="V886" s="3">
        <v>46007</v>
      </c>
      <c r="W886" s="215">
        <v>901</v>
      </c>
      <c r="X886" s="215">
        <v>546</v>
      </c>
      <c r="Y886" s="2" t="s">
        <v>256</v>
      </c>
    </row>
    <row r="887" spans="2:25">
      <c r="B887" s="1">
        <v>46168</v>
      </c>
      <c r="C887" s="2">
        <v>736</v>
      </c>
      <c r="D887" s="2">
        <v>304</v>
      </c>
      <c r="E887" s="2" t="s">
        <v>255</v>
      </c>
      <c r="V887" s="3">
        <v>46007</v>
      </c>
      <c r="W887" s="215">
        <v>899</v>
      </c>
      <c r="X887" s="215">
        <v>425</v>
      </c>
      <c r="Y887" s="2" t="s">
        <v>256</v>
      </c>
    </row>
    <row r="888" spans="2:25">
      <c r="B888" s="1">
        <v>46168</v>
      </c>
      <c r="C888" s="2">
        <v>574</v>
      </c>
      <c r="D888" s="2">
        <v>304</v>
      </c>
      <c r="E888" s="2" t="s">
        <v>255</v>
      </c>
      <c r="V888" s="3">
        <v>46007</v>
      </c>
      <c r="W888" s="2">
        <v>898</v>
      </c>
      <c r="X888" s="2">
        <v>404</v>
      </c>
      <c r="Y888" s="2" t="s">
        <v>256</v>
      </c>
    </row>
    <row r="889" spans="2:25">
      <c r="B889" s="1">
        <v>46168</v>
      </c>
      <c r="C889" s="2">
        <v>352</v>
      </c>
      <c r="D889" s="2">
        <v>304</v>
      </c>
      <c r="E889" s="2" t="s">
        <v>255</v>
      </c>
      <c r="V889" s="3">
        <v>46007</v>
      </c>
      <c r="W889" s="2">
        <v>897</v>
      </c>
      <c r="X889" s="2">
        <v>491</v>
      </c>
      <c r="Y889" s="2" t="s">
        <v>256</v>
      </c>
    </row>
    <row r="890" spans="2:25">
      <c r="B890" s="1">
        <v>46168</v>
      </c>
      <c r="C890" s="2">
        <v>270</v>
      </c>
      <c r="D890" s="2">
        <v>301</v>
      </c>
      <c r="E890" s="2" t="s">
        <v>255</v>
      </c>
      <c r="V890" s="3">
        <v>46007</v>
      </c>
      <c r="W890" s="215">
        <v>896</v>
      </c>
      <c r="X890" s="215">
        <v>536</v>
      </c>
      <c r="Y890" s="2" t="s">
        <v>256</v>
      </c>
    </row>
    <row r="891" spans="2:25">
      <c r="B891" s="1">
        <v>46168</v>
      </c>
      <c r="C891" s="2">
        <v>898</v>
      </c>
      <c r="D891" s="2">
        <v>299</v>
      </c>
      <c r="E891" s="2" t="s">
        <v>255</v>
      </c>
      <c r="V891" s="3">
        <v>46007</v>
      </c>
      <c r="W891" s="2">
        <v>895</v>
      </c>
      <c r="X891" s="2">
        <v>487</v>
      </c>
      <c r="Y891" s="2" t="s">
        <v>256</v>
      </c>
    </row>
    <row r="892" spans="2:25">
      <c r="B892" s="1">
        <v>46168</v>
      </c>
      <c r="C892" s="2">
        <v>308</v>
      </c>
      <c r="D892" s="2">
        <v>298</v>
      </c>
      <c r="E892" s="2" t="s">
        <v>255</v>
      </c>
      <c r="V892" s="3">
        <v>46007</v>
      </c>
      <c r="W892" s="2">
        <v>893</v>
      </c>
      <c r="X892" s="2">
        <v>527</v>
      </c>
      <c r="Y892" s="2" t="s">
        <v>256</v>
      </c>
    </row>
    <row r="893" spans="2:25">
      <c r="B893" s="1">
        <v>46168</v>
      </c>
      <c r="C893" s="2">
        <v>217</v>
      </c>
      <c r="D893" s="2">
        <v>297</v>
      </c>
      <c r="E893" s="2" t="s">
        <v>255</v>
      </c>
      <c r="V893" s="3">
        <v>46007</v>
      </c>
      <c r="W893" s="2">
        <v>893</v>
      </c>
      <c r="X893" s="2">
        <v>236</v>
      </c>
      <c r="Y893" s="2" t="s">
        <v>256</v>
      </c>
    </row>
    <row r="894" spans="2:25">
      <c r="B894" s="1">
        <v>46168</v>
      </c>
      <c r="C894" s="2">
        <v>902</v>
      </c>
      <c r="D894" s="2">
        <v>295</v>
      </c>
      <c r="E894" s="2" t="s">
        <v>255</v>
      </c>
      <c r="V894" s="3">
        <v>46007</v>
      </c>
      <c r="W894" s="2">
        <v>891</v>
      </c>
      <c r="X894" s="2">
        <v>484</v>
      </c>
      <c r="Y894" s="2" t="s">
        <v>256</v>
      </c>
    </row>
    <row r="895" spans="2:25">
      <c r="B895" s="1">
        <v>46168</v>
      </c>
      <c r="C895" s="2">
        <v>505</v>
      </c>
      <c r="D895" s="2">
        <v>294</v>
      </c>
      <c r="E895" s="2" t="s">
        <v>255</v>
      </c>
      <c r="V895" s="3">
        <v>46007</v>
      </c>
      <c r="W895" s="215">
        <v>890</v>
      </c>
      <c r="X895" s="215">
        <v>445</v>
      </c>
      <c r="Y895" s="2" t="s">
        <v>256</v>
      </c>
    </row>
    <row r="896" spans="2:25">
      <c r="B896" s="1">
        <v>46168</v>
      </c>
      <c r="C896" s="2">
        <v>1169</v>
      </c>
      <c r="D896" s="2">
        <v>293</v>
      </c>
      <c r="E896" s="2" t="s">
        <v>255</v>
      </c>
      <c r="V896" s="3">
        <v>46007</v>
      </c>
      <c r="W896" s="215">
        <v>889</v>
      </c>
      <c r="X896" s="215">
        <v>472</v>
      </c>
      <c r="Y896" s="2" t="s">
        <v>256</v>
      </c>
    </row>
    <row r="897" spans="2:25">
      <c r="B897" s="1">
        <v>46168</v>
      </c>
      <c r="C897" s="2">
        <v>349</v>
      </c>
      <c r="D897" s="2">
        <v>293</v>
      </c>
      <c r="E897" s="2" t="s">
        <v>255</v>
      </c>
      <c r="V897" s="3">
        <v>46007</v>
      </c>
      <c r="W897" s="215">
        <v>886</v>
      </c>
      <c r="X897" s="215">
        <v>401</v>
      </c>
      <c r="Y897" s="2" t="s">
        <v>256</v>
      </c>
    </row>
    <row r="898" spans="2:25">
      <c r="B898" s="1">
        <v>46168</v>
      </c>
      <c r="C898" s="2">
        <v>557</v>
      </c>
      <c r="D898" s="2">
        <v>292</v>
      </c>
      <c r="E898" s="2" t="s">
        <v>255</v>
      </c>
      <c r="V898" s="3">
        <v>46007</v>
      </c>
      <c r="W898" s="2">
        <v>885</v>
      </c>
      <c r="X898" s="2">
        <v>501</v>
      </c>
      <c r="Y898" s="2" t="s">
        <v>256</v>
      </c>
    </row>
    <row r="899" spans="2:25">
      <c r="B899" s="1">
        <v>46168</v>
      </c>
      <c r="C899" s="2">
        <v>562</v>
      </c>
      <c r="D899" s="2">
        <v>291</v>
      </c>
      <c r="E899" s="2" t="s">
        <v>255</v>
      </c>
      <c r="V899" s="3">
        <v>46007</v>
      </c>
      <c r="W899" s="215">
        <v>885</v>
      </c>
      <c r="X899" s="215">
        <v>427</v>
      </c>
      <c r="Y899" s="2" t="s">
        <v>256</v>
      </c>
    </row>
    <row r="900" spans="2:25">
      <c r="B900" s="1">
        <v>46168</v>
      </c>
      <c r="C900" s="2">
        <v>548</v>
      </c>
      <c r="D900" s="2">
        <v>290</v>
      </c>
      <c r="E900" s="2" t="s">
        <v>255</v>
      </c>
      <c r="V900" s="3">
        <v>46007</v>
      </c>
      <c r="W900" s="2">
        <v>883</v>
      </c>
      <c r="X900" s="2">
        <v>496</v>
      </c>
      <c r="Y900" s="2" t="s">
        <v>256</v>
      </c>
    </row>
    <row r="901" spans="2:25">
      <c r="B901" s="1">
        <v>46168</v>
      </c>
      <c r="C901" s="2">
        <v>470</v>
      </c>
      <c r="D901" s="2">
        <v>290</v>
      </c>
      <c r="E901" s="2" t="s">
        <v>255</v>
      </c>
      <c r="V901" s="3">
        <v>46007</v>
      </c>
      <c r="W901" s="2">
        <v>882</v>
      </c>
      <c r="X901" s="2">
        <v>448</v>
      </c>
      <c r="Y901" s="2" t="s">
        <v>256</v>
      </c>
    </row>
    <row r="902" spans="2:25">
      <c r="B902" s="1">
        <v>46168</v>
      </c>
      <c r="C902" s="2">
        <v>339</v>
      </c>
      <c r="D902" s="2">
        <v>288</v>
      </c>
      <c r="E902" s="2" t="s">
        <v>255</v>
      </c>
      <c r="V902" s="3">
        <v>46007</v>
      </c>
      <c r="W902" s="2">
        <v>881</v>
      </c>
      <c r="X902" s="2">
        <v>463</v>
      </c>
      <c r="Y902" s="2" t="s">
        <v>256</v>
      </c>
    </row>
    <row r="903" spans="2:25">
      <c r="B903" s="1">
        <v>46168</v>
      </c>
      <c r="C903" s="2">
        <v>79</v>
      </c>
      <c r="D903" s="2">
        <v>287</v>
      </c>
      <c r="E903" s="2" t="s">
        <v>255</v>
      </c>
      <c r="V903" s="3">
        <v>46007</v>
      </c>
      <c r="W903" s="215">
        <v>879</v>
      </c>
      <c r="X903" s="215">
        <v>498</v>
      </c>
      <c r="Y903" s="2" t="s">
        <v>256</v>
      </c>
    </row>
    <row r="904" spans="2:25">
      <c r="B904" s="1">
        <v>46168</v>
      </c>
      <c r="C904" s="2">
        <v>451</v>
      </c>
      <c r="D904" s="2">
        <v>286</v>
      </c>
      <c r="E904" s="2" t="s">
        <v>255</v>
      </c>
      <c r="V904" s="3">
        <v>46007</v>
      </c>
      <c r="W904" s="215">
        <v>878</v>
      </c>
      <c r="X904" s="215">
        <v>395</v>
      </c>
      <c r="Y904" s="2" t="s">
        <v>256</v>
      </c>
    </row>
    <row r="905" spans="2:25">
      <c r="B905" s="1">
        <v>46168</v>
      </c>
      <c r="C905" s="2">
        <v>709</v>
      </c>
      <c r="D905" s="2">
        <v>285</v>
      </c>
      <c r="E905" s="2" t="s">
        <v>255</v>
      </c>
      <c r="V905" s="3">
        <v>46007</v>
      </c>
      <c r="W905" s="215">
        <v>875</v>
      </c>
      <c r="X905" s="215">
        <v>495</v>
      </c>
      <c r="Y905" s="2" t="s">
        <v>256</v>
      </c>
    </row>
    <row r="906" spans="2:25">
      <c r="B906" s="1">
        <v>46168</v>
      </c>
      <c r="C906" s="2">
        <v>403</v>
      </c>
      <c r="D906" s="2">
        <v>285</v>
      </c>
      <c r="E906" s="2" t="s">
        <v>255</v>
      </c>
      <c r="V906" s="3">
        <v>46007</v>
      </c>
      <c r="W906" s="215">
        <v>873</v>
      </c>
      <c r="X906" s="215">
        <v>385</v>
      </c>
      <c r="Y906" s="2" t="s">
        <v>256</v>
      </c>
    </row>
    <row r="907" spans="2:25">
      <c r="B907" s="1">
        <v>46168</v>
      </c>
      <c r="C907" s="2">
        <v>489</v>
      </c>
      <c r="D907" s="2">
        <v>283</v>
      </c>
      <c r="E907" s="2" t="s">
        <v>255</v>
      </c>
      <c r="V907" s="3">
        <v>46007</v>
      </c>
      <c r="W907" s="215">
        <v>872</v>
      </c>
      <c r="X907" s="215">
        <v>455</v>
      </c>
      <c r="Y907" s="2" t="s">
        <v>256</v>
      </c>
    </row>
    <row r="908" spans="2:25">
      <c r="B908" s="1">
        <v>46168</v>
      </c>
      <c r="C908" s="2">
        <v>11</v>
      </c>
      <c r="D908" s="2">
        <v>283</v>
      </c>
      <c r="E908" s="2" t="s">
        <v>255</v>
      </c>
      <c r="V908" s="3">
        <v>46007</v>
      </c>
      <c r="W908" s="215">
        <v>871</v>
      </c>
      <c r="X908" s="215">
        <v>477</v>
      </c>
      <c r="Y908" s="2" t="s">
        <v>256</v>
      </c>
    </row>
    <row r="909" spans="2:25">
      <c r="B909" s="1">
        <v>46168</v>
      </c>
      <c r="C909" s="2">
        <v>246</v>
      </c>
      <c r="D909" s="2">
        <v>282</v>
      </c>
      <c r="E909" s="2" t="s">
        <v>255</v>
      </c>
      <c r="V909" s="3">
        <v>46007</v>
      </c>
      <c r="W909" s="215">
        <v>870</v>
      </c>
      <c r="X909" s="215">
        <v>379</v>
      </c>
      <c r="Y909" s="2" t="s">
        <v>256</v>
      </c>
    </row>
    <row r="910" spans="2:25">
      <c r="B910" s="1">
        <v>46168</v>
      </c>
      <c r="C910" s="2">
        <v>761</v>
      </c>
      <c r="D910" s="2">
        <v>279</v>
      </c>
      <c r="E910" s="2" t="s">
        <v>255</v>
      </c>
      <c r="V910" s="3">
        <v>46007</v>
      </c>
      <c r="W910" s="215">
        <v>869</v>
      </c>
      <c r="X910" s="215">
        <v>437</v>
      </c>
      <c r="Y910" s="2" t="s">
        <v>256</v>
      </c>
    </row>
    <row r="911" spans="2:25">
      <c r="B911" s="1">
        <v>46168</v>
      </c>
      <c r="C911" s="2">
        <v>258</v>
      </c>
      <c r="D911" s="2">
        <v>275</v>
      </c>
      <c r="E911" s="2" t="s">
        <v>255</v>
      </c>
      <c r="V911" s="3">
        <v>46007</v>
      </c>
      <c r="W911" s="215">
        <v>868</v>
      </c>
      <c r="X911" s="215">
        <v>366</v>
      </c>
      <c r="Y911" s="2" t="s">
        <v>256</v>
      </c>
    </row>
    <row r="912" spans="2:25">
      <c r="B912" s="1">
        <v>46168</v>
      </c>
      <c r="C912" s="2">
        <v>244</v>
      </c>
      <c r="D912" s="2">
        <v>275</v>
      </c>
      <c r="E912" s="2" t="s">
        <v>255</v>
      </c>
      <c r="V912" s="3">
        <v>46007</v>
      </c>
      <c r="W912" s="2">
        <v>867</v>
      </c>
      <c r="X912" s="2">
        <v>559</v>
      </c>
      <c r="Y912" s="2" t="s">
        <v>256</v>
      </c>
    </row>
    <row r="913" spans="2:25">
      <c r="B913" s="1">
        <v>46168</v>
      </c>
      <c r="C913" s="2">
        <v>21</v>
      </c>
      <c r="D913" s="2">
        <v>275</v>
      </c>
      <c r="E913" s="2" t="s">
        <v>255</v>
      </c>
      <c r="V913" s="3">
        <v>46007</v>
      </c>
      <c r="W913" s="215">
        <v>864</v>
      </c>
      <c r="X913" s="215">
        <v>447</v>
      </c>
      <c r="Y913" s="2" t="s">
        <v>256</v>
      </c>
    </row>
    <row r="914" spans="2:25">
      <c r="B914" s="1">
        <v>46168</v>
      </c>
      <c r="C914" s="2">
        <v>243</v>
      </c>
      <c r="D914" s="2">
        <v>273</v>
      </c>
      <c r="E914" s="2" t="s">
        <v>255</v>
      </c>
      <c r="V914" s="3">
        <v>46007</v>
      </c>
      <c r="W914" s="215">
        <v>863</v>
      </c>
      <c r="X914" s="215">
        <v>417</v>
      </c>
      <c r="Y914" s="2" t="s">
        <v>256</v>
      </c>
    </row>
    <row r="915" spans="2:25">
      <c r="B915" s="1">
        <v>46168</v>
      </c>
      <c r="C915" s="2">
        <v>245</v>
      </c>
      <c r="D915" s="2">
        <v>272</v>
      </c>
      <c r="E915" s="2" t="s">
        <v>255</v>
      </c>
      <c r="V915" s="3">
        <v>46007</v>
      </c>
      <c r="W915" s="215">
        <v>862</v>
      </c>
      <c r="X915" s="215">
        <v>412</v>
      </c>
      <c r="Y915" s="2" t="s">
        <v>256</v>
      </c>
    </row>
    <row r="916" spans="2:25">
      <c r="B916" s="1">
        <v>46168</v>
      </c>
      <c r="C916" s="2">
        <v>41</v>
      </c>
      <c r="D916" s="2">
        <v>272</v>
      </c>
      <c r="E916" s="2" t="s">
        <v>255</v>
      </c>
      <c r="V916" s="3">
        <v>46007</v>
      </c>
      <c r="W916" s="215">
        <v>858</v>
      </c>
      <c r="X916" s="215">
        <v>426</v>
      </c>
      <c r="Y916" s="2" t="s">
        <v>256</v>
      </c>
    </row>
    <row r="917" spans="2:25">
      <c r="B917" s="1">
        <v>46168</v>
      </c>
      <c r="C917" s="2">
        <v>893</v>
      </c>
      <c r="D917" s="2">
        <v>270</v>
      </c>
      <c r="E917" s="2" t="s">
        <v>255</v>
      </c>
      <c r="V917" s="3">
        <v>46007</v>
      </c>
      <c r="W917" s="215">
        <v>857</v>
      </c>
      <c r="X917" s="215">
        <v>451</v>
      </c>
      <c r="Y917" s="2" t="s">
        <v>256</v>
      </c>
    </row>
    <row r="918" spans="2:25">
      <c r="B918" s="1">
        <v>46168</v>
      </c>
      <c r="C918" s="2">
        <v>607</v>
      </c>
      <c r="D918" s="2">
        <v>269</v>
      </c>
      <c r="E918" s="2" t="s">
        <v>255</v>
      </c>
      <c r="V918" s="3">
        <v>46007</v>
      </c>
      <c r="W918" s="2">
        <v>856</v>
      </c>
      <c r="X918" s="2">
        <v>513</v>
      </c>
      <c r="Y918" s="2" t="s">
        <v>256</v>
      </c>
    </row>
    <row r="919" spans="2:25">
      <c r="B919" s="1">
        <v>46168</v>
      </c>
      <c r="C919" s="2">
        <v>315</v>
      </c>
      <c r="D919" s="2">
        <v>268</v>
      </c>
      <c r="E919" s="2" t="s">
        <v>255</v>
      </c>
      <c r="V919" s="3">
        <v>46007</v>
      </c>
      <c r="W919" s="215">
        <v>855</v>
      </c>
      <c r="X919" s="215">
        <v>413</v>
      </c>
      <c r="Y919" s="2" t="s">
        <v>256</v>
      </c>
    </row>
    <row r="920" spans="2:25">
      <c r="B920" s="1">
        <v>46168</v>
      </c>
      <c r="C920" s="2">
        <v>406</v>
      </c>
      <c r="D920" s="2">
        <v>265</v>
      </c>
      <c r="E920" s="2" t="s">
        <v>255</v>
      </c>
      <c r="V920" s="3">
        <v>46007</v>
      </c>
      <c r="W920" s="215">
        <v>854</v>
      </c>
      <c r="X920" s="215">
        <v>410</v>
      </c>
      <c r="Y920" s="2" t="s">
        <v>256</v>
      </c>
    </row>
    <row r="921" spans="2:25">
      <c r="B921" s="1">
        <v>46168</v>
      </c>
      <c r="C921" s="2">
        <v>133</v>
      </c>
      <c r="D921" s="2">
        <v>265</v>
      </c>
      <c r="E921" s="2" t="s">
        <v>255</v>
      </c>
      <c r="V921" s="3">
        <v>46007</v>
      </c>
      <c r="W921" s="2">
        <v>853</v>
      </c>
      <c r="X921" s="2">
        <v>437</v>
      </c>
      <c r="Y921" s="2" t="s">
        <v>256</v>
      </c>
    </row>
    <row r="922" spans="2:25">
      <c r="B922" s="1">
        <v>46168</v>
      </c>
      <c r="C922" s="2">
        <v>618</v>
      </c>
      <c r="D922" s="2">
        <v>264</v>
      </c>
      <c r="E922" s="2" t="s">
        <v>255</v>
      </c>
      <c r="V922" s="3">
        <v>46007</v>
      </c>
      <c r="W922" s="215">
        <v>852</v>
      </c>
      <c r="X922" s="215">
        <v>475</v>
      </c>
      <c r="Y922" s="2" t="s">
        <v>256</v>
      </c>
    </row>
    <row r="923" spans="2:25">
      <c r="B923" s="1">
        <v>46168</v>
      </c>
      <c r="C923" s="2">
        <v>16</v>
      </c>
      <c r="D923" s="2">
        <v>264</v>
      </c>
      <c r="E923" s="2" t="s">
        <v>255</v>
      </c>
      <c r="V923" s="3">
        <v>46007</v>
      </c>
      <c r="W923" s="215">
        <v>850</v>
      </c>
      <c r="X923" s="215">
        <v>461</v>
      </c>
      <c r="Y923" s="2" t="s">
        <v>256</v>
      </c>
    </row>
    <row r="924" spans="2:25">
      <c r="B924" s="1">
        <v>46168</v>
      </c>
      <c r="C924" s="2">
        <v>75</v>
      </c>
      <c r="D924" s="2">
        <v>263</v>
      </c>
      <c r="E924" s="2" t="s">
        <v>255</v>
      </c>
      <c r="V924" s="3">
        <v>46007</v>
      </c>
      <c r="W924" s="215">
        <v>848</v>
      </c>
      <c r="X924" s="215">
        <v>496</v>
      </c>
      <c r="Y924" s="2" t="s">
        <v>256</v>
      </c>
    </row>
    <row r="925" spans="2:25">
      <c r="B925" s="1">
        <v>46168</v>
      </c>
      <c r="C925" s="2">
        <v>226</v>
      </c>
      <c r="D925" s="2">
        <v>260</v>
      </c>
      <c r="E925" s="2" t="s">
        <v>255</v>
      </c>
      <c r="V925" s="3">
        <v>46007</v>
      </c>
      <c r="W925" s="215">
        <v>847</v>
      </c>
      <c r="X925" s="215">
        <v>414</v>
      </c>
      <c r="Y925" s="2" t="s">
        <v>256</v>
      </c>
    </row>
    <row r="926" spans="2:25">
      <c r="B926" s="1">
        <v>46168</v>
      </c>
      <c r="C926" s="2">
        <v>266</v>
      </c>
      <c r="D926" s="2">
        <v>258</v>
      </c>
      <c r="E926" s="2" t="s">
        <v>255</v>
      </c>
      <c r="V926" s="3">
        <v>46007</v>
      </c>
      <c r="W926" s="215">
        <v>846</v>
      </c>
      <c r="X926" s="215">
        <v>480</v>
      </c>
      <c r="Y926" s="2" t="s">
        <v>256</v>
      </c>
    </row>
    <row r="927" spans="2:25">
      <c r="B927" s="1">
        <v>46168</v>
      </c>
      <c r="C927" s="2">
        <v>1254</v>
      </c>
      <c r="D927" s="2">
        <v>256</v>
      </c>
      <c r="E927" s="2" t="s">
        <v>255</v>
      </c>
      <c r="V927" s="3">
        <v>46007</v>
      </c>
      <c r="W927" s="215">
        <v>844</v>
      </c>
      <c r="X927" s="215">
        <v>453</v>
      </c>
      <c r="Y927" s="2" t="s">
        <v>256</v>
      </c>
    </row>
    <row r="928" spans="2:25">
      <c r="B928" s="1">
        <v>46168</v>
      </c>
      <c r="C928" s="2">
        <v>44</v>
      </c>
      <c r="D928" s="2">
        <v>256</v>
      </c>
      <c r="E928" s="2" t="s">
        <v>255</v>
      </c>
      <c r="V928" s="3">
        <v>46007</v>
      </c>
      <c r="W928" s="2">
        <v>843</v>
      </c>
      <c r="X928" s="2">
        <v>421</v>
      </c>
      <c r="Y928" s="2" t="s">
        <v>256</v>
      </c>
    </row>
    <row r="929" spans="2:25">
      <c r="B929" s="1">
        <v>46168</v>
      </c>
      <c r="C929" s="2">
        <v>90</v>
      </c>
      <c r="D929" s="2">
        <v>255</v>
      </c>
      <c r="E929" s="2" t="s">
        <v>255</v>
      </c>
      <c r="V929" s="3">
        <v>46007</v>
      </c>
      <c r="W929" s="215">
        <v>842</v>
      </c>
      <c r="X929" s="215">
        <v>421</v>
      </c>
      <c r="Y929" s="2" t="s">
        <v>256</v>
      </c>
    </row>
    <row r="930" spans="2:25">
      <c r="B930" s="1">
        <v>46168</v>
      </c>
      <c r="C930" s="2">
        <v>141</v>
      </c>
      <c r="D930" s="2">
        <v>254</v>
      </c>
      <c r="E930" s="2" t="s">
        <v>255</v>
      </c>
      <c r="V930" s="3">
        <v>46007</v>
      </c>
      <c r="W930" s="215">
        <v>839</v>
      </c>
      <c r="X930" s="215">
        <v>447</v>
      </c>
      <c r="Y930" s="2" t="s">
        <v>256</v>
      </c>
    </row>
    <row r="931" spans="2:25">
      <c r="B931" s="1">
        <v>46168</v>
      </c>
      <c r="C931" s="2">
        <v>12</v>
      </c>
      <c r="D931" s="2">
        <v>253</v>
      </c>
      <c r="E931" s="2" t="s">
        <v>255</v>
      </c>
      <c r="V931" s="3">
        <v>46007</v>
      </c>
      <c r="W931" s="2">
        <v>838</v>
      </c>
      <c r="X931" s="2">
        <v>481</v>
      </c>
      <c r="Y931" s="2" t="s">
        <v>256</v>
      </c>
    </row>
    <row r="932" spans="2:25">
      <c r="B932" s="1">
        <v>46168</v>
      </c>
      <c r="C932" s="2">
        <v>1270</v>
      </c>
      <c r="D932" s="2">
        <v>252</v>
      </c>
      <c r="E932" s="2" t="s">
        <v>255</v>
      </c>
      <c r="V932" s="3">
        <v>46007</v>
      </c>
      <c r="W932" s="215">
        <v>837</v>
      </c>
      <c r="X932" s="215">
        <v>351</v>
      </c>
      <c r="Y932" s="2" t="s">
        <v>256</v>
      </c>
    </row>
    <row r="933" spans="2:25">
      <c r="B933" s="1">
        <v>46168</v>
      </c>
      <c r="C933" s="2">
        <v>903</v>
      </c>
      <c r="D933" s="2">
        <v>251</v>
      </c>
      <c r="E933" s="2" t="s">
        <v>255</v>
      </c>
      <c r="V933" s="3">
        <v>46007</v>
      </c>
      <c r="W933" s="215">
        <v>836</v>
      </c>
      <c r="X933" s="215">
        <v>388</v>
      </c>
      <c r="Y933" s="2" t="s">
        <v>256</v>
      </c>
    </row>
    <row r="934" spans="2:25">
      <c r="B934" s="1">
        <v>46168</v>
      </c>
      <c r="C934" s="2">
        <v>581</v>
      </c>
      <c r="D934" s="2">
        <v>251</v>
      </c>
      <c r="E934" s="2" t="s">
        <v>255</v>
      </c>
      <c r="V934" s="3">
        <v>46007</v>
      </c>
      <c r="W934" s="215">
        <v>835</v>
      </c>
      <c r="X934" s="215">
        <v>450</v>
      </c>
      <c r="Y934" s="2" t="s">
        <v>256</v>
      </c>
    </row>
    <row r="935" spans="2:25">
      <c r="B935" s="1">
        <v>46168</v>
      </c>
      <c r="C935" s="2">
        <v>104</v>
      </c>
      <c r="D935" s="2">
        <v>251</v>
      </c>
      <c r="E935" s="2" t="s">
        <v>255</v>
      </c>
      <c r="V935" s="3">
        <v>46007</v>
      </c>
      <c r="W935" s="215">
        <v>834</v>
      </c>
      <c r="X935" s="215">
        <v>401</v>
      </c>
      <c r="Y935" s="2" t="s">
        <v>256</v>
      </c>
    </row>
    <row r="936" spans="2:25">
      <c r="B936" s="1">
        <v>46168</v>
      </c>
      <c r="C936" s="2">
        <v>130</v>
      </c>
      <c r="D936" s="2">
        <v>250</v>
      </c>
      <c r="E936" s="2" t="s">
        <v>255</v>
      </c>
      <c r="V936" s="3">
        <v>46007</v>
      </c>
      <c r="W936" s="215">
        <v>833</v>
      </c>
      <c r="X936" s="215">
        <v>350</v>
      </c>
      <c r="Y936" s="2" t="s">
        <v>256</v>
      </c>
    </row>
    <row r="937" spans="2:25">
      <c r="B937" s="1">
        <v>46168</v>
      </c>
      <c r="C937" s="2">
        <v>84</v>
      </c>
      <c r="D937" s="2">
        <v>250</v>
      </c>
      <c r="E937" s="2" t="s">
        <v>255</v>
      </c>
      <c r="V937" s="3">
        <v>46007</v>
      </c>
      <c r="W937" s="215">
        <v>831</v>
      </c>
      <c r="X937" s="215">
        <v>435</v>
      </c>
      <c r="Y937" s="2" t="s">
        <v>256</v>
      </c>
    </row>
    <row r="938" spans="2:25">
      <c r="B938" s="1">
        <v>46168</v>
      </c>
      <c r="C938" s="2">
        <v>65</v>
      </c>
      <c r="D938" s="2">
        <v>249</v>
      </c>
      <c r="E938" s="2" t="s">
        <v>255</v>
      </c>
      <c r="V938" s="3">
        <v>46007</v>
      </c>
      <c r="W938" s="2">
        <v>830</v>
      </c>
      <c r="X938" s="2">
        <v>519</v>
      </c>
      <c r="Y938" s="2" t="s">
        <v>256</v>
      </c>
    </row>
    <row r="939" spans="2:25">
      <c r="B939" s="1">
        <v>46168</v>
      </c>
      <c r="C939" s="2">
        <v>252</v>
      </c>
      <c r="D939" s="2">
        <v>248</v>
      </c>
      <c r="E939" s="2" t="s">
        <v>255</v>
      </c>
      <c r="V939" s="3">
        <v>46007</v>
      </c>
      <c r="W939" s="215">
        <v>829</v>
      </c>
      <c r="X939" s="215">
        <v>482</v>
      </c>
      <c r="Y939" s="2" t="s">
        <v>256</v>
      </c>
    </row>
    <row r="940" spans="2:25">
      <c r="B940" s="1">
        <v>46168</v>
      </c>
      <c r="C940" s="2">
        <v>235</v>
      </c>
      <c r="D940" s="2">
        <v>247</v>
      </c>
      <c r="E940" s="2" t="s">
        <v>255</v>
      </c>
      <c r="V940" s="3">
        <v>46007</v>
      </c>
      <c r="W940" s="215">
        <v>828</v>
      </c>
      <c r="X940" s="215">
        <v>412</v>
      </c>
      <c r="Y940" s="2" t="s">
        <v>256</v>
      </c>
    </row>
    <row r="941" spans="2:25">
      <c r="B941" s="1">
        <v>46168</v>
      </c>
      <c r="C941" s="2">
        <v>76</v>
      </c>
      <c r="D941" s="2">
        <v>247</v>
      </c>
      <c r="E941" s="2" t="s">
        <v>255</v>
      </c>
      <c r="V941" s="3">
        <v>46007</v>
      </c>
      <c r="W941" s="215">
        <v>824</v>
      </c>
      <c r="X941" s="215">
        <v>447</v>
      </c>
      <c r="Y941" s="2" t="s">
        <v>256</v>
      </c>
    </row>
    <row r="942" spans="2:25">
      <c r="B942" s="1">
        <v>46168</v>
      </c>
      <c r="C942" s="2">
        <v>18</v>
      </c>
      <c r="D942" s="2">
        <v>247</v>
      </c>
      <c r="E942" s="2" t="s">
        <v>255</v>
      </c>
      <c r="V942" s="3">
        <v>46007</v>
      </c>
      <c r="W942" s="215">
        <v>823</v>
      </c>
      <c r="X942" s="215">
        <v>415</v>
      </c>
      <c r="Y942" s="2" t="s">
        <v>256</v>
      </c>
    </row>
    <row r="943" spans="2:25">
      <c r="B943" s="1">
        <v>46168</v>
      </c>
      <c r="C943" s="2">
        <v>5</v>
      </c>
      <c r="D943" s="2">
        <v>247</v>
      </c>
      <c r="E943" s="2" t="s">
        <v>255</v>
      </c>
      <c r="V943" s="3">
        <v>46007</v>
      </c>
      <c r="W943" s="215">
        <v>822</v>
      </c>
      <c r="X943" s="215">
        <v>468</v>
      </c>
      <c r="Y943" s="2" t="s">
        <v>256</v>
      </c>
    </row>
    <row r="944" spans="2:25">
      <c r="B944" s="1">
        <v>46168</v>
      </c>
      <c r="C944" s="2">
        <v>122</v>
      </c>
      <c r="D944" s="2">
        <v>246</v>
      </c>
      <c r="E944" s="2" t="s">
        <v>255</v>
      </c>
      <c r="V944" s="3">
        <v>46007</v>
      </c>
      <c r="W944" s="215">
        <v>821</v>
      </c>
      <c r="X944" s="215">
        <v>383</v>
      </c>
      <c r="Y944" s="2" t="s">
        <v>256</v>
      </c>
    </row>
    <row r="945" spans="2:25">
      <c r="B945" s="1">
        <v>46168</v>
      </c>
      <c r="C945" s="2">
        <v>6</v>
      </c>
      <c r="D945" s="2">
        <v>246</v>
      </c>
      <c r="E945" s="2" t="s">
        <v>255</v>
      </c>
      <c r="V945" s="3">
        <v>46007</v>
      </c>
      <c r="W945" s="2">
        <v>820</v>
      </c>
      <c r="X945" s="2">
        <v>463</v>
      </c>
      <c r="Y945" s="2" t="s">
        <v>256</v>
      </c>
    </row>
    <row r="946" spans="2:25">
      <c r="B946" s="1">
        <v>46168</v>
      </c>
      <c r="C946" s="2">
        <v>604</v>
      </c>
      <c r="D946" s="2">
        <v>244</v>
      </c>
      <c r="E946" s="2" t="s">
        <v>255</v>
      </c>
      <c r="V946" s="3">
        <v>46007</v>
      </c>
      <c r="W946" s="215">
        <v>818</v>
      </c>
      <c r="X946" s="215">
        <v>486</v>
      </c>
      <c r="Y946" s="2" t="s">
        <v>256</v>
      </c>
    </row>
    <row r="947" spans="2:25">
      <c r="B947" s="1">
        <v>46168</v>
      </c>
      <c r="C947" s="2">
        <v>51</v>
      </c>
      <c r="D947" s="2">
        <v>244</v>
      </c>
      <c r="E947" s="2" t="s">
        <v>255</v>
      </c>
      <c r="V947" s="3">
        <v>46007</v>
      </c>
      <c r="W947" s="215">
        <v>817</v>
      </c>
      <c r="X947" s="215">
        <v>404</v>
      </c>
      <c r="Y947" s="2" t="s">
        <v>256</v>
      </c>
    </row>
    <row r="948" spans="2:25">
      <c r="B948" s="1">
        <v>46168</v>
      </c>
      <c r="C948" s="2">
        <v>99</v>
      </c>
      <c r="D948" s="2">
        <v>243</v>
      </c>
      <c r="E948" s="2" t="s">
        <v>255</v>
      </c>
      <c r="V948" s="3">
        <v>46007</v>
      </c>
      <c r="W948" s="215">
        <v>815</v>
      </c>
      <c r="X948" s="215">
        <v>427</v>
      </c>
      <c r="Y948" s="2" t="s">
        <v>256</v>
      </c>
    </row>
    <row r="949" spans="2:25">
      <c r="B949" s="1">
        <v>46168</v>
      </c>
      <c r="C949" s="2">
        <v>187</v>
      </c>
      <c r="D949" s="2">
        <v>241</v>
      </c>
      <c r="E949" s="2" t="s">
        <v>255</v>
      </c>
      <c r="V949" s="3">
        <v>46007</v>
      </c>
      <c r="W949" s="215">
        <v>813</v>
      </c>
      <c r="X949" s="215">
        <v>462</v>
      </c>
      <c r="Y949" s="2" t="s">
        <v>256</v>
      </c>
    </row>
    <row r="950" spans="2:25">
      <c r="B950" s="1">
        <v>46168</v>
      </c>
      <c r="C950" s="2">
        <v>64</v>
      </c>
      <c r="D950" s="2">
        <v>241</v>
      </c>
      <c r="E950" s="2" t="s">
        <v>255</v>
      </c>
      <c r="V950" s="3">
        <v>46007</v>
      </c>
      <c r="W950" s="215">
        <v>811</v>
      </c>
      <c r="X950" s="215">
        <v>453</v>
      </c>
      <c r="Y950" s="2" t="s">
        <v>256</v>
      </c>
    </row>
    <row r="951" spans="2:25">
      <c r="B951" s="1">
        <v>46168</v>
      </c>
      <c r="C951" s="2">
        <v>193</v>
      </c>
      <c r="D951" s="2">
        <v>240</v>
      </c>
      <c r="E951" s="2" t="s">
        <v>255</v>
      </c>
      <c r="V951" s="3">
        <v>46007</v>
      </c>
      <c r="W951" s="2">
        <v>810</v>
      </c>
      <c r="X951" s="2">
        <v>411</v>
      </c>
      <c r="Y951" s="2" t="s">
        <v>256</v>
      </c>
    </row>
    <row r="952" spans="2:25">
      <c r="B952" s="1">
        <v>46168</v>
      </c>
      <c r="C952" s="2">
        <v>98</v>
      </c>
      <c r="D952" s="2">
        <v>240</v>
      </c>
      <c r="E952" s="2" t="s">
        <v>255</v>
      </c>
      <c r="V952" s="3">
        <v>46007</v>
      </c>
      <c r="W952" s="215">
        <v>809</v>
      </c>
      <c r="X952" s="215">
        <v>417</v>
      </c>
      <c r="Y952" s="2" t="s">
        <v>256</v>
      </c>
    </row>
    <row r="953" spans="2:25">
      <c r="B953" s="1">
        <v>46168</v>
      </c>
      <c r="C953" s="2">
        <v>54</v>
      </c>
      <c r="D953" s="2">
        <v>240</v>
      </c>
      <c r="E953" s="2" t="s">
        <v>255</v>
      </c>
      <c r="V953" s="3">
        <v>46007</v>
      </c>
      <c r="W953" s="215">
        <v>808</v>
      </c>
      <c r="X953" s="215">
        <v>353</v>
      </c>
      <c r="Y953" s="2" t="s">
        <v>256</v>
      </c>
    </row>
    <row r="954" spans="2:25">
      <c r="B954" s="1">
        <v>46168</v>
      </c>
      <c r="C954" s="2">
        <v>189</v>
      </c>
      <c r="D954" s="2">
        <v>237</v>
      </c>
      <c r="E954" s="2" t="s">
        <v>255</v>
      </c>
      <c r="V954" s="3">
        <v>46007</v>
      </c>
      <c r="W954" s="215">
        <v>807</v>
      </c>
      <c r="X954" s="215">
        <v>369</v>
      </c>
      <c r="Y954" s="2" t="s">
        <v>256</v>
      </c>
    </row>
    <row r="955" spans="2:25">
      <c r="B955" s="1">
        <v>46168</v>
      </c>
      <c r="C955" s="2">
        <v>118</v>
      </c>
      <c r="D955" s="2">
        <v>237</v>
      </c>
      <c r="E955" s="2" t="s">
        <v>255</v>
      </c>
      <c r="V955" s="3">
        <v>46007</v>
      </c>
      <c r="W955" s="215">
        <v>806</v>
      </c>
      <c r="X955" s="215">
        <v>412</v>
      </c>
      <c r="Y955" s="2" t="s">
        <v>256</v>
      </c>
    </row>
    <row r="956" spans="2:25">
      <c r="B956" s="1">
        <v>46168</v>
      </c>
      <c r="C956" s="2">
        <v>101</v>
      </c>
      <c r="D956" s="2">
        <v>236</v>
      </c>
      <c r="E956" s="2" t="s">
        <v>255</v>
      </c>
      <c r="V956" s="3">
        <v>46007</v>
      </c>
      <c r="W956" s="215">
        <v>805</v>
      </c>
      <c r="X956" s="215">
        <v>375</v>
      </c>
      <c r="Y956" s="2" t="s">
        <v>256</v>
      </c>
    </row>
    <row r="957" spans="2:25">
      <c r="B957" s="1">
        <v>46168</v>
      </c>
      <c r="C957" s="2">
        <v>2</v>
      </c>
      <c r="D957" s="2">
        <v>234</v>
      </c>
      <c r="E957" s="2" t="s">
        <v>255</v>
      </c>
      <c r="V957" s="3">
        <v>46007</v>
      </c>
      <c r="W957" s="215">
        <v>804</v>
      </c>
      <c r="X957" s="215">
        <v>421</v>
      </c>
      <c r="Y957" s="2" t="s">
        <v>256</v>
      </c>
    </row>
    <row r="958" spans="2:25">
      <c r="B958" s="1">
        <v>46168</v>
      </c>
      <c r="C958" s="2">
        <v>205</v>
      </c>
      <c r="D958" s="2">
        <v>233</v>
      </c>
      <c r="E958" s="2" t="s">
        <v>255</v>
      </c>
      <c r="V958" s="3">
        <v>46007</v>
      </c>
      <c r="W958" s="215">
        <v>803</v>
      </c>
      <c r="X958" s="215">
        <v>450</v>
      </c>
      <c r="Y958" s="2" t="s">
        <v>256</v>
      </c>
    </row>
    <row r="959" spans="2:25">
      <c r="B959" s="1">
        <v>46168</v>
      </c>
      <c r="C959" s="2">
        <v>240</v>
      </c>
      <c r="D959" s="2">
        <v>232</v>
      </c>
      <c r="E959" s="2" t="s">
        <v>255</v>
      </c>
      <c r="V959" s="3">
        <v>46007</v>
      </c>
      <c r="W959" s="215">
        <v>802</v>
      </c>
      <c r="X959" s="215">
        <v>407</v>
      </c>
      <c r="Y959" s="2" t="s">
        <v>256</v>
      </c>
    </row>
    <row r="960" spans="2:25">
      <c r="B960" s="1">
        <v>46168</v>
      </c>
      <c r="C960" s="2">
        <v>201</v>
      </c>
      <c r="D960" s="2">
        <v>232</v>
      </c>
      <c r="E960" s="2" t="s">
        <v>255</v>
      </c>
      <c r="V960" s="3">
        <v>46007</v>
      </c>
      <c r="W960" s="215">
        <v>801</v>
      </c>
      <c r="X960" s="215">
        <v>466</v>
      </c>
      <c r="Y960" s="2" t="s">
        <v>256</v>
      </c>
    </row>
    <row r="961" spans="2:25">
      <c r="B961" s="1">
        <v>46168</v>
      </c>
      <c r="C961" s="2">
        <v>125</v>
      </c>
      <c r="D961" s="2">
        <v>232</v>
      </c>
      <c r="E961" s="2" t="s">
        <v>255</v>
      </c>
      <c r="V961" s="3">
        <v>46007</v>
      </c>
      <c r="W961" s="215">
        <v>800</v>
      </c>
      <c r="X961" s="215">
        <v>484</v>
      </c>
      <c r="Y961" s="2" t="s">
        <v>256</v>
      </c>
    </row>
    <row r="962" spans="2:25">
      <c r="B962" s="1">
        <v>46168</v>
      </c>
      <c r="C962" s="2">
        <v>47</v>
      </c>
      <c r="D962" s="2">
        <v>232</v>
      </c>
      <c r="E962" s="2" t="s">
        <v>255</v>
      </c>
      <c r="V962" s="3">
        <v>46007</v>
      </c>
      <c r="W962" s="215">
        <v>799</v>
      </c>
      <c r="X962" s="215">
        <v>480</v>
      </c>
      <c r="Y962" s="2" t="s">
        <v>256</v>
      </c>
    </row>
    <row r="963" spans="2:25">
      <c r="B963" s="1">
        <v>46168</v>
      </c>
      <c r="C963" s="2">
        <v>220</v>
      </c>
      <c r="D963" s="2">
        <v>230</v>
      </c>
      <c r="E963" s="2" t="s">
        <v>255</v>
      </c>
      <c r="V963" s="3">
        <v>46007</v>
      </c>
      <c r="W963" s="215">
        <v>798</v>
      </c>
      <c r="X963" s="215">
        <v>431</v>
      </c>
      <c r="Y963" s="2" t="s">
        <v>256</v>
      </c>
    </row>
    <row r="964" spans="2:25">
      <c r="B964" s="1">
        <v>46168</v>
      </c>
      <c r="C964" s="2">
        <v>196</v>
      </c>
      <c r="D964" s="2">
        <v>230</v>
      </c>
      <c r="E964" s="2" t="s">
        <v>255</v>
      </c>
      <c r="V964" s="3">
        <v>46007</v>
      </c>
      <c r="W964" s="215">
        <v>797</v>
      </c>
      <c r="X964" s="215">
        <v>420</v>
      </c>
      <c r="Y964" s="2" t="s">
        <v>256</v>
      </c>
    </row>
    <row r="965" spans="2:25">
      <c r="B965" s="1">
        <v>46168</v>
      </c>
      <c r="C965" s="2">
        <v>137</v>
      </c>
      <c r="D965" s="2">
        <v>230</v>
      </c>
      <c r="E965" s="2" t="s">
        <v>255</v>
      </c>
      <c r="V965" s="3">
        <v>46007</v>
      </c>
      <c r="W965" s="215">
        <v>796</v>
      </c>
      <c r="X965" s="215">
        <v>361</v>
      </c>
      <c r="Y965" s="2" t="s">
        <v>256</v>
      </c>
    </row>
    <row r="966" spans="2:25">
      <c r="B966" s="1">
        <v>46168</v>
      </c>
      <c r="C966" s="2">
        <v>114</v>
      </c>
      <c r="D966" s="2">
        <v>230</v>
      </c>
      <c r="E966" s="2" t="s">
        <v>255</v>
      </c>
      <c r="V966" s="3">
        <v>46007</v>
      </c>
      <c r="W966" s="2">
        <v>795</v>
      </c>
      <c r="X966" s="2">
        <v>478</v>
      </c>
      <c r="Y966" s="2" t="s">
        <v>256</v>
      </c>
    </row>
    <row r="967" spans="2:25">
      <c r="B967" s="1">
        <v>46168</v>
      </c>
      <c r="C967" s="2">
        <v>55</v>
      </c>
      <c r="D967" s="2">
        <v>230</v>
      </c>
      <c r="E967" s="2" t="s">
        <v>255</v>
      </c>
      <c r="V967" s="3">
        <v>46007</v>
      </c>
      <c r="W967" s="215">
        <v>794</v>
      </c>
      <c r="X967" s="215">
        <v>461</v>
      </c>
      <c r="Y967" s="2" t="s">
        <v>256</v>
      </c>
    </row>
    <row r="968" spans="2:25">
      <c r="B968" s="1">
        <v>46168</v>
      </c>
      <c r="C968" s="2">
        <v>277</v>
      </c>
      <c r="D968" s="2">
        <v>229</v>
      </c>
      <c r="E968" s="2" t="s">
        <v>255</v>
      </c>
      <c r="V968" s="3">
        <v>46007</v>
      </c>
      <c r="W968" s="215">
        <v>793</v>
      </c>
      <c r="X968" s="215">
        <v>379</v>
      </c>
      <c r="Y968" s="2" t="s">
        <v>256</v>
      </c>
    </row>
    <row r="969" spans="2:25">
      <c r="B969" s="1">
        <v>46168</v>
      </c>
      <c r="C969" s="2">
        <v>207</v>
      </c>
      <c r="D969" s="2">
        <v>229</v>
      </c>
      <c r="E969" s="2" t="s">
        <v>255</v>
      </c>
      <c r="V969" s="3">
        <v>46007</v>
      </c>
      <c r="W969" s="215">
        <v>792</v>
      </c>
      <c r="X969" s="215">
        <v>359</v>
      </c>
      <c r="Y969" s="2" t="s">
        <v>256</v>
      </c>
    </row>
    <row r="970" spans="2:25">
      <c r="B970" s="1">
        <v>46168</v>
      </c>
      <c r="C970" s="2">
        <v>185</v>
      </c>
      <c r="D970" s="2">
        <v>229</v>
      </c>
      <c r="E970" s="2" t="s">
        <v>255</v>
      </c>
      <c r="V970" s="3">
        <v>46007</v>
      </c>
      <c r="W970" s="215">
        <v>791</v>
      </c>
      <c r="X970" s="215">
        <v>489</v>
      </c>
      <c r="Y970" s="2" t="s">
        <v>256</v>
      </c>
    </row>
    <row r="971" spans="2:25">
      <c r="B971" s="1">
        <v>46168</v>
      </c>
      <c r="C971" s="2">
        <v>211</v>
      </c>
      <c r="D971" s="2">
        <v>228</v>
      </c>
      <c r="E971" s="2" t="s">
        <v>255</v>
      </c>
      <c r="V971" s="3">
        <v>46007</v>
      </c>
      <c r="W971" s="2">
        <v>790</v>
      </c>
      <c r="X971" s="2">
        <v>413</v>
      </c>
      <c r="Y971" s="2" t="s">
        <v>256</v>
      </c>
    </row>
    <row r="972" spans="2:25">
      <c r="B972" s="1">
        <v>46168</v>
      </c>
      <c r="C972" s="2">
        <v>88</v>
      </c>
      <c r="D972" s="2">
        <v>228</v>
      </c>
      <c r="E972" s="2" t="s">
        <v>255</v>
      </c>
      <c r="V972" s="3">
        <v>46007</v>
      </c>
      <c r="W972" s="2">
        <v>789</v>
      </c>
      <c r="X972" s="2">
        <v>496</v>
      </c>
      <c r="Y972" s="2" t="s">
        <v>256</v>
      </c>
    </row>
    <row r="973" spans="2:25">
      <c r="B973" s="1">
        <v>46168</v>
      </c>
      <c r="C973" s="2">
        <v>85</v>
      </c>
      <c r="D973" s="2">
        <v>228</v>
      </c>
      <c r="E973" s="2" t="s">
        <v>255</v>
      </c>
      <c r="V973" s="3">
        <v>46007</v>
      </c>
      <c r="W973" s="215">
        <v>788</v>
      </c>
      <c r="X973" s="215">
        <v>350</v>
      </c>
      <c r="Y973" s="2" t="s">
        <v>256</v>
      </c>
    </row>
    <row r="974" spans="2:25">
      <c r="B974" s="1">
        <v>46168</v>
      </c>
      <c r="C974" s="2">
        <v>1435</v>
      </c>
      <c r="D974" s="2">
        <v>226</v>
      </c>
      <c r="E974" s="2" t="s">
        <v>255</v>
      </c>
      <c r="V974" s="3">
        <v>46007</v>
      </c>
      <c r="W974" s="215">
        <v>787</v>
      </c>
      <c r="X974" s="215">
        <v>384</v>
      </c>
      <c r="Y974" s="2" t="s">
        <v>256</v>
      </c>
    </row>
    <row r="975" spans="2:25">
      <c r="B975" s="1">
        <v>46168</v>
      </c>
      <c r="C975" s="2">
        <v>484</v>
      </c>
      <c r="D975" s="2">
        <v>226</v>
      </c>
      <c r="E975" s="2" t="s">
        <v>255</v>
      </c>
      <c r="V975" s="3">
        <v>46007</v>
      </c>
      <c r="W975" s="215">
        <v>786</v>
      </c>
      <c r="X975" s="215">
        <v>432</v>
      </c>
      <c r="Y975" s="2" t="s">
        <v>256</v>
      </c>
    </row>
    <row r="976" spans="2:25">
      <c r="B976" s="1">
        <v>46168</v>
      </c>
      <c r="C976" s="2">
        <v>192</v>
      </c>
      <c r="D976" s="2">
        <v>226</v>
      </c>
      <c r="E976" s="2" t="s">
        <v>255</v>
      </c>
      <c r="V976" s="3">
        <v>46007</v>
      </c>
      <c r="W976" s="215">
        <v>785</v>
      </c>
      <c r="X976" s="215">
        <v>375</v>
      </c>
      <c r="Y976" s="2" t="s">
        <v>256</v>
      </c>
    </row>
    <row r="977" spans="2:25">
      <c r="B977" s="1">
        <v>46168</v>
      </c>
      <c r="C977" s="2">
        <v>32</v>
      </c>
      <c r="D977" s="2">
        <v>226</v>
      </c>
      <c r="E977" s="2" t="s">
        <v>255</v>
      </c>
      <c r="V977" s="3">
        <v>46007</v>
      </c>
      <c r="W977" s="215">
        <v>784</v>
      </c>
      <c r="X977" s="215">
        <v>466</v>
      </c>
      <c r="Y977" s="2" t="s">
        <v>256</v>
      </c>
    </row>
    <row r="978" spans="2:25">
      <c r="B978" s="1">
        <v>46168</v>
      </c>
      <c r="C978" s="2">
        <v>1310</v>
      </c>
      <c r="D978" s="2">
        <v>225</v>
      </c>
      <c r="E978" s="2" t="s">
        <v>255</v>
      </c>
      <c r="V978" s="3">
        <v>46007</v>
      </c>
      <c r="W978" s="215">
        <v>783</v>
      </c>
      <c r="X978" s="215">
        <v>446</v>
      </c>
      <c r="Y978" s="2" t="s">
        <v>256</v>
      </c>
    </row>
    <row r="979" spans="2:25">
      <c r="B979" s="1">
        <v>46168</v>
      </c>
      <c r="C979" s="2">
        <v>188</v>
      </c>
      <c r="D979" s="2">
        <v>225</v>
      </c>
      <c r="E979" s="2" t="s">
        <v>255</v>
      </c>
      <c r="V979" s="3">
        <v>46007</v>
      </c>
      <c r="W979" s="215">
        <v>782</v>
      </c>
      <c r="X979" s="215">
        <v>486</v>
      </c>
      <c r="Y979" s="2" t="s">
        <v>256</v>
      </c>
    </row>
    <row r="980" spans="2:25">
      <c r="B980" s="1">
        <v>46168</v>
      </c>
      <c r="C980" s="2">
        <v>38</v>
      </c>
      <c r="D980" s="2">
        <v>225</v>
      </c>
      <c r="E980" s="2" t="s">
        <v>255</v>
      </c>
      <c r="V980" s="3">
        <v>46007</v>
      </c>
      <c r="W980" s="215">
        <v>781</v>
      </c>
      <c r="X980" s="215">
        <v>402</v>
      </c>
      <c r="Y980" s="2" t="s">
        <v>256</v>
      </c>
    </row>
    <row r="981" spans="2:25">
      <c r="B981" s="1">
        <v>46168</v>
      </c>
      <c r="C981" s="2">
        <v>26</v>
      </c>
      <c r="D981" s="2">
        <v>225</v>
      </c>
      <c r="E981" s="2" t="s">
        <v>255</v>
      </c>
      <c r="V981" s="3">
        <v>46007</v>
      </c>
      <c r="W981" s="215">
        <v>780</v>
      </c>
      <c r="X981" s="215">
        <v>447</v>
      </c>
      <c r="Y981" s="2" t="s">
        <v>256</v>
      </c>
    </row>
    <row r="982" spans="2:25">
      <c r="B982" s="1">
        <v>46168</v>
      </c>
      <c r="C982" s="2">
        <v>289</v>
      </c>
      <c r="D982" s="2">
        <v>224</v>
      </c>
      <c r="E982" s="2" t="s">
        <v>255</v>
      </c>
      <c r="V982" s="3">
        <v>46007</v>
      </c>
      <c r="W982" s="215">
        <v>779</v>
      </c>
      <c r="X982" s="215">
        <v>430</v>
      </c>
      <c r="Y982" s="2" t="s">
        <v>256</v>
      </c>
    </row>
    <row r="983" spans="2:25">
      <c r="B983" s="1">
        <v>46168</v>
      </c>
      <c r="C983" s="2">
        <v>232</v>
      </c>
      <c r="D983" s="2">
        <v>224</v>
      </c>
      <c r="E983" s="2" t="s">
        <v>255</v>
      </c>
      <c r="V983" s="3">
        <v>46007</v>
      </c>
      <c r="W983" s="215">
        <v>779</v>
      </c>
      <c r="X983" s="215">
        <v>431</v>
      </c>
      <c r="Y983" s="2" t="s">
        <v>256</v>
      </c>
    </row>
    <row r="984" spans="2:25">
      <c r="B984" s="1">
        <v>46168</v>
      </c>
      <c r="C984" s="2">
        <v>117</v>
      </c>
      <c r="D984" s="2">
        <v>224</v>
      </c>
      <c r="E984" s="2" t="s">
        <v>255</v>
      </c>
      <c r="V984" s="3">
        <v>46007</v>
      </c>
      <c r="W984" s="215">
        <v>778</v>
      </c>
      <c r="X984" s="215">
        <v>401</v>
      </c>
      <c r="Y984" s="2" t="s">
        <v>256</v>
      </c>
    </row>
    <row r="985" spans="2:25">
      <c r="B985" s="1">
        <v>46168</v>
      </c>
      <c r="C985" s="2">
        <v>3</v>
      </c>
      <c r="D985" s="2">
        <v>224</v>
      </c>
      <c r="E985" s="2" t="s">
        <v>255</v>
      </c>
      <c r="V985" s="3">
        <v>46007</v>
      </c>
      <c r="W985" s="215">
        <v>777</v>
      </c>
      <c r="X985" s="215">
        <v>373</v>
      </c>
      <c r="Y985" s="2" t="s">
        <v>256</v>
      </c>
    </row>
    <row r="986" spans="2:25">
      <c r="B986" s="1">
        <v>46168</v>
      </c>
      <c r="C986" s="2">
        <v>251</v>
      </c>
      <c r="D986" s="2">
        <v>223</v>
      </c>
      <c r="E986" s="2" t="s">
        <v>255</v>
      </c>
      <c r="V986" s="3">
        <v>46007</v>
      </c>
      <c r="W986" s="215">
        <v>776</v>
      </c>
      <c r="X986" s="215">
        <v>480</v>
      </c>
      <c r="Y986" s="2" t="s">
        <v>256</v>
      </c>
    </row>
    <row r="987" spans="2:25">
      <c r="B987" s="1">
        <v>46168</v>
      </c>
      <c r="C987" s="2">
        <v>242</v>
      </c>
      <c r="D987" s="2">
        <v>223</v>
      </c>
      <c r="E987" s="2" t="s">
        <v>255</v>
      </c>
      <c r="V987" s="3">
        <v>46007</v>
      </c>
      <c r="W987" s="2">
        <v>775</v>
      </c>
      <c r="X987" s="2">
        <v>515</v>
      </c>
      <c r="Y987" s="2" t="s">
        <v>256</v>
      </c>
    </row>
    <row r="988" spans="2:25">
      <c r="B988" s="1">
        <v>46168</v>
      </c>
      <c r="C988" s="2">
        <v>180</v>
      </c>
      <c r="D988" s="2">
        <v>223</v>
      </c>
      <c r="E988" s="2" t="s">
        <v>255</v>
      </c>
      <c r="V988" s="3">
        <v>46007</v>
      </c>
      <c r="W988" s="215">
        <v>774</v>
      </c>
      <c r="X988" s="215">
        <v>391</v>
      </c>
      <c r="Y988" s="2" t="s">
        <v>256</v>
      </c>
    </row>
    <row r="989" spans="2:25">
      <c r="B989" s="1">
        <v>46168</v>
      </c>
      <c r="C989" s="2">
        <v>143</v>
      </c>
      <c r="D989" s="2">
        <v>223</v>
      </c>
      <c r="E989" s="2" t="s">
        <v>255</v>
      </c>
      <c r="V989" s="3">
        <v>46007</v>
      </c>
      <c r="W989" s="215">
        <v>773</v>
      </c>
      <c r="X989" s="215">
        <v>424</v>
      </c>
      <c r="Y989" s="2" t="s">
        <v>256</v>
      </c>
    </row>
    <row r="990" spans="2:25">
      <c r="B990" s="1">
        <v>46168</v>
      </c>
      <c r="C990" s="2">
        <v>67</v>
      </c>
      <c r="D990" s="2">
        <v>223</v>
      </c>
      <c r="E990" s="2" t="s">
        <v>255</v>
      </c>
      <c r="V990" s="3">
        <v>46007</v>
      </c>
      <c r="W990" s="215">
        <v>771</v>
      </c>
      <c r="X990" s="215">
        <v>437</v>
      </c>
      <c r="Y990" s="2" t="s">
        <v>256</v>
      </c>
    </row>
    <row r="991" spans="2:25">
      <c r="B991" s="1">
        <v>46168</v>
      </c>
      <c r="C991" s="2">
        <v>298</v>
      </c>
      <c r="D991" s="2">
        <v>222</v>
      </c>
      <c r="E991" s="2" t="s">
        <v>255</v>
      </c>
      <c r="V991" s="3">
        <v>46007</v>
      </c>
      <c r="W991" s="215">
        <v>770</v>
      </c>
      <c r="X991" s="215">
        <v>473</v>
      </c>
      <c r="Y991" s="2" t="s">
        <v>256</v>
      </c>
    </row>
    <row r="992" spans="2:25">
      <c r="B992" s="1">
        <v>46168</v>
      </c>
      <c r="C992" s="2">
        <v>105</v>
      </c>
      <c r="D992" s="2">
        <v>222</v>
      </c>
      <c r="E992" s="2" t="s">
        <v>255</v>
      </c>
      <c r="V992" s="3">
        <v>46007</v>
      </c>
      <c r="W992" s="215">
        <v>769</v>
      </c>
      <c r="X992" s="215">
        <v>376</v>
      </c>
      <c r="Y992" s="2" t="s">
        <v>256</v>
      </c>
    </row>
    <row r="993" spans="2:25">
      <c r="B993" s="1">
        <v>46168</v>
      </c>
      <c r="C993" s="2">
        <v>29</v>
      </c>
      <c r="D993" s="2">
        <v>222</v>
      </c>
      <c r="E993" s="2" t="s">
        <v>255</v>
      </c>
      <c r="V993" s="3">
        <v>46007</v>
      </c>
      <c r="W993" s="215">
        <v>767</v>
      </c>
      <c r="X993" s="215">
        <v>399</v>
      </c>
      <c r="Y993" s="2" t="s">
        <v>256</v>
      </c>
    </row>
    <row r="994" spans="2:25">
      <c r="B994" s="1">
        <v>46168</v>
      </c>
      <c r="C994" s="2">
        <v>10</v>
      </c>
      <c r="D994" s="2">
        <v>222</v>
      </c>
      <c r="E994" s="2" t="s">
        <v>255</v>
      </c>
      <c r="V994" s="3">
        <v>46007</v>
      </c>
      <c r="W994" s="215">
        <v>766</v>
      </c>
      <c r="X994" s="215">
        <v>477</v>
      </c>
      <c r="Y994" s="2" t="s">
        <v>256</v>
      </c>
    </row>
    <row r="995" spans="2:25">
      <c r="B995" s="1">
        <v>46168</v>
      </c>
      <c r="C995" s="2">
        <v>1496</v>
      </c>
      <c r="D995" s="2">
        <v>220</v>
      </c>
      <c r="E995" s="2" t="s">
        <v>255</v>
      </c>
      <c r="V995" s="3">
        <v>46007</v>
      </c>
      <c r="W995" s="215">
        <v>765</v>
      </c>
      <c r="X995" s="215">
        <v>361</v>
      </c>
      <c r="Y995" s="2" t="s">
        <v>256</v>
      </c>
    </row>
    <row r="996" spans="2:25">
      <c r="B996" s="1">
        <v>46168</v>
      </c>
      <c r="C996" s="2">
        <v>1432</v>
      </c>
      <c r="D996" s="2">
        <v>220</v>
      </c>
      <c r="E996" s="2" t="s">
        <v>255</v>
      </c>
      <c r="V996" s="3">
        <v>46007</v>
      </c>
      <c r="W996" s="215">
        <v>764</v>
      </c>
      <c r="X996" s="215">
        <v>449</v>
      </c>
      <c r="Y996" s="2" t="s">
        <v>256</v>
      </c>
    </row>
    <row r="997" spans="2:25">
      <c r="B997" s="1">
        <v>46168</v>
      </c>
      <c r="C997" s="2">
        <v>1249</v>
      </c>
      <c r="D997" s="2">
        <v>220</v>
      </c>
      <c r="E997" s="2" t="s">
        <v>255</v>
      </c>
      <c r="V997" s="3">
        <v>46007</v>
      </c>
      <c r="W997" s="215">
        <v>763</v>
      </c>
      <c r="X997" s="215">
        <v>447</v>
      </c>
      <c r="Y997" s="2" t="s">
        <v>256</v>
      </c>
    </row>
    <row r="998" spans="2:25">
      <c r="B998" s="1">
        <v>46168</v>
      </c>
      <c r="C998" s="2">
        <v>63</v>
      </c>
      <c r="D998" s="2">
        <v>220</v>
      </c>
      <c r="E998" s="2" t="s">
        <v>255</v>
      </c>
      <c r="V998" s="3">
        <v>46007</v>
      </c>
      <c r="W998" s="215">
        <v>762</v>
      </c>
      <c r="X998" s="215">
        <v>357</v>
      </c>
      <c r="Y998" s="2" t="s">
        <v>256</v>
      </c>
    </row>
    <row r="999" spans="2:25">
      <c r="B999" s="1">
        <v>46168</v>
      </c>
      <c r="C999" s="2">
        <v>61</v>
      </c>
      <c r="D999" s="2">
        <v>220</v>
      </c>
      <c r="E999" s="2" t="s">
        <v>255</v>
      </c>
      <c r="V999" s="3">
        <v>46007</v>
      </c>
      <c r="W999" s="215">
        <v>761</v>
      </c>
      <c r="X999" s="215">
        <v>287</v>
      </c>
      <c r="Y999" s="2" t="s">
        <v>256</v>
      </c>
    </row>
    <row r="1000" spans="2:25">
      <c r="B1000" s="1">
        <v>46168</v>
      </c>
      <c r="C1000" s="2">
        <v>1</v>
      </c>
      <c r="D1000" s="2">
        <v>220</v>
      </c>
      <c r="E1000" s="2" t="s">
        <v>255</v>
      </c>
      <c r="V1000" s="3">
        <v>46007</v>
      </c>
      <c r="W1000" s="215">
        <v>760</v>
      </c>
      <c r="X1000" s="215">
        <v>467</v>
      </c>
      <c r="Y1000" s="2" t="s">
        <v>256</v>
      </c>
    </row>
    <row r="1001" spans="2:25">
      <c r="B1001" s="1">
        <v>46168</v>
      </c>
      <c r="C1001" s="2">
        <v>264</v>
      </c>
      <c r="D1001" s="2">
        <v>219</v>
      </c>
      <c r="E1001" s="2" t="s">
        <v>255</v>
      </c>
      <c r="V1001" s="3">
        <v>46007</v>
      </c>
      <c r="W1001" s="215">
        <v>759</v>
      </c>
      <c r="X1001" s="215">
        <v>477</v>
      </c>
      <c r="Y1001" s="2" t="s">
        <v>256</v>
      </c>
    </row>
    <row r="1002" spans="2:25">
      <c r="B1002" s="1">
        <v>46168</v>
      </c>
      <c r="C1002" s="2">
        <v>111</v>
      </c>
      <c r="D1002" s="2">
        <v>219</v>
      </c>
      <c r="E1002" s="2" t="s">
        <v>255</v>
      </c>
      <c r="V1002" s="3">
        <v>46007</v>
      </c>
      <c r="W1002" s="215">
        <v>757</v>
      </c>
      <c r="X1002" s="215">
        <v>432</v>
      </c>
      <c r="Y1002" s="2" t="s">
        <v>256</v>
      </c>
    </row>
    <row r="1003" spans="2:25">
      <c r="B1003" s="1">
        <v>46168</v>
      </c>
      <c r="C1003" s="2">
        <v>268</v>
      </c>
      <c r="D1003" s="2">
        <v>218</v>
      </c>
      <c r="E1003" s="2" t="s">
        <v>255</v>
      </c>
      <c r="V1003" s="3">
        <v>46007</v>
      </c>
      <c r="W1003" s="215">
        <v>756</v>
      </c>
      <c r="X1003" s="215">
        <v>426</v>
      </c>
      <c r="Y1003" s="2" t="s">
        <v>256</v>
      </c>
    </row>
    <row r="1004" spans="2:25">
      <c r="B1004" s="1">
        <v>46168</v>
      </c>
      <c r="C1004" s="2">
        <v>183</v>
      </c>
      <c r="D1004" s="2">
        <v>218</v>
      </c>
      <c r="E1004" s="2" t="s">
        <v>255</v>
      </c>
      <c r="V1004" s="3">
        <v>46007</v>
      </c>
      <c r="W1004" s="215">
        <v>755</v>
      </c>
      <c r="X1004" s="215">
        <v>336</v>
      </c>
      <c r="Y1004" s="2" t="s">
        <v>256</v>
      </c>
    </row>
    <row r="1005" spans="2:25">
      <c r="B1005" s="1">
        <v>46168</v>
      </c>
      <c r="C1005" s="2">
        <v>1327</v>
      </c>
      <c r="D1005" s="2">
        <v>217</v>
      </c>
      <c r="E1005" s="2" t="s">
        <v>255</v>
      </c>
      <c r="V1005" s="3">
        <v>46007</v>
      </c>
      <c r="W1005" s="2">
        <v>754</v>
      </c>
      <c r="X1005" s="2">
        <v>530</v>
      </c>
      <c r="Y1005" s="2" t="s">
        <v>256</v>
      </c>
    </row>
    <row r="1006" spans="2:25">
      <c r="B1006" s="1">
        <v>46168</v>
      </c>
      <c r="C1006" s="2">
        <v>293</v>
      </c>
      <c r="D1006" s="2">
        <v>217</v>
      </c>
      <c r="E1006" s="2" t="s">
        <v>255</v>
      </c>
      <c r="V1006" s="3">
        <v>46007</v>
      </c>
      <c r="W1006" s="2">
        <v>750</v>
      </c>
      <c r="X1006" s="2">
        <v>437</v>
      </c>
      <c r="Y1006" s="2" t="s">
        <v>256</v>
      </c>
    </row>
    <row r="1007" spans="2:25">
      <c r="B1007" s="1">
        <v>46168</v>
      </c>
      <c r="C1007" s="2">
        <v>241</v>
      </c>
      <c r="D1007" s="2">
        <v>217</v>
      </c>
      <c r="E1007" s="2" t="s">
        <v>255</v>
      </c>
      <c r="V1007" s="3">
        <v>46007</v>
      </c>
      <c r="W1007" s="215">
        <v>749</v>
      </c>
      <c r="X1007" s="215">
        <v>453</v>
      </c>
      <c r="Y1007" s="2" t="s">
        <v>256</v>
      </c>
    </row>
    <row r="1008" spans="2:25">
      <c r="B1008" s="1">
        <v>46168</v>
      </c>
      <c r="C1008" s="2">
        <v>181</v>
      </c>
      <c r="D1008" s="2">
        <v>217</v>
      </c>
      <c r="E1008" s="2" t="s">
        <v>255</v>
      </c>
      <c r="V1008" s="3">
        <v>46007</v>
      </c>
      <c r="W1008" s="2">
        <v>748</v>
      </c>
      <c r="X1008" s="2">
        <v>441</v>
      </c>
      <c r="Y1008" s="2" t="s">
        <v>256</v>
      </c>
    </row>
    <row r="1009" spans="2:25">
      <c r="B1009" s="1">
        <v>46168</v>
      </c>
      <c r="C1009" s="2">
        <v>22</v>
      </c>
      <c r="D1009" s="2">
        <v>217</v>
      </c>
      <c r="E1009" s="2" t="s">
        <v>255</v>
      </c>
      <c r="V1009" s="3">
        <v>46007</v>
      </c>
      <c r="W1009" s="215">
        <v>747</v>
      </c>
      <c r="X1009" s="215">
        <v>433</v>
      </c>
      <c r="Y1009" s="2" t="s">
        <v>256</v>
      </c>
    </row>
    <row r="1010" spans="2:25">
      <c r="B1010" s="1">
        <v>46168</v>
      </c>
      <c r="C1010" s="2">
        <v>291</v>
      </c>
      <c r="D1010" s="2">
        <v>216</v>
      </c>
      <c r="E1010" s="2" t="s">
        <v>255</v>
      </c>
      <c r="V1010" s="3">
        <v>46007</v>
      </c>
      <c r="W1010" s="215">
        <v>745</v>
      </c>
      <c r="X1010" s="215">
        <v>368</v>
      </c>
      <c r="Y1010" s="2" t="s">
        <v>256</v>
      </c>
    </row>
    <row r="1011" spans="2:25">
      <c r="B1011" s="1">
        <v>46168</v>
      </c>
      <c r="C1011" s="2">
        <v>288</v>
      </c>
      <c r="D1011" s="2">
        <v>216</v>
      </c>
      <c r="E1011" s="2" t="s">
        <v>255</v>
      </c>
      <c r="V1011" s="3">
        <v>46007</v>
      </c>
      <c r="W1011" s="215">
        <v>744</v>
      </c>
      <c r="X1011" s="215">
        <v>346</v>
      </c>
      <c r="Y1011" s="2" t="s">
        <v>256</v>
      </c>
    </row>
    <row r="1012" spans="2:25">
      <c r="B1012" s="1">
        <v>46168</v>
      </c>
      <c r="C1012" s="2">
        <v>284</v>
      </c>
      <c r="D1012" s="2">
        <v>216</v>
      </c>
      <c r="E1012" s="2" t="s">
        <v>255</v>
      </c>
      <c r="V1012" s="3">
        <v>46007</v>
      </c>
      <c r="W1012" s="2">
        <v>743</v>
      </c>
      <c r="X1012" s="2">
        <v>480</v>
      </c>
      <c r="Y1012" s="2" t="s">
        <v>256</v>
      </c>
    </row>
    <row r="1013" spans="2:25">
      <c r="B1013" s="1">
        <v>46168</v>
      </c>
      <c r="C1013" s="2">
        <v>247</v>
      </c>
      <c r="D1013" s="2">
        <v>216</v>
      </c>
      <c r="E1013" s="2" t="s">
        <v>255</v>
      </c>
      <c r="V1013" s="3">
        <v>46007</v>
      </c>
      <c r="W1013" s="215">
        <v>742</v>
      </c>
      <c r="X1013" s="215">
        <v>393</v>
      </c>
      <c r="Y1013" s="2" t="s">
        <v>256</v>
      </c>
    </row>
    <row r="1014" spans="2:25">
      <c r="B1014" s="1">
        <v>46168</v>
      </c>
      <c r="C1014" s="2">
        <v>219</v>
      </c>
      <c r="D1014" s="2">
        <v>216</v>
      </c>
      <c r="E1014" s="2" t="s">
        <v>255</v>
      </c>
      <c r="V1014" s="3">
        <v>46007</v>
      </c>
      <c r="W1014" s="215">
        <v>741</v>
      </c>
      <c r="X1014" s="215">
        <v>323</v>
      </c>
      <c r="Y1014" s="2" t="s">
        <v>256</v>
      </c>
    </row>
    <row r="1015" spans="2:25">
      <c r="B1015" s="1">
        <v>46168</v>
      </c>
      <c r="C1015" s="2">
        <v>95</v>
      </c>
      <c r="D1015" s="2">
        <v>216</v>
      </c>
      <c r="E1015" s="2" t="s">
        <v>255</v>
      </c>
      <c r="V1015" s="3">
        <v>46007</v>
      </c>
      <c r="W1015" s="215">
        <v>740</v>
      </c>
      <c r="X1015" s="215">
        <v>393</v>
      </c>
      <c r="Y1015" s="2" t="s">
        <v>256</v>
      </c>
    </row>
    <row r="1016" spans="2:25">
      <c r="B1016" s="1">
        <v>46168</v>
      </c>
      <c r="C1016" s="2">
        <v>62</v>
      </c>
      <c r="D1016" s="2">
        <v>216</v>
      </c>
      <c r="E1016" s="2" t="s">
        <v>255</v>
      </c>
      <c r="V1016" s="3">
        <v>46007</v>
      </c>
      <c r="W1016" s="2">
        <v>735</v>
      </c>
      <c r="X1016" s="2">
        <v>533</v>
      </c>
      <c r="Y1016" s="2" t="s">
        <v>256</v>
      </c>
    </row>
    <row r="1017" spans="2:25">
      <c r="B1017" s="1">
        <v>46168</v>
      </c>
      <c r="C1017" s="2">
        <v>46</v>
      </c>
      <c r="D1017" s="2">
        <v>216</v>
      </c>
      <c r="E1017" s="2" t="s">
        <v>255</v>
      </c>
      <c r="V1017" s="3">
        <v>46007</v>
      </c>
      <c r="W1017" s="215">
        <v>735</v>
      </c>
      <c r="X1017" s="215">
        <v>444</v>
      </c>
      <c r="Y1017" s="2" t="s">
        <v>256</v>
      </c>
    </row>
    <row r="1018" spans="2:25">
      <c r="B1018" s="1">
        <v>46168</v>
      </c>
      <c r="C1018" s="2">
        <v>45</v>
      </c>
      <c r="D1018" s="2">
        <v>216</v>
      </c>
      <c r="E1018" s="2" t="s">
        <v>255</v>
      </c>
      <c r="V1018" s="3">
        <v>46007</v>
      </c>
      <c r="W1018" s="215">
        <v>733</v>
      </c>
      <c r="X1018" s="215">
        <v>445</v>
      </c>
      <c r="Y1018" s="2" t="s">
        <v>256</v>
      </c>
    </row>
    <row r="1019" spans="2:25">
      <c r="B1019" s="1">
        <v>46168</v>
      </c>
      <c r="C1019" s="2">
        <v>1280</v>
      </c>
      <c r="D1019" s="2">
        <v>215</v>
      </c>
      <c r="E1019" s="2" t="s">
        <v>255</v>
      </c>
      <c r="V1019" s="3">
        <v>46007</v>
      </c>
      <c r="W1019" s="215">
        <v>732</v>
      </c>
      <c r="X1019" s="215">
        <v>457</v>
      </c>
      <c r="Y1019" s="2" t="s">
        <v>256</v>
      </c>
    </row>
    <row r="1020" spans="2:25">
      <c r="B1020" s="1">
        <v>46168</v>
      </c>
      <c r="C1020" s="2">
        <v>276</v>
      </c>
      <c r="D1020" s="2">
        <v>215</v>
      </c>
      <c r="E1020" s="2" t="s">
        <v>255</v>
      </c>
      <c r="V1020" s="3">
        <v>46007</v>
      </c>
      <c r="W1020" s="215">
        <v>731</v>
      </c>
      <c r="X1020" s="215">
        <v>384</v>
      </c>
      <c r="Y1020" s="2" t="s">
        <v>256</v>
      </c>
    </row>
    <row r="1021" spans="2:25">
      <c r="B1021" s="1">
        <v>46168</v>
      </c>
      <c r="C1021" s="2">
        <v>148</v>
      </c>
      <c r="D1021" s="2">
        <v>215</v>
      </c>
      <c r="E1021" s="2" t="s">
        <v>255</v>
      </c>
      <c r="V1021" s="3">
        <v>46007</v>
      </c>
      <c r="W1021" s="2">
        <v>729</v>
      </c>
      <c r="X1021" s="2">
        <v>482</v>
      </c>
      <c r="Y1021" s="2" t="s">
        <v>256</v>
      </c>
    </row>
    <row r="1022" spans="2:25">
      <c r="B1022" s="1">
        <v>46168</v>
      </c>
      <c r="C1022" s="2">
        <v>89</v>
      </c>
      <c r="D1022" s="2">
        <v>215</v>
      </c>
      <c r="E1022" s="2" t="s">
        <v>255</v>
      </c>
      <c r="V1022" s="3">
        <v>46007</v>
      </c>
      <c r="W1022" s="215">
        <v>728</v>
      </c>
      <c r="X1022" s="215">
        <v>355</v>
      </c>
      <c r="Y1022" s="2" t="s">
        <v>256</v>
      </c>
    </row>
    <row r="1023" spans="2:25">
      <c r="B1023" s="1">
        <v>46168</v>
      </c>
      <c r="C1023" s="2">
        <v>273</v>
      </c>
      <c r="D1023" s="2">
        <v>214</v>
      </c>
      <c r="E1023" s="2" t="s">
        <v>255</v>
      </c>
      <c r="V1023" s="3">
        <v>46007</v>
      </c>
      <c r="W1023" s="215">
        <v>726</v>
      </c>
      <c r="X1023" s="215">
        <v>484</v>
      </c>
      <c r="Y1023" s="2" t="s">
        <v>256</v>
      </c>
    </row>
    <row r="1024" spans="2:25">
      <c r="B1024" s="1">
        <v>46168</v>
      </c>
      <c r="C1024" s="2">
        <v>239</v>
      </c>
      <c r="D1024" s="2">
        <v>214</v>
      </c>
      <c r="E1024" s="2" t="s">
        <v>255</v>
      </c>
      <c r="V1024" s="3">
        <v>46007</v>
      </c>
      <c r="W1024" s="215">
        <v>725</v>
      </c>
      <c r="X1024" s="215">
        <v>467</v>
      </c>
      <c r="Y1024" s="2" t="s">
        <v>256</v>
      </c>
    </row>
    <row r="1025" spans="2:25">
      <c r="B1025" s="1">
        <v>46168</v>
      </c>
      <c r="C1025" s="2">
        <v>169</v>
      </c>
      <c r="D1025" s="2">
        <v>214</v>
      </c>
      <c r="E1025" s="2" t="s">
        <v>255</v>
      </c>
      <c r="V1025" s="3">
        <v>46007</v>
      </c>
      <c r="W1025" s="215">
        <v>723</v>
      </c>
      <c r="X1025" s="215">
        <v>420</v>
      </c>
      <c r="Y1025" s="2" t="s">
        <v>256</v>
      </c>
    </row>
    <row r="1026" spans="2:25">
      <c r="B1026" s="1">
        <v>46168</v>
      </c>
      <c r="C1026" s="2">
        <v>155</v>
      </c>
      <c r="D1026" s="2">
        <v>214</v>
      </c>
      <c r="E1026" s="2" t="s">
        <v>255</v>
      </c>
      <c r="V1026" s="3">
        <v>46007</v>
      </c>
      <c r="W1026" s="215">
        <v>722</v>
      </c>
      <c r="X1026" s="215">
        <v>417</v>
      </c>
      <c r="Y1026" s="2" t="s">
        <v>256</v>
      </c>
    </row>
    <row r="1027" spans="2:25">
      <c r="B1027" s="1">
        <v>46168</v>
      </c>
      <c r="C1027" s="2">
        <v>134</v>
      </c>
      <c r="D1027" s="2">
        <v>214</v>
      </c>
      <c r="E1027" s="2" t="s">
        <v>255</v>
      </c>
      <c r="V1027" s="3">
        <v>46007</v>
      </c>
      <c r="W1027" s="215">
        <v>721</v>
      </c>
      <c r="X1027" s="215">
        <v>395</v>
      </c>
      <c r="Y1027" s="2" t="s">
        <v>256</v>
      </c>
    </row>
    <row r="1028" spans="2:25">
      <c r="B1028" s="1">
        <v>46168</v>
      </c>
      <c r="C1028" s="2">
        <v>1342</v>
      </c>
      <c r="D1028" s="2">
        <v>213</v>
      </c>
      <c r="E1028" s="2" t="s">
        <v>255</v>
      </c>
      <c r="V1028" s="3">
        <v>46007</v>
      </c>
      <c r="W1028" s="215">
        <v>720</v>
      </c>
      <c r="X1028" s="215">
        <v>430</v>
      </c>
      <c r="Y1028" s="2" t="s">
        <v>256</v>
      </c>
    </row>
    <row r="1029" spans="2:25">
      <c r="B1029" s="1">
        <v>46168</v>
      </c>
      <c r="C1029" s="2">
        <v>206</v>
      </c>
      <c r="D1029" s="2">
        <v>213</v>
      </c>
      <c r="E1029" s="2" t="s">
        <v>255</v>
      </c>
      <c r="V1029" s="3">
        <v>46007</v>
      </c>
      <c r="W1029" s="215">
        <v>719</v>
      </c>
      <c r="X1029" s="215">
        <v>430</v>
      </c>
      <c r="Y1029" s="2" t="s">
        <v>256</v>
      </c>
    </row>
    <row r="1030" spans="2:25">
      <c r="B1030" s="1">
        <v>46168</v>
      </c>
      <c r="C1030" s="2">
        <v>167</v>
      </c>
      <c r="D1030" s="2">
        <v>213</v>
      </c>
      <c r="E1030" s="2" t="s">
        <v>255</v>
      </c>
      <c r="V1030" s="3">
        <v>46007</v>
      </c>
      <c r="W1030" s="215">
        <v>718</v>
      </c>
      <c r="X1030" s="215">
        <v>453</v>
      </c>
      <c r="Y1030" s="2" t="s">
        <v>256</v>
      </c>
    </row>
    <row r="1031" spans="2:25">
      <c r="B1031" s="1">
        <v>46168</v>
      </c>
      <c r="C1031" s="2">
        <v>135</v>
      </c>
      <c r="D1031" s="2">
        <v>213</v>
      </c>
      <c r="E1031" s="2" t="s">
        <v>255</v>
      </c>
      <c r="V1031" s="3">
        <v>46007</v>
      </c>
      <c r="W1031" s="215">
        <v>717</v>
      </c>
      <c r="X1031" s="215">
        <v>394</v>
      </c>
      <c r="Y1031" s="2" t="s">
        <v>256</v>
      </c>
    </row>
    <row r="1032" spans="2:25">
      <c r="B1032" s="1">
        <v>46168</v>
      </c>
      <c r="C1032" s="2">
        <v>248</v>
      </c>
      <c r="D1032" s="2">
        <v>212</v>
      </c>
      <c r="E1032" s="2" t="s">
        <v>255</v>
      </c>
      <c r="V1032" s="3">
        <v>46007</v>
      </c>
      <c r="W1032" s="2">
        <v>716</v>
      </c>
      <c r="X1032" s="2">
        <v>554</v>
      </c>
      <c r="Y1032" s="2" t="s">
        <v>256</v>
      </c>
    </row>
    <row r="1033" spans="2:25">
      <c r="B1033" s="1">
        <v>46168</v>
      </c>
      <c r="C1033" s="2">
        <v>147</v>
      </c>
      <c r="D1033" s="2">
        <v>212</v>
      </c>
      <c r="E1033" s="2" t="s">
        <v>255</v>
      </c>
      <c r="V1033" s="3">
        <v>46007</v>
      </c>
      <c r="W1033" s="215">
        <v>715</v>
      </c>
      <c r="X1033" s="215">
        <v>374</v>
      </c>
      <c r="Y1033" s="2" t="s">
        <v>256</v>
      </c>
    </row>
    <row r="1034" spans="2:25">
      <c r="B1034" s="1">
        <v>46168</v>
      </c>
      <c r="C1034" s="2">
        <v>127</v>
      </c>
      <c r="D1034" s="2">
        <v>212</v>
      </c>
      <c r="E1034" s="2" t="s">
        <v>255</v>
      </c>
      <c r="V1034" s="3">
        <v>46007</v>
      </c>
      <c r="W1034" s="215">
        <v>714</v>
      </c>
      <c r="X1034" s="215">
        <v>433</v>
      </c>
      <c r="Y1034" s="2" t="s">
        <v>256</v>
      </c>
    </row>
    <row r="1035" spans="2:25">
      <c r="B1035" s="1">
        <v>46168</v>
      </c>
      <c r="C1035" s="2">
        <v>36</v>
      </c>
      <c r="D1035" s="2">
        <v>212</v>
      </c>
      <c r="E1035" s="2" t="s">
        <v>255</v>
      </c>
      <c r="V1035" s="3">
        <v>46007</v>
      </c>
      <c r="W1035" s="215">
        <v>713</v>
      </c>
      <c r="X1035" s="215">
        <v>461</v>
      </c>
      <c r="Y1035" s="2" t="s">
        <v>256</v>
      </c>
    </row>
    <row r="1036" spans="2:25">
      <c r="B1036" s="1">
        <v>46168</v>
      </c>
      <c r="C1036" s="2">
        <v>31</v>
      </c>
      <c r="D1036" s="2">
        <v>212</v>
      </c>
      <c r="E1036" s="2" t="s">
        <v>255</v>
      </c>
      <c r="V1036" s="3">
        <v>46007</v>
      </c>
      <c r="W1036" s="215">
        <v>712</v>
      </c>
      <c r="X1036" s="215">
        <v>410</v>
      </c>
      <c r="Y1036" s="2" t="s">
        <v>256</v>
      </c>
    </row>
    <row r="1037" spans="2:25">
      <c r="B1037" s="1">
        <v>46168</v>
      </c>
      <c r="C1037" s="2">
        <v>1275</v>
      </c>
      <c r="D1037" s="2">
        <v>211</v>
      </c>
      <c r="E1037" s="2" t="s">
        <v>255</v>
      </c>
      <c r="V1037" s="3">
        <v>46007</v>
      </c>
      <c r="W1037" s="215">
        <v>711</v>
      </c>
      <c r="X1037" s="215">
        <v>380</v>
      </c>
      <c r="Y1037" s="2" t="s">
        <v>256</v>
      </c>
    </row>
    <row r="1038" spans="2:25">
      <c r="B1038" s="1">
        <v>46168</v>
      </c>
      <c r="C1038" s="2">
        <v>1257</v>
      </c>
      <c r="D1038" s="2">
        <v>211</v>
      </c>
      <c r="E1038" s="2" t="s">
        <v>255</v>
      </c>
      <c r="V1038" s="3">
        <v>46007</v>
      </c>
      <c r="W1038" s="215">
        <v>709</v>
      </c>
      <c r="X1038" s="215">
        <v>309</v>
      </c>
      <c r="Y1038" s="2" t="s">
        <v>256</v>
      </c>
    </row>
    <row r="1039" spans="2:25">
      <c r="B1039" s="1">
        <v>46168</v>
      </c>
      <c r="C1039" s="2">
        <v>1252</v>
      </c>
      <c r="D1039" s="2">
        <v>211</v>
      </c>
      <c r="E1039" s="2" t="s">
        <v>255</v>
      </c>
      <c r="V1039" s="3">
        <v>46007</v>
      </c>
      <c r="W1039" s="215">
        <v>708</v>
      </c>
      <c r="X1039" s="215">
        <v>395</v>
      </c>
      <c r="Y1039" s="2" t="s">
        <v>256</v>
      </c>
    </row>
    <row r="1040" spans="2:25">
      <c r="B1040" s="1">
        <v>46168</v>
      </c>
      <c r="C1040" s="2">
        <v>178</v>
      </c>
      <c r="D1040" s="2">
        <v>211</v>
      </c>
      <c r="E1040" s="2" t="s">
        <v>255</v>
      </c>
      <c r="V1040" s="3">
        <v>46007</v>
      </c>
      <c r="W1040" s="215">
        <v>707</v>
      </c>
      <c r="X1040" s="215">
        <v>447</v>
      </c>
      <c r="Y1040" s="2" t="s">
        <v>256</v>
      </c>
    </row>
    <row r="1041" spans="2:25">
      <c r="B1041" s="1">
        <v>46168</v>
      </c>
      <c r="C1041" s="2">
        <v>149</v>
      </c>
      <c r="D1041" s="2">
        <v>211</v>
      </c>
      <c r="E1041" s="2" t="s">
        <v>255</v>
      </c>
      <c r="V1041" s="3">
        <v>46007</v>
      </c>
      <c r="W1041" s="215">
        <v>704</v>
      </c>
      <c r="X1041" s="215">
        <v>408</v>
      </c>
      <c r="Y1041" s="2" t="s">
        <v>256</v>
      </c>
    </row>
    <row r="1042" spans="2:25">
      <c r="B1042" s="1">
        <v>46168</v>
      </c>
      <c r="C1042" s="2">
        <v>40</v>
      </c>
      <c r="D1042" s="2">
        <v>211</v>
      </c>
      <c r="E1042" s="2" t="s">
        <v>255</v>
      </c>
      <c r="V1042" s="3">
        <v>46007</v>
      </c>
      <c r="W1042" s="215">
        <v>703</v>
      </c>
      <c r="X1042" s="215">
        <v>340</v>
      </c>
      <c r="Y1042" s="2" t="s">
        <v>256</v>
      </c>
    </row>
    <row r="1043" spans="2:25">
      <c r="B1043" s="1">
        <v>46168</v>
      </c>
      <c r="C1043" s="2">
        <v>1360</v>
      </c>
      <c r="D1043" s="2">
        <v>210</v>
      </c>
      <c r="E1043" s="2" t="s">
        <v>255</v>
      </c>
      <c r="V1043" s="3">
        <v>46007</v>
      </c>
      <c r="W1043" s="215">
        <v>702</v>
      </c>
      <c r="X1043" s="215">
        <v>443</v>
      </c>
      <c r="Y1043" s="2" t="s">
        <v>256</v>
      </c>
    </row>
    <row r="1044" spans="2:25">
      <c r="B1044" s="1">
        <v>46168</v>
      </c>
      <c r="C1044" s="2">
        <v>281</v>
      </c>
      <c r="D1044" s="2">
        <v>210</v>
      </c>
      <c r="E1044" s="2" t="s">
        <v>255</v>
      </c>
      <c r="V1044" s="3">
        <v>46007</v>
      </c>
      <c r="W1044" s="215">
        <v>701</v>
      </c>
      <c r="X1044" s="215">
        <v>421</v>
      </c>
      <c r="Y1044" s="2" t="s">
        <v>256</v>
      </c>
    </row>
    <row r="1045" spans="2:25">
      <c r="B1045" s="1">
        <v>46168</v>
      </c>
      <c r="C1045" s="2">
        <v>269</v>
      </c>
      <c r="D1045" s="2">
        <v>210</v>
      </c>
      <c r="E1045" s="2" t="s">
        <v>255</v>
      </c>
      <c r="V1045" s="3">
        <v>46007</v>
      </c>
      <c r="W1045" s="215">
        <v>700</v>
      </c>
      <c r="X1045" s="215">
        <v>432</v>
      </c>
      <c r="Y1045" s="2" t="s">
        <v>256</v>
      </c>
    </row>
    <row r="1046" spans="2:25">
      <c r="B1046" s="1">
        <v>46168</v>
      </c>
      <c r="C1046" s="2">
        <v>92</v>
      </c>
      <c r="D1046" s="2">
        <v>210</v>
      </c>
      <c r="E1046" s="2" t="s">
        <v>255</v>
      </c>
      <c r="V1046" s="3">
        <v>46007</v>
      </c>
      <c r="W1046" s="215">
        <v>698</v>
      </c>
      <c r="X1046" s="215">
        <v>407</v>
      </c>
      <c r="Y1046" s="2" t="s">
        <v>256</v>
      </c>
    </row>
    <row r="1047" spans="2:25">
      <c r="B1047" s="1">
        <v>46168</v>
      </c>
      <c r="C1047" s="2">
        <v>231</v>
      </c>
      <c r="D1047" s="2">
        <v>209</v>
      </c>
      <c r="E1047" s="2" t="s">
        <v>255</v>
      </c>
      <c r="V1047" s="3">
        <v>46007</v>
      </c>
      <c r="W1047" s="215">
        <v>697</v>
      </c>
      <c r="X1047" s="215">
        <v>495</v>
      </c>
      <c r="Y1047" s="2" t="s">
        <v>256</v>
      </c>
    </row>
    <row r="1048" spans="2:25">
      <c r="B1048" s="1">
        <v>46168</v>
      </c>
      <c r="C1048" s="2">
        <v>83</v>
      </c>
      <c r="D1048" s="2">
        <v>209</v>
      </c>
      <c r="E1048" s="2" t="s">
        <v>255</v>
      </c>
      <c r="V1048" s="3">
        <v>46007</v>
      </c>
      <c r="W1048" s="215">
        <v>696</v>
      </c>
      <c r="X1048" s="215">
        <v>375</v>
      </c>
      <c r="Y1048" s="2" t="s">
        <v>256</v>
      </c>
    </row>
    <row r="1049" spans="2:25">
      <c r="B1049" s="1">
        <v>46168</v>
      </c>
      <c r="C1049" s="2">
        <v>73</v>
      </c>
      <c r="D1049" s="2">
        <v>209</v>
      </c>
      <c r="E1049" s="2" t="s">
        <v>255</v>
      </c>
      <c r="V1049" s="3">
        <v>46007</v>
      </c>
      <c r="W1049" s="215">
        <v>695</v>
      </c>
      <c r="X1049" s="215">
        <v>362</v>
      </c>
      <c r="Y1049" s="2" t="s">
        <v>256</v>
      </c>
    </row>
    <row r="1050" spans="2:25">
      <c r="B1050" s="1">
        <v>46168</v>
      </c>
      <c r="C1050" s="2">
        <v>17</v>
      </c>
      <c r="D1050" s="2">
        <v>209</v>
      </c>
      <c r="E1050" s="2" t="s">
        <v>255</v>
      </c>
      <c r="V1050" s="3">
        <v>46007</v>
      </c>
      <c r="W1050" s="2">
        <v>694</v>
      </c>
      <c r="X1050" s="2">
        <v>481</v>
      </c>
      <c r="Y1050" s="2" t="s">
        <v>256</v>
      </c>
    </row>
    <row r="1051" spans="2:25">
      <c r="B1051" s="1">
        <v>46168</v>
      </c>
      <c r="C1051" s="2">
        <v>1265</v>
      </c>
      <c r="D1051" s="2">
        <v>208</v>
      </c>
      <c r="E1051" s="2" t="s">
        <v>255</v>
      </c>
      <c r="V1051" s="3">
        <v>46007</v>
      </c>
      <c r="W1051" s="215">
        <v>693</v>
      </c>
      <c r="X1051" s="215">
        <v>461</v>
      </c>
      <c r="Y1051" s="2" t="s">
        <v>256</v>
      </c>
    </row>
    <row r="1052" spans="2:25">
      <c r="B1052" s="1">
        <v>46168</v>
      </c>
      <c r="C1052" s="2">
        <v>1256</v>
      </c>
      <c r="D1052" s="2">
        <v>208</v>
      </c>
      <c r="E1052" s="2" t="s">
        <v>255</v>
      </c>
      <c r="V1052" s="3">
        <v>46007</v>
      </c>
      <c r="W1052" s="215">
        <v>691</v>
      </c>
      <c r="X1052" s="215">
        <v>455</v>
      </c>
      <c r="Y1052" s="2" t="s">
        <v>256</v>
      </c>
    </row>
    <row r="1053" spans="2:25">
      <c r="B1053" s="1">
        <v>46168</v>
      </c>
      <c r="C1053" s="2">
        <v>1263</v>
      </c>
      <c r="D1053" s="2">
        <v>207</v>
      </c>
      <c r="E1053" s="2" t="s">
        <v>255</v>
      </c>
      <c r="V1053" s="3">
        <v>46007</v>
      </c>
      <c r="W1053" s="215">
        <v>689</v>
      </c>
      <c r="X1053" s="215">
        <v>417</v>
      </c>
      <c r="Y1053" s="2" t="s">
        <v>256</v>
      </c>
    </row>
    <row r="1054" spans="2:25">
      <c r="B1054" s="1">
        <v>46168</v>
      </c>
      <c r="C1054" s="2">
        <v>278</v>
      </c>
      <c r="D1054" s="2">
        <v>207</v>
      </c>
      <c r="E1054" s="2" t="s">
        <v>255</v>
      </c>
      <c r="V1054" s="3">
        <v>46007</v>
      </c>
      <c r="W1054" s="215">
        <v>688</v>
      </c>
      <c r="X1054" s="215">
        <v>395</v>
      </c>
      <c r="Y1054" s="2" t="s">
        <v>256</v>
      </c>
    </row>
    <row r="1055" spans="2:25">
      <c r="B1055" s="1">
        <v>46168</v>
      </c>
      <c r="C1055" s="2">
        <v>74</v>
      </c>
      <c r="D1055" s="2">
        <v>207</v>
      </c>
      <c r="E1055" s="2" t="s">
        <v>255</v>
      </c>
      <c r="V1055" s="3">
        <v>46007</v>
      </c>
      <c r="W1055" s="215">
        <v>687</v>
      </c>
      <c r="X1055" s="215">
        <v>399</v>
      </c>
      <c r="Y1055" s="2" t="s">
        <v>256</v>
      </c>
    </row>
    <row r="1056" spans="2:25">
      <c r="B1056" s="1">
        <v>46168</v>
      </c>
      <c r="C1056" s="2">
        <v>35</v>
      </c>
      <c r="D1056" s="2">
        <v>207</v>
      </c>
      <c r="E1056" s="2" t="s">
        <v>255</v>
      </c>
      <c r="V1056" s="3">
        <v>46007</v>
      </c>
      <c r="W1056" s="215">
        <v>686</v>
      </c>
      <c r="X1056" s="215">
        <v>360</v>
      </c>
      <c r="Y1056" s="2" t="s">
        <v>256</v>
      </c>
    </row>
    <row r="1057" spans="2:25">
      <c r="B1057" s="1">
        <v>46168</v>
      </c>
      <c r="C1057" s="2">
        <v>1428</v>
      </c>
      <c r="D1057" s="2">
        <v>206</v>
      </c>
      <c r="E1057" s="2" t="s">
        <v>255</v>
      </c>
      <c r="V1057" s="3">
        <v>46007</v>
      </c>
      <c r="W1057" s="215">
        <v>684</v>
      </c>
      <c r="X1057" s="215">
        <v>421</v>
      </c>
      <c r="Y1057" s="2" t="s">
        <v>256</v>
      </c>
    </row>
    <row r="1058" spans="2:25">
      <c r="B1058" s="1">
        <v>46168</v>
      </c>
      <c r="C1058" s="2">
        <v>1334</v>
      </c>
      <c r="D1058" s="2">
        <v>206</v>
      </c>
      <c r="E1058" s="2" t="s">
        <v>255</v>
      </c>
      <c r="V1058" s="3">
        <v>46007</v>
      </c>
      <c r="W1058" s="215">
        <v>683</v>
      </c>
      <c r="X1058" s="215">
        <v>477</v>
      </c>
      <c r="Y1058" s="2" t="s">
        <v>256</v>
      </c>
    </row>
    <row r="1059" spans="2:25">
      <c r="B1059" s="1">
        <v>46168</v>
      </c>
      <c r="C1059" s="2">
        <v>1241</v>
      </c>
      <c r="D1059" s="2">
        <v>206</v>
      </c>
      <c r="E1059" s="2" t="s">
        <v>255</v>
      </c>
      <c r="V1059" s="3">
        <v>46007</v>
      </c>
      <c r="W1059" s="2">
        <v>682</v>
      </c>
      <c r="X1059" s="2">
        <v>511</v>
      </c>
      <c r="Y1059" s="2" t="s">
        <v>256</v>
      </c>
    </row>
    <row r="1060" spans="2:25">
      <c r="B1060" s="1">
        <v>46168</v>
      </c>
      <c r="C1060" s="2">
        <v>285</v>
      </c>
      <c r="D1060" s="2">
        <v>206</v>
      </c>
      <c r="E1060" s="2" t="s">
        <v>255</v>
      </c>
      <c r="V1060" s="3">
        <v>46007</v>
      </c>
      <c r="W1060" s="215">
        <v>681</v>
      </c>
      <c r="X1060" s="215">
        <v>477</v>
      </c>
      <c r="Y1060" s="2" t="s">
        <v>256</v>
      </c>
    </row>
    <row r="1061" spans="2:25">
      <c r="B1061" s="1">
        <v>46168</v>
      </c>
      <c r="C1061" s="2">
        <v>230</v>
      </c>
      <c r="D1061" s="2">
        <v>206</v>
      </c>
      <c r="E1061" s="2" t="s">
        <v>255</v>
      </c>
      <c r="V1061" s="3">
        <v>46007</v>
      </c>
      <c r="W1061" s="215">
        <v>680</v>
      </c>
      <c r="X1061" s="215">
        <v>420</v>
      </c>
      <c r="Y1061" s="2" t="s">
        <v>256</v>
      </c>
    </row>
    <row r="1062" spans="2:25">
      <c r="B1062" s="1">
        <v>46168</v>
      </c>
      <c r="C1062" s="2">
        <v>227</v>
      </c>
      <c r="D1062" s="2">
        <v>206</v>
      </c>
      <c r="E1062" s="2" t="s">
        <v>255</v>
      </c>
      <c r="V1062" s="3">
        <v>46007</v>
      </c>
      <c r="W1062" s="215">
        <v>678</v>
      </c>
      <c r="X1062" s="215">
        <v>440</v>
      </c>
      <c r="Y1062" s="2" t="s">
        <v>256</v>
      </c>
    </row>
    <row r="1063" spans="2:25">
      <c r="B1063" s="1">
        <v>46168</v>
      </c>
      <c r="C1063" s="2">
        <v>208</v>
      </c>
      <c r="D1063" s="2">
        <v>206</v>
      </c>
      <c r="E1063" s="2" t="s">
        <v>255</v>
      </c>
      <c r="V1063" s="3">
        <v>46007</v>
      </c>
      <c r="W1063" s="215">
        <v>675</v>
      </c>
      <c r="X1063" s="215">
        <v>431</v>
      </c>
      <c r="Y1063" s="2" t="s">
        <v>256</v>
      </c>
    </row>
    <row r="1064" spans="2:25">
      <c r="B1064" s="1">
        <v>46168</v>
      </c>
      <c r="C1064" s="2">
        <v>199</v>
      </c>
      <c r="D1064" s="2">
        <v>206</v>
      </c>
      <c r="E1064" s="2" t="s">
        <v>255</v>
      </c>
      <c r="V1064" s="3">
        <v>46007</v>
      </c>
      <c r="W1064" s="215">
        <v>674</v>
      </c>
      <c r="X1064" s="215">
        <v>415</v>
      </c>
      <c r="Y1064" s="2" t="s">
        <v>256</v>
      </c>
    </row>
    <row r="1065" spans="2:25">
      <c r="B1065" s="1">
        <v>46168</v>
      </c>
      <c r="C1065" s="2">
        <v>132</v>
      </c>
      <c r="D1065" s="2">
        <v>206</v>
      </c>
      <c r="E1065" s="2" t="s">
        <v>255</v>
      </c>
      <c r="V1065" s="3">
        <v>46007</v>
      </c>
      <c r="W1065" s="215">
        <v>673</v>
      </c>
      <c r="X1065" s="215">
        <v>492</v>
      </c>
      <c r="Y1065" s="2" t="s">
        <v>256</v>
      </c>
    </row>
    <row r="1066" spans="2:25">
      <c r="B1066" s="1">
        <v>46168</v>
      </c>
      <c r="C1066" s="2">
        <v>94</v>
      </c>
      <c r="D1066" s="2">
        <v>206</v>
      </c>
      <c r="E1066" s="2" t="s">
        <v>255</v>
      </c>
      <c r="V1066" s="3">
        <v>46007</v>
      </c>
      <c r="W1066" s="2">
        <v>672</v>
      </c>
      <c r="X1066" s="2">
        <v>527</v>
      </c>
      <c r="Y1066" s="2" t="s">
        <v>256</v>
      </c>
    </row>
    <row r="1067" spans="2:25">
      <c r="B1067" s="1">
        <v>46168</v>
      </c>
      <c r="C1067" s="2">
        <v>70</v>
      </c>
      <c r="D1067" s="2">
        <v>206</v>
      </c>
      <c r="E1067" s="2" t="s">
        <v>255</v>
      </c>
      <c r="V1067" s="3">
        <v>46007</v>
      </c>
      <c r="W1067" s="215">
        <v>670</v>
      </c>
      <c r="X1067" s="215">
        <v>328</v>
      </c>
      <c r="Y1067" s="2" t="s">
        <v>256</v>
      </c>
    </row>
    <row r="1068" spans="2:25">
      <c r="B1068" s="1">
        <v>46168</v>
      </c>
      <c r="C1068" s="2">
        <v>13</v>
      </c>
      <c r="D1068" s="2">
        <v>206</v>
      </c>
      <c r="E1068" s="2" t="s">
        <v>255</v>
      </c>
      <c r="V1068" s="3">
        <v>46007</v>
      </c>
      <c r="W1068" s="215">
        <v>669</v>
      </c>
      <c r="X1068" s="215">
        <v>357</v>
      </c>
      <c r="Y1068" s="2" t="s">
        <v>256</v>
      </c>
    </row>
    <row r="1069" spans="2:25">
      <c r="B1069" s="1">
        <v>46168</v>
      </c>
      <c r="C1069" s="2">
        <v>7</v>
      </c>
      <c r="D1069" s="2">
        <v>206</v>
      </c>
      <c r="E1069" s="2" t="s">
        <v>255</v>
      </c>
      <c r="V1069" s="3">
        <v>46007</v>
      </c>
      <c r="W1069" s="215">
        <v>668</v>
      </c>
      <c r="X1069" s="215">
        <v>375</v>
      </c>
      <c r="Y1069" s="2" t="s">
        <v>256</v>
      </c>
    </row>
    <row r="1070" spans="2:25">
      <c r="B1070" s="1">
        <v>46168</v>
      </c>
      <c r="C1070" s="2">
        <v>1247</v>
      </c>
      <c r="D1070" s="2">
        <v>205</v>
      </c>
      <c r="E1070" s="2" t="s">
        <v>255</v>
      </c>
      <c r="V1070" s="3">
        <v>46007</v>
      </c>
      <c r="W1070" s="215">
        <v>667</v>
      </c>
      <c r="X1070" s="215">
        <v>495</v>
      </c>
      <c r="Y1070" s="2" t="s">
        <v>256</v>
      </c>
    </row>
    <row r="1071" spans="2:25">
      <c r="B1071" s="1">
        <v>46168</v>
      </c>
      <c r="C1071" s="2">
        <v>86</v>
      </c>
      <c r="D1071" s="2">
        <v>205</v>
      </c>
      <c r="E1071" s="2" t="s">
        <v>255</v>
      </c>
      <c r="V1071" s="3">
        <v>46007</v>
      </c>
      <c r="W1071" s="215">
        <v>666</v>
      </c>
      <c r="X1071" s="215">
        <v>465</v>
      </c>
      <c r="Y1071" s="2" t="s">
        <v>256</v>
      </c>
    </row>
    <row r="1072" spans="2:25">
      <c r="B1072" s="1">
        <v>46168</v>
      </c>
      <c r="C1072" s="2">
        <v>68</v>
      </c>
      <c r="D1072" s="2">
        <v>205</v>
      </c>
      <c r="E1072" s="2" t="s">
        <v>255</v>
      </c>
      <c r="V1072" s="3">
        <v>46007</v>
      </c>
      <c r="W1072" s="215">
        <v>665</v>
      </c>
      <c r="X1072" s="215">
        <v>402</v>
      </c>
      <c r="Y1072" s="2" t="s">
        <v>256</v>
      </c>
    </row>
    <row r="1073" spans="2:25">
      <c r="B1073" s="1">
        <v>46168</v>
      </c>
      <c r="C1073" s="2">
        <v>37</v>
      </c>
      <c r="D1073" s="2">
        <v>205</v>
      </c>
      <c r="E1073" s="2" t="s">
        <v>255</v>
      </c>
      <c r="V1073" s="3">
        <v>46007</v>
      </c>
      <c r="W1073" s="215">
        <v>664</v>
      </c>
      <c r="X1073" s="215">
        <v>508</v>
      </c>
      <c r="Y1073" s="2" t="s">
        <v>256</v>
      </c>
    </row>
    <row r="1074" spans="2:25">
      <c r="B1074" s="1">
        <v>46168</v>
      </c>
      <c r="C1074" s="2">
        <v>1456</v>
      </c>
      <c r="D1074" s="2">
        <v>204</v>
      </c>
      <c r="E1074" s="2" t="s">
        <v>255</v>
      </c>
      <c r="V1074" s="3">
        <v>46007</v>
      </c>
      <c r="W1074" s="215">
        <v>663</v>
      </c>
      <c r="X1074" s="215">
        <v>421</v>
      </c>
      <c r="Y1074" s="2" t="s">
        <v>256</v>
      </c>
    </row>
    <row r="1075" spans="2:25">
      <c r="B1075" s="1">
        <v>46168</v>
      </c>
      <c r="C1075" s="2">
        <v>575</v>
      </c>
      <c r="D1075" s="2">
        <v>204</v>
      </c>
      <c r="E1075" s="2" t="s">
        <v>255</v>
      </c>
      <c r="V1075" s="3">
        <v>46007</v>
      </c>
      <c r="W1075" s="215">
        <v>662</v>
      </c>
      <c r="X1075" s="215">
        <v>429</v>
      </c>
      <c r="Y1075" s="2" t="s">
        <v>256</v>
      </c>
    </row>
    <row r="1076" spans="2:25">
      <c r="B1076" s="1">
        <v>46168</v>
      </c>
      <c r="C1076" s="2">
        <v>71</v>
      </c>
      <c r="D1076" s="2">
        <v>204</v>
      </c>
      <c r="E1076" s="2" t="s">
        <v>255</v>
      </c>
      <c r="V1076" s="3">
        <v>46007</v>
      </c>
      <c r="W1076" s="215">
        <v>661</v>
      </c>
      <c r="X1076" s="215">
        <v>478</v>
      </c>
      <c r="Y1076" s="2" t="s">
        <v>256</v>
      </c>
    </row>
    <row r="1077" spans="2:25">
      <c r="B1077" s="1">
        <v>46168</v>
      </c>
      <c r="C1077" s="2">
        <v>43</v>
      </c>
      <c r="D1077" s="2">
        <v>204</v>
      </c>
      <c r="E1077" s="2" t="s">
        <v>255</v>
      </c>
      <c r="V1077" s="3">
        <v>46007</v>
      </c>
      <c r="W1077" s="215">
        <v>660</v>
      </c>
      <c r="X1077" s="215">
        <v>385</v>
      </c>
      <c r="Y1077" s="2" t="s">
        <v>256</v>
      </c>
    </row>
    <row r="1078" spans="2:25">
      <c r="B1078" s="1">
        <v>46168</v>
      </c>
      <c r="C1078" s="2">
        <v>1429</v>
      </c>
      <c r="D1078" s="2">
        <v>203</v>
      </c>
      <c r="E1078" s="2" t="s">
        <v>255</v>
      </c>
      <c r="V1078" s="3">
        <v>46007</v>
      </c>
      <c r="W1078" s="2">
        <v>659</v>
      </c>
      <c r="X1078" s="2">
        <v>410</v>
      </c>
      <c r="Y1078" s="2" t="s">
        <v>256</v>
      </c>
    </row>
    <row r="1079" spans="2:25">
      <c r="B1079" s="1">
        <v>46168</v>
      </c>
      <c r="C1079" s="2">
        <v>1354</v>
      </c>
      <c r="D1079" s="2">
        <v>203</v>
      </c>
      <c r="E1079" s="2" t="s">
        <v>255</v>
      </c>
      <c r="V1079" s="3">
        <v>46007</v>
      </c>
      <c r="W1079" s="215">
        <v>658</v>
      </c>
      <c r="X1079" s="215">
        <v>472</v>
      </c>
      <c r="Y1079" s="2" t="s">
        <v>256</v>
      </c>
    </row>
    <row r="1080" spans="2:25">
      <c r="B1080" s="1">
        <v>46168</v>
      </c>
      <c r="C1080" s="2">
        <v>1278</v>
      </c>
      <c r="D1080" s="2">
        <v>203</v>
      </c>
      <c r="E1080" s="2" t="s">
        <v>255</v>
      </c>
      <c r="V1080" s="3">
        <v>46007</v>
      </c>
      <c r="W1080" s="215">
        <v>657</v>
      </c>
      <c r="X1080" s="215">
        <v>429</v>
      </c>
      <c r="Y1080" s="2" t="s">
        <v>256</v>
      </c>
    </row>
    <row r="1081" spans="2:25">
      <c r="B1081" s="1">
        <v>46168</v>
      </c>
      <c r="C1081" s="2">
        <v>621</v>
      </c>
      <c r="D1081" s="2">
        <v>203</v>
      </c>
      <c r="E1081" s="2" t="s">
        <v>255</v>
      </c>
      <c r="V1081" s="3">
        <v>46007</v>
      </c>
      <c r="W1081" s="215">
        <v>656</v>
      </c>
      <c r="X1081" s="215">
        <v>429</v>
      </c>
      <c r="Y1081" s="2" t="s">
        <v>256</v>
      </c>
    </row>
    <row r="1082" spans="2:25">
      <c r="B1082" s="1">
        <v>46168</v>
      </c>
      <c r="C1082" s="2">
        <v>179</v>
      </c>
      <c r="D1082" s="2">
        <v>203</v>
      </c>
      <c r="E1082" s="2" t="s">
        <v>255</v>
      </c>
      <c r="V1082" s="3">
        <v>46007</v>
      </c>
      <c r="W1082" s="215">
        <v>654</v>
      </c>
      <c r="X1082" s="215">
        <v>450</v>
      </c>
      <c r="Y1082" s="2" t="s">
        <v>256</v>
      </c>
    </row>
    <row r="1083" spans="2:25">
      <c r="B1083" s="1">
        <v>46168</v>
      </c>
      <c r="C1083" s="2">
        <v>145</v>
      </c>
      <c r="D1083" s="2">
        <v>203</v>
      </c>
      <c r="E1083" s="2" t="s">
        <v>255</v>
      </c>
      <c r="V1083" s="3">
        <v>46007</v>
      </c>
      <c r="W1083" s="215">
        <v>653</v>
      </c>
      <c r="X1083" s="215">
        <v>407</v>
      </c>
      <c r="Y1083" s="2" t="s">
        <v>256</v>
      </c>
    </row>
    <row r="1084" spans="2:25">
      <c r="B1084" s="1">
        <v>46168</v>
      </c>
      <c r="C1084" s="2">
        <v>1315</v>
      </c>
      <c r="D1084" s="2">
        <v>202</v>
      </c>
      <c r="E1084" s="2" t="s">
        <v>255</v>
      </c>
      <c r="V1084" s="3">
        <v>46007</v>
      </c>
      <c r="W1084" s="215">
        <v>652</v>
      </c>
      <c r="X1084" s="215">
        <v>417</v>
      </c>
      <c r="Y1084" s="2" t="s">
        <v>256</v>
      </c>
    </row>
    <row r="1085" spans="2:25">
      <c r="B1085" s="1">
        <v>46168</v>
      </c>
      <c r="C1085" s="2">
        <v>1262</v>
      </c>
      <c r="D1085" s="2">
        <v>202</v>
      </c>
      <c r="E1085" s="2" t="s">
        <v>255</v>
      </c>
      <c r="V1085" s="3">
        <v>46007</v>
      </c>
      <c r="W1085" s="2">
        <v>651</v>
      </c>
      <c r="X1085" s="2">
        <v>414</v>
      </c>
      <c r="Y1085" s="2" t="s">
        <v>256</v>
      </c>
    </row>
    <row r="1086" spans="2:25">
      <c r="B1086" s="1">
        <v>46168</v>
      </c>
      <c r="C1086" s="2">
        <v>274</v>
      </c>
      <c r="D1086" s="2">
        <v>202</v>
      </c>
      <c r="E1086" s="2" t="s">
        <v>255</v>
      </c>
      <c r="V1086" s="3">
        <v>46007</v>
      </c>
      <c r="W1086" s="2">
        <v>650</v>
      </c>
      <c r="X1086" s="2">
        <v>482</v>
      </c>
      <c r="Y1086" s="2" t="s">
        <v>256</v>
      </c>
    </row>
    <row r="1087" spans="2:25">
      <c r="B1087" s="1">
        <v>46168</v>
      </c>
      <c r="C1087" s="2">
        <v>210</v>
      </c>
      <c r="D1087" s="2">
        <v>202</v>
      </c>
      <c r="E1087" s="2" t="s">
        <v>255</v>
      </c>
      <c r="V1087" s="3">
        <v>46007</v>
      </c>
      <c r="W1087" s="215">
        <v>650</v>
      </c>
      <c r="X1087" s="215">
        <v>488</v>
      </c>
      <c r="Y1087" s="2" t="s">
        <v>256</v>
      </c>
    </row>
    <row r="1088" spans="2:25">
      <c r="B1088" s="1">
        <v>46168</v>
      </c>
      <c r="C1088" s="2">
        <v>66</v>
      </c>
      <c r="D1088" s="2">
        <v>202</v>
      </c>
      <c r="E1088" s="2" t="s">
        <v>255</v>
      </c>
      <c r="V1088" s="3">
        <v>46007</v>
      </c>
      <c r="W1088" s="215">
        <v>649</v>
      </c>
      <c r="X1088" s="215">
        <v>428</v>
      </c>
      <c r="Y1088" s="2" t="s">
        <v>256</v>
      </c>
    </row>
    <row r="1089" spans="2:25">
      <c r="B1089" s="1">
        <v>46168</v>
      </c>
      <c r="C1089" s="2">
        <v>27</v>
      </c>
      <c r="D1089" s="2">
        <v>202</v>
      </c>
      <c r="E1089" s="2" t="s">
        <v>255</v>
      </c>
      <c r="V1089" s="3">
        <v>46007</v>
      </c>
      <c r="W1089" s="2">
        <v>648</v>
      </c>
      <c r="X1089" s="2">
        <v>548</v>
      </c>
      <c r="Y1089" s="2" t="s">
        <v>256</v>
      </c>
    </row>
    <row r="1090" spans="2:25">
      <c r="B1090" s="1">
        <v>46168</v>
      </c>
      <c r="C1090" s="2">
        <v>1272</v>
      </c>
      <c r="D1090" s="2">
        <v>201</v>
      </c>
      <c r="E1090" s="2" t="s">
        <v>255</v>
      </c>
      <c r="V1090" s="3">
        <v>46007</v>
      </c>
      <c r="W1090" s="215">
        <v>647</v>
      </c>
      <c r="X1090" s="215">
        <v>445</v>
      </c>
      <c r="Y1090" s="2" t="s">
        <v>256</v>
      </c>
    </row>
    <row r="1091" spans="2:25">
      <c r="B1091" s="1">
        <v>46168</v>
      </c>
      <c r="C1091" s="2">
        <v>102</v>
      </c>
      <c r="D1091" s="2">
        <v>201</v>
      </c>
      <c r="E1091" s="2" t="s">
        <v>255</v>
      </c>
      <c r="V1091" s="3">
        <v>46007</v>
      </c>
      <c r="W1091" s="215">
        <v>646</v>
      </c>
      <c r="X1091" s="215">
        <v>451</v>
      </c>
      <c r="Y1091" s="2" t="s">
        <v>256</v>
      </c>
    </row>
    <row r="1092" spans="2:25">
      <c r="B1092" s="1">
        <v>46168</v>
      </c>
      <c r="C1092" s="2">
        <v>96</v>
      </c>
      <c r="D1092" s="2">
        <v>201</v>
      </c>
      <c r="E1092" s="2" t="s">
        <v>255</v>
      </c>
      <c r="V1092" s="3">
        <v>46007</v>
      </c>
      <c r="W1092" s="215">
        <v>644</v>
      </c>
      <c r="X1092" s="215">
        <v>476</v>
      </c>
      <c r="Y1092" s="2" t="s">
        <v>256</v>
      </c>
    </row>
    <row r="1093" spans="2:25">
      <c r="B1093" s="1">
        <v>46168</v>
      </c>
      <c r="C1093" s="2">
        <v>30</v>
      </c>
      <c r="D1093" s="2">
        <v>201</v>
      </c>
      <c r="E1093" s="2" t="s">
        <v>255</v>
      </c>
      <c r="V1093" s="3">
        <v>46007</v>
      </c>
      <c r="W1093" s="215">
        <v>643</v>
      </c>
      <c r="X1093" s="215">
        <v>451</v>
      </c>
      <c r="Y1093" s="2" t="s">
        <v>256</v>
      </c>
    </row>
    <row r="1094" spans="2:25">
      <c r="B1094" s="1">
        <v>46168</v>
      </c>
      <c r="C1094" s="2">
        <v>301</v>
      </c>
      <c r="D1094" s="2">
        <v>200</v>
      </c>
      <c r="E1094" s="2" t="s">
        <v>255</v>
      </c>
      <c r="V1094" s="3">
        <v>46007</v>
      </c>
      <c r="W1094" s="215">
        <v>642</v>
      </c>
      <c r="X1094" s="215">
        <v>451</v>
      </c>
      <c r="Y1094" s="2" t="s">
        <v>256</v>
      </c>
    </row>
    <row r="1095" spans="2:25">
      <c r="B1095" s="1">
        <v>46168</v>
      </c>
      <c r="C1095" s="2">
        <v>159</v>
      </c>
      <c r="D1095" s="2">
        <v>200</v>
      </c>
      <c r="E1095" s="2" t="s">
        <v>255</v>
      </c>
      <c r="V1095" s="3">
        <v>46007</v>
      </c>
      <c r="W1095" s="215">
        <v>641</v>
      </c>
      <c r="X1095" s="215">
        <v>454</v>
      </c>
      <c r="Y1095" s="2" t="s">
        <v>256</v>
      </c>
    </row>
    <row r="1096" spans="2:25">
      <c r="B1096" s="1">
        <v>46168</v>
      </c>
      <c r="C1096" s="2">
        <v>124</v>
      </c>
      <c r="D1096" s="2">
        <v>200</v>
      </c>
      <c r="E1096" s="2" t="s">
        <v>255</v>
      </c>
      <c r="V1096" s="3">
        <v>46007</v>
      </c>
      <c r="W1096" s="215">
        <v>640</v>
      </c>
      <c r="X1096" s="215">
        <v>412</v>
      </c>
      <c r="Y1096" s="2" t="s">
        <v>256</v>
      </c>
    </row>
    <row r="1097" spans="2:25">
      <c r="B1097" s="1">
        <v>46168</v>
      </c>
      <c r="C1097" s="2">
        <v>286</v>
      </c>
      <c r="D1097" s="2">
        <v>199</v>
      </c>
      <c r="E1097" s="2" t="s">
        <v>255</v>
      </c>
      <c r="V1097" s="3">
        <v>46007</v>
      </c>
      <c r="W1097" s="215">
        <v>639</v>
      </c>
      <c r="X1097" s="215">
        <v>463</v>
      </c>
      <c r="Y1097" s="2" t="s">
        <v>256</v>
      </c>
    </row>
    <row r="1098" spans="2:25">
      <c r="B1098" s="1">
        <v>46168</v>
      </c>
      <c r="C1098" s="2">
        <v>156</v>
      </c>
      <c r="D1098" s="2">
        <v>199</v>
      </c>
      <c r="E1098" s="2" t="s">
        <v>255</v>
      </c>
      <c r="V1098" s="3">
        <v>46007</v>
      </c>
      <c r="W1098" s="215">
        <v>638</v>
      </c>
      <c r="X1098" s="215">
        <v>456</v>
      </c>
      <c r="Y1098" s="2" t="s">
        <v>256</v>
      </c>
    </row>
    <row r="1099" spans="2:25">
      <c r="B1099" s="1">
        <v>46168</v>
      </c>
      <c r="C1099" s="2">
        <v>24</v>
      </c>
      <c r="D1099" s="2">
        <v>199</v>
      </c>
      <c r="E1099" s="2" t="s">
        <v>255</v>
      </c>
      <c r="V1099" s="3">
        <v>46007</v>
      </c>
      <c r="W1099" s="215">
        <v>636</v>
      </c>
      <c r="X1099" s="215">
        <v>461</v>
      </c>
      <c r="Y1099" s="2" t="s">
        <v>256</v>
      </c>
    </row>
    <row r="1100" spans="2:25">
      <c r="B1100" s="1">
        <v>46168</v>
      </c>
      <c r="C1100" s="2">
        <v>1497</v>
      </c>
      <c r="D1100" s="2">
        <v>198</v>
      </c>
      <c r="E1100" s="2" t="s">
        <v>255</v>
      </c>
      <c r="V1100" s="3">
        <v>46007</v>
      </c>
      <c r="W1100" s="215">
        <v>635</v>
      </c>
      <c r="X1100" s="215">
        <v>441</v>
      </c>
      <c r="Y1100" s="2" t="s">
        <v>256</v>
      </c>
    </row>
    <row r="1101" spans="2:25">
      <c r="B1101" s="1">
        <v>46168</v>
      </c>
      <c r="C1101" s="2">
        <v>184</v>
      </c>
      <c r="D1101" s="2">
        <v>198</v>
      </c>
      <c r="E1101" s="2" t="s">
        <v>255</v>
      </c>
      <c r="V1101" s="3">
        <v>46007</v>
      </c>
      <c r="W1101" s="2">
        <v>634</v>
      </c>
      <c r="X1101" s="2">
        <v>447</v>
      </c>
      <c r="Y1101" s="2" t="s">
        <v>256</v>
      </c>
    </row>
    <row r="1102" spans="2:25">
      <c r="B1102" s="1">
        <v>46168</v>
      </c>
      <c r="C1102" s="2">
        <v>153</v>
      </c>
      <c r="D1102" s="2">
        <v>198</v>
      </c>
      <c r="E1102" s="2" t="s">
        <v>255</v>
      </c>
      <c r="V1102" s="3">
        <v>46007</v>
      </c>
      <c r="W1102" s="2">
        <v>633</v>
      </c>
      <c r="X1102" s="2">
        <v>527</v>
      </c>
      <c r="Y1102" s="2" t="s">
        <v>256</v>
      </c>
    </row>
    <row r="1103" spans="2:25">
      <c r="B1103" s="1">
        <v>46168</v>
      </c>
      <c r="C1103" s="2">
        <v>20</v>
      </c>
      <c r="D1103" s="2">
        <v>198</v>
      </c>
      <c r="E1103" s="2" t="s">
        <v>255</v>
      </c>
      <c r="V1103" s="3">
        <v>46007</v>
      </c>
      <c r="W1103" s="215">
        <v>632</v>
      </c>
      <c r="X1103" s="215">
        <v>470</v>
      </c>
      <c r="Y1103" s="2" t="s">
        <v>256</v>
      </c>
    </row>
    <row r="1104" spans="2:25">
      <c r="B1104" s="1">
        <v>46168</v>
      </c>
      <c r="C1104" s="2">
        <v>4</v>
      </c>
      <c r="D1104" s="2">
        <v>198</v>
      </c>
      <c r="E1104" s="2" t="s">
        <v>255</v>
      </c>
      <c r="V1104" s="3">
        <v>46007</v>
      </c>
      <c r="W1104" s="215">
        <v>631</v>
      </c>
      <c r="X1104" s="215">
        <v>319</v>
      </c>
      <c r="Y1104" s="2" t="s">
        <v>256</v>
      </c>
    </row>
    <row r="1105" spans="2:25">
      <c r="B1105" s="1">
        <v>46168</v>
      </c>
      <c r="C1105" s="2">
        <v>249</v>
      </c>
      <c r="D1105" s="2">
        <v>197</v>
      </c>
      <c r="E1105" s="2" t="s">
        <v>255</v>
      </c>
      <c r="V1105" s="3">
        <v>46007</v>
      </c>
      <c r="W1105" s="215">
        <v>628</v>
      </c>
      <c r="X1105" s="215">
        <v>418</v>
      </c>
      <c r="Y1105" s="2" t="s">
        <v>256</v>
      </c>
    </row>
    <row r="1106" spans="2:25">
      <c r="B1106" s="1">
        <v>46168</v>
      </c>
      <c r="C1106" s="2">
        <v>170</v>
      </c>
      <c r="D1106" s="2">
        <v>197</v>
      </c>
      <c r="E1106" s="2" t="s">
        <v>255</v>
      </c>
      <c r="V1106" s="3">
        <v>46007</v>
      </c>
      <c r="W1106" s="215">
        <v>627</v>
      </c>
      <c r="X1106" s="215">
        <v>477</v>
      </c>
      <c r="Y1106" s="2" t="s">
        <v>256</v>
      </c>
    </row>
    <row r="1107" spans="2:25">
      <c r="B1107" s="1">
        <v>46168</v>
      </c>
      <c r="C1107" s="2">
        <v>168</v>
      </c>
      <c r="D1107" s="2">
        <v>197</v>
      </c>
      <c r="E1107" s="2" t="s">
        <v>255</v>
      </c>
      <c r="V1107" s="3">
        <v>46007</v>
      </c>
      <c r="W1107" s="215">
        <v>626</v>
      </c>
      <c r="X1107" s="215">
        <v>339</v>
      </c>
      <c r="Y1107" s="2" t="s">
        <v>256</v>
      </c>
    </row>
    <row r="1108" spans="2:25">
      <c r="B1108" s="1">
        <v>46168</v>
      </c>
      <c r="C1108" s="2">
        <v>162</v>
      </c>
      <c r="D1108" s="2">
        <v>197</v>
      </c>
      <c r="E1108" s="2" t="s">
        <v>255</v>
      </c>
      <c r="V1108" s="3">
        <v>46007</v>
      </c>
      <c r="W1108" s="215">
        <v>624</v>
      </c>
      <c r="X1108" s="215">
        <v>256</v>
      </c>
      <c r="Y1108" s="2" t="s">
        <v>256</v>
      </c>
    </row>
    <row r="1109" spans="2:25">
      <c r="B1109" s="1">
        <v>46168</v>
      </c>
      <c r="C1109" s="2">
        <v>115</v>
      </c>
      <c r="D1109" s="2">
        <v>197</v>
      </c>
      <c r="E1109" s="2" t="s">
        <v>255</v>
      </c>
      <c r="V1109" s="3">
        <v>46007</v>
      </c>
      <c r="W1109" s="2">
        <v>623</v>
      </c>
      <c r="X1109" s="2">
        <v>520</v>
      </c>
      <c r="Y1109" s="2" t="s">
        <v>256</v>
      </c>
    </row>
    <row r="1110" spans="2:25">
      <c r="B1110" s="1">
        <v>46168</v>
      </c>
      <c r="C1110" s="2">
        <v>112</v>
      </c>
      <c r="D1110" s="2">
        <v>197</v>
      </c>
      <c r="E1110" s="2" t="s">
        <v>255</v>
      </c>
      <c r="V1110" s="3">
        <v>46007</v>
      </c>
      <c r="W1110" s="215">
        <v>622</v>
      </c>
      <c r="X1110" s="215">
        <v>200</v>
      </c>
      <c r="Y1110" s="2" t="s">
        <v>256</v>
      </c>
    </row>
    <row r="1111" spans="2:25">
      <c r="B1111" s="1">
        <v>46168</v>
      </c>
      <c r="C1111" s="2">
        <v>82</v>
      </c>
      <c r="D1111" s="2">
        <v>197</v>
      </c>
      <c r="E1111" s="2" t="s">
        <v>255</v>
      </c>
      <c r="V1111" s="3">
        <v>46007</v>
      </c>
      <c r="W1111" s="215">
        <v>620</v>
      </c>
      <c r="X1111" s="215">
        <v>380</v>
      </c>
      <c r="Y1111" s="2" t="s">
        <v>256</v>
      </c>
    </row>
    <row r="1112" spans="2:25">
      <c r="B1112" s="1">
        <v>46168</v>
      </c>
      <c r="C1112" s="2">
        <v>56</v>
      </c>
      <c r="D1112" s="2">
        <v>197</v>
      </c>
      <c r="E1112" s="2" t="s">
        <v>255</v>
      </c>
      <c r="V1112" s="3">
        <v>46007</v>
      </c>
      <c r="W1112" s="215">
        <v>619</v>
      </c>
      <c r="X1112" s="215">
        <v>517</v>
      </c>
      <c r="Y1112" s="2" t="s">
        <v>256</v>
      </c>
    </row>
    <row r="1113" spans="2:25">
      <c r="B1113" s="1">
        <v>46168</v>
      </c>
      <c r="C1113" s="2">
        <v>50</v>
      </c>
      <c r="D1113" s="2">
        <v>197</v>
      </c>
      <c r="E1113" s="2" t="s">
        <v>255</v>
      </c>
      <c r="V1113" s="3">
        <v>46007</v>
      </c>
      <c r="W1113" s="215">
        <v>618</v>
      </c>
      <c r="X1113" s="215">
        <v>321</v>
      </c>
      <c r="Y1113" s="2" t="s">
        <v>256</v>
      </c>
    </row>
    <row r="1114" spans="2:25">
      <c r="B1114" s="1">
        <v>46168</v>
      </c>
      <c r="C1114" s="2">
        <v>8</v>
      </c>
      <c r="D1114" s="2">
        <v>197</v>
      </c>
      <c r="E1114" s="2" t="s">
        <v>255</v>
      </c>
      <c r="V1114" s="3">
        <v>46007</v>
      </c>
      <c r="W1114" s="215">
        <v>616</v>
      </c>
      <c r="X1114" s="215">
        <v>511</v>
      </c>
      <c r="Y1114" s="2" t="s">
        <v>256</v>
      </c>
    </row>
    <row r="1115" spans="2:25">
      <c r="B1115" s="1">
        <v>46168</v>
      </c>
      <c r="C1115" s="2">
        <v>1307</v>
      </c>
      <c r="D1115" s="2">
        <v>196</v>
      </c>
      <c r="E1115" s="2" t="s">
        <v>255</v>
      </c>
      <c r="V1115" s="3">
        <v>46007</v>
      </c>
      <c r="W1115" s="215">
        <v>615</v>
      </c>
      <c r="X1115" s="215">
        <v>425</v>
      </c>
      <c r="Y1115" s="2" t="s">
        <v>256</v>
      </c>
    </row>
    <row r="1116" spans="2:25">
      <c r="B1116" s="1">
        <v>46168</v>
      </c>
      <c r="C1116" s="2">
        <v>265</v>
      </c>
      <c r="D1116" s="2">
        <v>196</v>
      </c>
      <c r="E1116" s="2" t="s">
        <v>255</v>
      </c>
      <c r="V1116" s="3">
        <v>46007</v>
      </c>
      <c r="W1116" s="215">
        <v>613</v>
      </c>
      <c r="X1116" s="215">
        <v>430</v>
      </c>
      <c r="Y1116" s="2" t="s">
        <v>256</v>
      </c>
    </row>
    <row r="1117" spans="2:25">
      <c r="B1117" s="1">
        <v>46168</v>
      </c>
      <c r="C1117" s="2">
        <v>224</v>
      </c>
      <c r="D1117" s="2">
        <v>196</v>
      </c>
      <c r="E1117" s="2" t="s">
        <v>255</v>
      </c>
      <c r="V1117" s="3">
        <v>46007</v>
      </c>
      <c r="W1117" s="215">
        <v>612</v>
      </c>
      <c r="X1117" s="215">
        <v>463</v>
      </c>
      <c r="Y1117" s="2" t="s">
        <v>256</v>
      </c>
    </row>
    <row r="1118" spans="2:25">
      <c r="B1118" s="1">
        <v>46168</v>
      </c>
      <c r="C1118" s="2">
        <v>166</v>
      </c>
      <c r="D1118" s="2">
        <v>196</v>
      </c>
      <c r="E1118" s="2" t="s">
        <v>255</v>
      </c>
      <c r="V1118" s="3">
        <v>46007</v>
      </c>
      <c r="W1118" s="2">
        <v>611</v>
      </c>
      <c r="X1118" s="2">
        <v>369</v>
      </c>
      <c r="Y1118" s="2" t="s">
        <v>256</v>
      </c>
    </row>
    <row r="1119" spans="2:25">
      <c r="B1119" s="1">
        <v>46168</v>
      </c>
      <c r="C1119" s="2">
        <v>107</v>
      </c>
      <c r="D1119" s="2">
        <v>196</v>
      </c>
      <c r="E1119" s="2" t="s">
        <v>255</v>
      </c>
      <c r="V1119" s="3">
        <v>46007</v>
      </c>
      <c r="W1119" s="215">
        <v>610</v>
      </c>
      <c r="X1119" s="215">
        <v>385</v>
      </c>
      <c r="Y1119" s="2" t="s">
        <v>256</v>
      </c>
    </row>
    <row r="1120" spans="2:25">
      <c r="B1120" s="1">
        <v>46168</v>
      </c>
      <c r="C1120" s="2">
        <v>52</v>
      </c>
      <c r="D1120" s="2">
        <v>196</v>
      </c>
      <c r="E1120" s="2" t="s">
        <v>255</v>
      </c>
      <c r="V1120" s="3">
        <v>46007</v>
      </c>
      <c r="W1120" s="2">
        <v>609</v>
      </c>
      <c r="X1120" s="2">
        <v>544</v>
      </c>
      <c r="Y1120" s="2" t="s">
        <v>256</v>
      </c>
    </row>
    <row r="1121" spans="2:25">
      <c r="B1121" s="1">
        <v>46168</v>
      </c>
      <c r="C1121" s="2">
        <v>25</v>
      </c>
      <c r="D1121" s="2">
        <v>196</v>
      </c>
      <c r="E1121" s="2" t="s">
        <v>255</v>
      </c>
      <c r="V1121" s="3">
        <v>46007</v>
      </c>
      <c r="W1121" s="215">
        <v>608</v>
      </c>
      <c r="X1121" s="215">
        <v>462</v>
      </c>
      <c r="Y1121" s="2" t="s">
        <v>256</v>
      </c>
    </row>
    <row r="1122" spans="2:25">
      <c r="B1122" s="1">
        <v>46168</v>
      </c>
      <c r="C1122" s="2">
        <v>14</v>
      </c>
      <c r="D1122" s="2">
        <v>196</v>
      </c>
      <c r="E1122" s="2" t="s">
        <v>255</v>
      </c>
      <c r="V1122" s="3">
        <v>46007</v>
      </c>
      <c r="W1122" s="215">
        <v>607</v>
      </c>
      <c r="X1122" s="215">
        <v>316</v>
      </c>
      <c r="Y1122" s="2" t="s">
        <v>256</v>
      </c>
    </row>
    <row r="1123" spans="2:25">
      <c r="B1123" s="1">
        <v>46168</v>
      </c>
      <c r="C1123" s="2">
        <v>1260</v>
      </c>
      <c r="D1123" s="2">
        <v>195</v>
      </c>
      <c r="E1123" s="2" t="s">
        <v>255</v>
      </c>
      <c r="V1123" s="3">
        <v>46007</v>
      </c>
      <c r="W1123" s="215">
        <v>604</v>
      </c>
      <c r="X1123" s="215">
        <v>297</v>
      </c>
      <c r="Y1123" s="2" t="s">
        <v>256</v>
      </c>
    </row>
    <row r="1124" spans="2:25">
      <c r="B1124" s="1">
        <v>46168</v>
      </c>
      <c r="C1124" s="2">
        <v>198</v>
      </c>
      <c r="D1124" s="2">
        <v>195</v>
      </c>
      <c r="E1124" s="2" t="s">
        <v>255</v>
      </c>
      <c r="V1124" s="3">
        <v>46007</v>
      </c>
      <c r="W1124" s="2">
        <v>601</v>
      </c>
      <c r="X1124" s="2">
        <v>469</v>
      </c>
      <c r="Y1124" s="2" t="s">
        <v>256</v>
      </c>
    </row>
    <row r="1125" spans="2:25">
      <c r="B1125" s="1">
        <v>46168</v>
      </c>
      <c r="C1125" s="2">
        <v>151</v>
      </c>
      <c r="D1125" s="2">
        <v>195</v>
      </c>
      <c r="E1125" s="2" t="s">
        <v>255</v>
      </c>
      <c r="V1125" s="3">
        <v>46007</v>
      </c>
      <c r="W1125" s="215">
        <v>600</v>
      </c>
      <c r="X1125" s="215">
        <v>373</v>
      </c>
      <c r="Y1125" s="2" t="s">
        <v>256</v>
      </c>
    </row>
    <row r="1126" spans="2:25">
      <c r="B1126" s="1">
        <v>46168</v>
      </c>
      <c r="C1126" s="2">
        <v>140</v>
      </c>
      <c r="D1126" s="2">
        <v>195</v>
      </c>
      <c r="E1126" s="2" t="s">
        <v>255</v>
      </c>
      <c r="V1126" s="3">
        <v>46007</v>
      </c>
      <c r="W1126" s="215">
        <v>599</v>
      </c>
      <c r="X1126" s="215">
        <v>482</v>
      </c>
      <c r="Y1126" s="2" t="s">
        <v>256</v>
      </c>
    </row>
    <row r="1127" spans="2:25">
      <c r="B1127" s="1">
        <v>46168</v>
      </c>
      <c r="C1127" s="2">
        <v>139</v>
      </c>
      <c r="D1127" s="2">
        <v>195</v>
      </c>
      <c r="E1127" s="2" t="s">
        <v>255</v>
      </c>
      <c r="V1127" s="3">
        <v>46007</v>
      </c>
      <c r="W1127" s="215">
        <v>598</v>
      </c>
      <c r="X1127" s="215">
        <v>394</v>
      </c>
      <c r="Y1127" s="2" t="s">
        <v>256</v>
      </c>
    </row>
    <row r="1128" spans="2:25">
      <c r="B1128" s="1">
        <v>46168</v>
      </c>
      <c r="C1128" s="2">
        <v>78</v>
      </c>
      <c r="D1128" s="2">
        <v>195</v>
      </c>
      <c r="E1128" s="2" t="s">
        <v>255</v>
      </c>
      <c r="V1128" s="3">
        <v>46007</v>
      </c>
      <c r="W1128" s="215">
        <v>597</v>
      </c>
      <c r="X1128" s="215">
        <v>535</v>
      </c>
      <c r="Y1128" s="2" t="s">
        <v>256</v>
      </c>
    </row>
    <row r="1129" spans="2:25">
      <c r="B1129" s="1">
        <v>46168</v>
      </c>
      <c r="C1129" s="2">
        <v>9</v>
      </c>
      <c r="D1129" s="2">
        <v>195</v>
      </c>
      <c r="E1129" s="2" t="s">
        <v>255</v>
      </c>
      <c r="V1129" s="3">
        <v>46007</v>
      </c>
      <c r="W1129" s="2">
        <v>596</v>
      </c>
      <c r="X1129" s="2">
        <v>398</v>
      </c>
      <c r="Y1129" s="2" t="s">
        <v>256</v>
      </c>
    </row>
    <row r="1130" spans="2:25">
      <c r="B1130" s="1">
        <v>46168</v>
      </c>
      <c r="C1130" s="2">
        <v>1510</v>
      </c>
      <c r="D1130" s="2">
        <v>194</v>
      </c>
      <c r="E1130" s="2" t="s">
        <v>255</v>
      </c>
      <c r="V1130" s="3">
        <v>46007</v>
      </c>
      <c r="W1130" s="215">
        <v>595</v>
      </c>
      <c r="X1130" s="215">
        <v>434</v>
      </c>
      <c r="Y1130" s="2" t="s">
        <v>256</v>
      </c>
    </row>
    <row r="1131" spans="2:25">
      <c r="B1131" s="1">
        <v>46168</v>
      </c>
      <c r="C1131" s="2">
        <v>1440</v>
      </c>
      <c r="D1131" s="2">
        <v>194</v>
      </c>
      <c r="E1131" s="2" t="s">
        <v>255</v>
      </c>
      <c r="V1131" s="3">
        <v>46007</v>
      </c>
      <c r="W1131" s="215">
        <v>594</v>
      </c>
      <c r="X1131" s="215">
        <v>467</v>
      </c>
      <c r="Y1131" s="2" t="s">
        <v>256</v>
      </c>
    </row>
    <row r="1132" spans="2:25">
      <c r="B1132" s="1">
        <v>46168</v>
      </c>
      <c r="C1132" s="2">
        <v>49</v>
      </c>
      <c r="D1132" s="2">
        <v>194</v>
      </c>
      <c r="E1132" s="2" t="s">
        <v>255</v>
      </c>
      <c r="V1132" s="3">
        <v>46007</v>
      </c>
      <c r="W1132" s="215">
        <v>593</v>
      </c>
      <c r="X1132" s="215">
        <v>425</v>
      </c>
      <c r="Y1132" s="2" t="s">
        <v>256</v>
      </c>
    </row>
    <row r="1133" spans="2:25">
      <c r="B1133" s="1">
        <v>46168</v>
      </c>
      <c r="C1133" s="2">
        <v>1322</v>
      </c>
      <c r="D1133" s="2">
        <v>193</v>
      </c>
      <c r="E1133" s="2" t="s">
        <v>255</v>
      </c>
      <c r="V1133" s="3">
        <v>46007</v>
      </c>
      <c r="W1133" s="215">
        <v>591</v>
      </c>
      <c r="X1133" s="215">
        <v>506</v>
      </c>
      <c r="Y1133" s="2" t="s">
        <v>256</v>
      </c>
    </row>
    <row r="1134" spans="2:25">
      <c r="B1134" s="1">
        <v>46168</v>
      </c>
      <c r="C1134" s="2">
        <v>1319</v>
      </c>
      <c r="D1134" s="2">
        <v>193</v>
      </c>
      <c r="E1134" s="2" t="s">
        <v>255</v>
      </c>
      <c r="V1134" s="3">
        <v>46007</v>
      </c>
      <c r="W1134" s="215">
        <v>590</v>
      </c>
      <c r="X1134" s="215">
        <v>440</v>
      </c>
      <c r="Y1134" s="2" t="s">
        <v>256</v>
      </c>
    </row>
    <row r="1135" spans="2:25">
      <c r="B1135" s="1">
        <v>46168</v>
      </c>
      <c r="C1135" s="2">
        <v>1246</v>
      </c>
      <c r="D1135" s="2">
        <v>193</v>
      </c>
      <c r="E1135" s="2" t="s">
        <v>255</v>
      </c>
      <c r="V1135" s="3">
        <v>46007</v>
      </c>
      <c r="W1135" s="215">
        <v>589</v>
      </c>
      <c r="X1135" s="215">
        <v>573</v>
      </c>
      <c r="Y1135" s="2" t="s">
        <v>256</v>
      </c>
    </row>
    <row r="1136" spans="2:25">
      <c r="B1136" s="1">
        <v>46168</v>
      </c>
      <c r="C1136" s="2">
        <v>228</v>
      </c>
      <c r="D1136" s="2">
        <v>193</v>
      </c>
      <c r="E1136" s="2" t="s">
        <v>255</v>
      </c>
      <c r="V1136" s="3">
        <v>46007</v>
      </c>
      <c r="W1136" s="215">
        <v>588</v>
      </c>
      <c r="X1136" s="215">
        <v>408</v>
      </c>
      <c r="Y1136" s="2" t="s">
        <v>256</v>
      </c>
    </row>
    <row r="1137" spans="2:25">
      <c r="B1137" s="1">
        <v>46168</v>
      </c>
      <c r="C1137" s="2">
        <v>34</v>
      </c>
      <c r="D1137" s="2">
        <v>193</v>
      </c>
      <c r="E1137" s="2" t="s">
        <v>255</v>
      </c>
      <c r="V1137" s="3">
        <v>46007</v>
      </c>
      <c r="W1137" s="2">
        <v>587</v>
      </c>
      <c r="X1137" s="2">
        <v>526</v>
      </c>
      <c r="Y1137" s="2" t="s">
        <v>256</v>
      </c>
    </row>
    <row r="1138" spans="2:25">
      <c r="B1138" s="1">
        <v>46168</v>
      </c>
      <c r="C1138" s="2">
        <v>23</v>
      </c>
      <c r="D1138" s="2">
        <v>193</v>
      </c>
      <c r="E1138" s="2" t="s">
        <v>255</v>
      </c>
      <c r="V1138" s="3">
        <v>46007</v>
      </c>
      <c r="W1138" s="215">
        <v>586</v>
      </c>
      <c r="X1138" s="215">
        <v>430</v>
      </c>
      <c r="Y1138" s="2" t="s">
        <v>256</v>
      </c>
    </row>
    <row r="1139" spans="2:25">
      <c r="B1139" s="1">
        <v>46168</v>
      </c>
      <c r="C1139" s="2">
        <v>1245</v>
      </c>
      <c r="D1139" s="2">
        <v>192</v>
      </c>
      <c r="E1139" s="2" t="s">
        <v>255</v>
      </c>
      <c r="V1139" s="3">
        <v>46007</v>
      </c>
      <c r="W1139" s="215">
        <v>585</v>
      </c>
      <c r="X1139" s="215">
        <v>438</v>
      </c>
      <c r="Y1139" s="2" t="s">
        <v>256</v>
      </c>
    </row>
    <row r="1140" spans="2:25">
      <c r="B1140" s="1">
        <v>46168</v>
      </c>
      <c r="C1140" s="2">
        <v>190</v>
      </c>
      <c r="D1140" s="2">
        <v>192</v>
      </c>
      <c r="E1140" s="2" t="s">
        <v>255</v>
      </c>
      <c r="V1140" s="3">
        <v>46007</v>
      </c>
      <c r="W1140" s="215">
        <v>584</v>
      </c>
      <c r="X1140" s="215">
        <v>382</v>
      </c>
      <c r="Y1140" s="2" t="s">
        <v>256</v>
      </c>
    </row>
    <row r="1141" spans="2:25">
      <c r="B1141" s="1">
        <v>46168</v>
      </c>
      <c r="C1141" s="2">
        <v>93</v>
      </c>
      <c r="D1141" s="2">
        <v>192</v>
      </c>
      <c r="E1141" s="2" t="s">
        <v>255</v>
      </c>
      <c r="V1141" s="3">
        <v>46007</v>
      </c>
      <c r="W1141" s="215">
        <v>583</v>
      </c>
      <c r="X1141" s="215">
        <v>390</v>
      </c>
      <c r="Y1141" s="2" t="s">
        <v>256</v>
      </c>
    </row>
    <row r="1142" spans="2:25">
      <c r="B1142" s="1">
        <v>46168</v>
      </c>
      <c r="C1142" s="2">
        <v>1523</v>
      </c>
      <c r="D1142" s="2">
        <v>191</v>
      </c>
      <c r="E1142" s="2" t="s">
        <v>255</v>
      </c>
      <c r="V1142" s="3">
        <v>46007</v>
      </c>
      <c r="W1142" s="215">
        <v>581</v>
      </c>
      <c r="X1142" s="215">
        <v>299</v>
      </c>
      <c r="Y1142" s="2" t="s">
        <v>256</v>
      </c>
    </row>
    <row r="1143" spans="2:25">
      <c r="B1143" s="1">
        <v>46168</v>
      </c>
      <c r="C1143" s="2">
        <v>294</v>
      </c>
      <c r="D1143" s="2">
        <v>191</v>
      </c>
      <c r="E1143" s="2" t="s">
        <v>255</v>
      </c>
      <c r="V1143" s="3">
        <v>46007</v>
      </c>
      <c r="W1143" s="2">
        <v>580</v>
      </c>
      <c r="X1143" s="2">
        <v>364</v>
      </c>
      <c r="Y1143" s="2" t="s">
        <v>256</v>
      </c>
    </row>
    <row r="1144" spans="2:25">
      <c r="B1144" s="1">
        <v>46168</v>
      </c>
      <c r="C1144" s="2">
        <v>225</v>
      </c>
      <c r="D1144" s="2">
        <v>191</v>
      </c>
      <c r="E1144" s="2" t="s">
        <v>255</v>
      </c>
      <c r="V1144" s="3">
        <v>46007</v>
      </c>
      <c r="W1144" s="215">
        <v>579</v>
      </c>
      <c r="X1144" s="215">
        <v>560</v>
      </c>
      <c r="Y1144" s="2" t="s">
        <v>256</v>
      </c>
    </row>
    <row r="1145" spans="2:25">
      <c r="B1145" s="1">
        <v>46168</v>
      </c>
      <c r="C1145" s="2">
        <v>91</v>
      </c>
      <c r="D1145" s="2">
        <v>191</v>
      </c>
      <c r="E1145" s="2" t="s">
        <v>255</v>
      </c>
      <c r="V1145" s="3">
        <v>46007</v>
      </c>
      <c r="W1145" s="215">
        <v>578</v>
      </c>
      <c r="X1145" s="215">
        <v>530</v>
      </c>
      <c r="Y1145" s="2" t="s">
        <v>256</v>
      </c>
    </row>
    <row r="1146" spans="2:25">
      <c r="B1146" s="1">
        <v>46168</v>
      </c>
      <c r="C1146" s="2">
        <v>80</v>
      </c>
      <c r="D1146" s="2">
        <v>191</v>
      </c>
      <c r="E1146" s="2" t="s">
        <v>255</v>
      </c>
      <c r="V1146" s="3">
        <v>46007</v>
      </c>
      <c r="W1146" s="215">
        <v>576</v>
      </c>
      <c r="X1146" s="215">
        <v>454</v>
      </c>
      <c r="Y1146" s="2" t="s">
        <v>256</v>
      </c>
    </row>
    <row r="1147" spans="2:25">
      <c r="B1147" s="1">
        <v>46168</v>
      </c>
      <c r="C1147" s="2">
        <v>1279</v>
      </c>
      <c r="D1147" s="2">
        <v>190</v>
      </c>
      <c r="E1147" s="2" t="s">
        <v>255</v>
      </c>
      <c r="V1147" s="3">
        <v>46007</v>
      </c>
      <c r="W1147" s="215">
        <v>575</v>
      </c>
      <c r="X1147" s="215">
        <v>239</v>
      </c>
      <c r="Y1147" s="2" t="s">
        <v>256</v>
      </c>
    </row>
    <row r="1148" spans="2:25">
      <c r="B1148" s="1">
        <v>46168</v>
      </c>
      <c r="C1148" s="2">
        <v>1264</v>
      </c>
      <c r="D1148" s="2">
        <v>190</v>
      </c>
      <c r="E1148" s="2" t="s">
        <v>255</v>
      </c>
      <c r="V1148" s="3">
        <v>46007</v>
      </c>
      <c r="W1148" s="215">
        <v>574</v>
      </c>
      <c r="X1148" s="215">
        <v>344</v>
      </c>
      <c r="Y1148" s="2" t="s">
        <v>256</v>
      </c>
    </row>
    <row r="1149" spans="2:25">
      <c r="B1149" s="1">
        <v>46168</v>
      </c>
      <c r="C1149" s="2">
        <v>1240</v>
      </c>
      <c r="D1149" s="2">
        <v>190</v>
      </c>
      <c r="E1149" s="2" t="s">
        <v>255</v>
      </c>
      <c r="V1149" s="3">
        <v>46007</v>
      </c>
      <c r="W1149" s="215">
        <v>573</v>
      </c>
      <c r="X1149" s="215">
        <v>459</v>
      </c>
      <c r="Y1149" s="2" t="s">
        <v>256</v>
      </c>
    </row>
    <row r="1150" spans="2:25">
      <c r="B1150" s="1">
        <v>46168</v>
      </c>
      <c r="C1150" s="2">
        <v>624</v>
      </c>
      <c r="D1150" s="2">
        <v>190</v>
      </c>
      <c r="E1150" s="2" t="s">
        <v>255</v>
      </c>
      <c r="V1150" s="3">
        <v>46007</v>
      </c>
      <c r="W1150" s="215">
        <v>572</v>
      </c>
      <c r="X1150" s="215">
        <v>397</v>
      </c>
      <c r="Y1150" s="2" t="s">
        <v>256</v>
      </c>
    </row>
    <row r="1151" spans="2:25">
      <c r="B1151" s="1">
        <v>46168</v>
      </c>
      <c r="C1151" s="2">
        <v>290</v>
      </c>
      <c r="D1151" s="2">
        <v>190</v>
      </c>
      <c r="E1151" s="2" t="s">
        <v>255</v>
      </c>
      <c r="V1151" s="3">
        <v>46007</v>
      </c>
      <c r="W1151" s="215">
        <v>571</v>
      </c>
      <c r="X1151" s="215">
        <v>345</v>
      </c>
      <c r="Y1151" s="2" t="s">
        <v>256</v>
      </c>
    </row>
    <row r="1152" spans="2:25">
      <c r="B1152" s="1">
        <v>46168</v>
      </c>
      <c r="C1152" s="2">
        <v>69</v>
      </c>
      <c r="D1152" s="2">
        <v>190</v>
      </c>
      <c r="E1152" s="2" t="s">
        <v>255</v>
      </c>
      <c r="V1152" s="3">
        <v>46007</v>
      </c>
      <c r="W1152" s="215">
        <v>570</v>
      </c>
      <c r="X1152" s="215">
        <v>472</v>
      </c>
      <c r="Y1152" s="2" t="s">
        <v>256</v>
      </c>
    </row>
    <row r="1153" spans="2:25">
      <c r="B1153" s="1">
        <v>46168</v>
      </c>
      <c r="C1153" s="2">
        <v>33</v>
      </c>
      <c r="D1153" s="2">
        <v>190</v>
      </c>
      <c r="E1153" s="2" t="s">
        <v>255</v>
      </c>
      <c r="V1153" s="3">
        <v>46007</v>
      </c>
      <c r="W1153" s="215">
        <v>569</v>
      </c>
      <c r="X1153" s="215">
        <v>621</v>
      </c>
      <c r="Y1153" s="2" t="s">
        <v>256</v>
      </c>
    </row>
    <row r="1154" spans="2:25">
      <c r="B1154" s="1">
        <v>46168</v>
      </c>
      <c r="C1154" s="2">
        <v>1269</v>
      </c>
      <c r="D1154" s="2">
        <v>189</v>
      </c>
      <c r="E1154" s="2" t="s">
        <v>255</v>
      </c>
      <c r="V1154" s="3">
        <v>46007</v>
      </c>
      <c r="W1154" s="215">
        <v>568</v>
      </c>
      <c r="X1154" s="215">
        <v>360</v>
      </c>
      <c r="Y1154" s="2" t="s">
        <v>256</v>
      </c>
    </row>
    <row r="1155" spans="2:25">
      <c r="B1155" s="1">
        <v>46168</v>
      </c>
      <c r="C1155" s="2">
        <v>261</v>
      </c>
      <c r="D1155" s="2">
        <v>189</v>
      </c>
      <c r="E1155" s="2" t="s">
        <v>255</v>
      </c>
      <c r="V1155" s="3">
        <v>46007</v>
      </c>
      <c r="W1155" s="2">
        <v>566</v>
      </c>
      <c r="X1155" s="2">
        <v>397</v>
      </c>
      <c r="Y1155" s="2" t="s">
        <v>256</v>
      </c>
    </row>
    <row r="1156" spans="2:25">
      <c r="B1156" s="1">
        <v>46168</v>
      </c>
      <c r="C1156" s="2">
        <v>203</v>
      </c>
      <c r="D1156" s="2">
        <v>189</v>
      </c>
      <c r="E1156" s="2" t="s">
        <v>255</v>
      </c>
      <c r="V1156" s="3">
        <v>46007</v>
      </c>
      <c r="W1156" s="215">
        <v>564</v>
      </c>
      <c r="X1156" s="215">
        <v>212</v>
      </c>
      <c r="Y1156" s="2" t="s">
        <v>256</v>
      </c>
    </row>
    <row r="1157" spans="2:25">
      <c r="B1157" s="1">
        <v>46168</v>
      </c>
      <c r="C1157" s="2">
        <v>81</v>
      </c>
      <c r="D1157" s="2">
        <v>189</v>
      </c>
      <c r="E1157" s="2" t="s">
        <v>255</v>
      </c>
      <c r="V1157" s="3">
        <v>46007</v>
      </c>
      <c r="W1157" s="2">
        <v>563</v>
      </c>
      <c r="X1157" s="2">
        <v>452</v>
      </c>
      <c r="Y1157" s="2" t="s">
        <v>256</v>
      </c>
    </row>
    <row r="1158" spans="2:25">
      <c r="B1158" s="1">
        <v>46168</v>
      </c>
      <c r="C1158" s="2">
        <v>77</v>
      </c>
      <c r="D1158" s="2">
        <v>189</v>
      </c>
      <c r="E1158" s="2" t="s">
        <v>255</v>
      </c>
      <c r="V1158" s="3">
        <v>46007</v>
      </c>
      <c r="W1158" s="215">
        <v>562</v>
      </c>
      <c r="X1158" s="215">
        <v>331</v>
      </c>
      <c r="Y1158" s="2" t="s">
        <v>256</v>
      </c>
    </row>
    <row r="1159" spans="2:25">
      <c r="B1159" s="1">
        <v>46168</v>
      </c>
      <c r="C1159" s="2">
        <v>1418</v>
      </c>
      <c r="D1159" s="2">
        <v>188</v>
      </c>
      <c r="E1159" s="2" t="s">
        <v>255</v>
      </c>
      <c r="V1159" s="3">
        <v>46007</v>
      </c>
      <c r="W1159" s="2">
        <v>561</v>
      </c>
      <c r="X1159" s="2">
        <v>451</v>
      </c>
      <c r="Y1159" s="2" t="s">
        <v>256</v>
      </c>
    </row>
    <row r="1160" spans="2:25">
      <c r="B1160" s="1">
        <v>46168</v>
      </c>
      <c r="C1160" s="2">
        <v>1344</v>
      </c>
      <c r="D1160" s="2">
        <v>188</v>
      </c>
      <c r="E1160" s="2" t="s">
        <v>255</v>
      </c>
      <c r="V1160" s="3">
        <v>46007</v>
      </c>
      <c r="W1160" s="215">
        <v>560</v>
      </c>
      <c r="X1160" s="215">
        <v>512</v>
      </c>
      <c r="Y1160" s="2" t="s">
        <v>256</v>
      </c>
    </row>
    <row r="1161" spans="2:25">
      <c r="B1161" s="1">
        <v>46168</v>
      </c>
      <c r="C1161" s="2">
        <v>1267</v>
      </c>
      <c r="D1161" s="2">
        <v>188</v>
      </c>
      <c r="E1161" s="2" t="s">
        <v>255</v>
      </c>
      <c r="V1161" s="3">
        <v>46007</v>
      </c>
      <c r="W1161" s="215">
        <v>558</v>
      </c>
      <c r="X1161" s="215">
        <v>445</v>
      </c>
      <c r="Y1161" s="2" t="s">
        <v>256</v>
      </c>
    </row>
    <row r="1162" spans="2:25">
      <c r="B1162" s="1">
        <v>46168</v>
      </c>
      <c r="C1162" s="2">
        <v>236</v>
      </c>
      <c r="D1162" s="2">
        <v>188</v>
      </c>
      <c r="E1162" s="2" t="s">
        <v>255</v>
      </c>
      <c r="V1162" s="3">
        <v>46007</v>
      </c>
      <c r="W1162" s="215">
        <v>557</v>
      </c>
      <c r="X1162" s="215">
        <v>319</v>
      </c>
      <c r="Y1162" s="2" t="s">
        <v>256</v>
      </c>
    </row>
    <row r="1163" spans="2:25">
      <c r="B1163" s="1">
        <v>46168</v>
      </c>
      <c r="C1163" s="2">
        <v>177</v>
      </c>
      <c r="D1163" s="2">
        <v>188</v>
      </c>
      <c r="E1163" s="2" t="s">
        <v>255</v>
      </c>
      <c r="V1163" s="3">
        <v>46007</v>
      </c>
      <c r="W1163" s="215">
        <v>556</v>
      </c>
      <c r="X1163" s="215">
        <v>453</v>
      </c>
      <c r="Y1163" s="2" t="s">
        <v>256</v>
      </c>
    </row>
    <row r="1164" spans="2:25">
      <c r="B1164" s="1">
        <v>46168</v>
      </c>
      <c r="C1164" s="2">
        <v>165</v>
      </c>
      <c r="D1164" s="2">
        <v>188</v>
      </c>
      <c r="E1164" s="2" t="s">
        <v>255</v>
      </c>
      <c r="V1164" s="3">
        <v>46007</v>
      </c>
      <c r="W1164" s="215">
        <v>553</v>
      </c>
      <c r="X1164" s="215">
        <v>463</v>
      </c>
      <c r="Y1164" s="2" t="s">
        <v>256</v>
      </c>
    </row>
    <row r="1165" spans="2:25">
      <c r="B1165" s="1">
        <v>46168</v>
      </c>
      <c r="C1165" s="2">
        <v>150</v>
      </c>
      <c r="D1165" s="2">
        <v>188</v>
      </c>
      <c r="E1165" s="2" t="s">
        <v>255</v>
      </c>
      <c r="V1165" s="3">
        <v>46007</v>
      </c>
      <c r="W1165" s="215">
        <v>552</v>
      </c>
      <c r="X1165" s="215">
        <v>542</v>
      </c>
      <c r="Y1165" s="2" t="s">
        <v>256</v>
      </c>
    </row>
    <row r="1166" spans="2:25">
      <c r="B1166" s="1">
        <v>46168</v>
      </c>
      <c r="C1166" s="2">
        <v>119</v>
      </c>
      <c r="D1166" s="2">
        <v>188</v>
      </c>
      <c r="E1166" s="2" t="s">
        <v>255</v>
      </c>
      <c r="V1166" s="3">
        <v>46007</v>
      </c>
      <c r="W1166" s="215">
        <v>551</v>
      </c>
      <c r="X1166" s="215">
        <v>372</v>
      </c>
      <c r="Y1166" s="2" t="s">
        <v>256</v>
      </c>
    </row>
    <row r="1167" spans="2:25">
      <c r="B1167" s="1">
        <v>46168</v>
      </c>
      <c r="C1167" s="2">
        <v>42</v>
      </c>
      <c r="D1167" s="2">
        <v>188</v>
      </c>
      <c r="E1167" s="2" t="s">
        <v>255</v>
      </c>
      <c r="V1167" s="3">
        <v>46007</v>
      </c>
      <c r="W1167" s="215">
        <v>549</v>
      </c>
      <c r="X1167" s="215">
        <v>493</v>
      </c>
      <c r="Y1167" s="2" t="s">
        <v>256</v>
      </c>
    </row>
    <row r="1168" spans="2:25">
      <c r="B1168" s="1">
        <v>46168</v>
      </c>
      <c r="C1168" s="2">
        <v>28</v>
      </c>
      <c r="D1168" s="2">
        <v>188</v>
      </c>
      <c r="E1168" s="2" t="s">
        <v>255</v>
      </c>
      <c r="V1168" s="3">
        <v>46007</v>
      </c>
      <c r="W1168" s="215">
        <v>548</v>
      </c>
      <c r="X1168" s="215">
        <v>331</v>
      </c>
      <c r="Y1168" s="2" t="s">
        <v>256</v>
      </c>
    </row>
    <row r="1169" spans="2:25">
      <c r="B1169" s="1">
        <v>46168</v>
      </c>
      <c r="C1169" s="2">
        <v>1495</v>
      </c>
      <c r="D1169" s="2">
        <v>187</v>
      </c>
      <c r="E1169" s="2" t="s">
        <v>255</v>
      </c>
      <c r="V1169" s="3">
        <v>46007</v>
      </c>
      <c r="W1169" s="2">
        <v>547</v>
      </c>
      <c r="X1169" s="2">
        <v>423</v>
      </c>
      <c r="Y1169" s="2" t="s">
        <v>256</v>
      </c>
    </row>
    <row r="1170" spans="2:25">
      <c r="B1170" s="1">
        <v>46168</v>
      </c>
      <c r="C1170" s="2">
        <v>1444</v>
      </c>
      <c r="D1170" s="2">
        <v>187</v>
      </c>
      <c r="E1170" s="2" t="s">
        <v>255</v>
      </c>
      <c r="V1170" s="3">
        <v>46007</v>
      </c>
      <c r="W1170" s="2">
        <v>545</v>
      </c>
      <c r="X1170" s="2">
        <v>504</v>
      </c>
      <c r="Y1170" s="2" t="s">
        <v>256</v>
      </c>
    </row>
    <row r="1171" spans="2:25">
      <c r="B1171" s="1">
        <v>46168</v>
      </c>
      <c r="C1171" s="2">
        <v>1424</v>
      </c>
      <c r="D1171" s="2">
        <v>187</v>
      </c>
      <c r="E1171" s="2" t="s">
        <v>255</v>
      </c>
      <c r="V1171" s="3">
        <v>46007</v>
      </c>
      <c r="W1171" s="215">
        <v>544</v>
      </c>
      <c r="X1171" s="215">
        <v>519</v>
      </c>
      <c r="Y1171" s="2" t="s">
        <v>256</v>
      </c>
    </row>
    <row r="1172" spans="2:25">
      <c r="B1172" s="1">
        <v>46168</v>
      </c>
      <c r="C1172" s="2">
        <v>1300</v>
      </c>
      <c r="D1172" s="2">
        <v>187</v>
      </c>
      <c r="E1172" s="2" t="s">
        <v>255</v>
      </c>
      <c r="V1172" s="3">
        <v>46007</v>
      </c>
      <c r="W1172" s="215">
        <v>542</v>
      </c>
      <c r="X1172" s="215">
        <v>420</v>
      </c>
      <c r="Y1172" s="2" t="s">
        <v>256</v>
      </c>
    </row>
    <row r="1173" spans="2:25">
      <c r="B1173" s="1">
        <v>46168</v>
      </c>
      <c r="C1173" s="2">
        <v>1285</v>
      </c>
      <c r="D1173" s="2">
        <v>187</v>
      </c>
      <c r="E1173" s="2" t="s">
        <v>255</v>
      </c>
      <c r="V1173" s="3">
        <v>46007</v>
      </c>
      <c r="W1173" s="215">
        <v>541</v>
      </c>
      <c r="X1173" s="215">
        <v>399</v>
      </c>
      <c r="Y1173" s="2" t="s">
        <v>256</v>
      </c>
    </row>
    <row r="1174" spans="2:25">
      <c r="B1174" s="1">
        <v>46168</v>
      </c>
      <c r="C1174" s="2">
        <v>368</v>
      </c>
      <c r="D1174" s="2">
        <v>187</v>
      </c>
      <c r="E1174" s="2" t="s">
        <v>255</v>
      </c>
      <c r="V1174" s="3">
        <v>46007</v>
      </c>
      <c r="W1174" s="215">
        <v>538</v>
      </c>
      <c r="X1174" s="215">
        <v>511</v>
      </c>
      <c r="Y1174" s="2" t="s">
        <v>256</v>
      </c>
    </row>
    <row r="1175" spans="2:25">
      <c r="B1175" s="1">
        <v>46168</v>
      </c>
      <c r="C1175" s="2">
        <v>204</v>
      </c>
      <c r="D1175" s="2">
        <v>187</v>
      </c>
      <c r="E1175" s="2" t="s">
        <v>255</v>
      </c>
      <c r="V1175" s="3">
        <v>46007</v>
      </c>
      <c r="W1175" s="215">
        <v>537</v>
      </c>
      <c r="X1175" s="215">
        <v>473</v>
      </c>
      <c r="Y1175" s="2" t="s">
        <v>256</v>
      </c>
    </row>
    <row r="1176" spans="2:25">
      <c r="B1176" s="1">
        <v>46168</v>
      </c>
      <c r="C1176" s="2">
        <v>72</v>
      </c>
      <c r="D1176" s="2">
        <v>187</v>
      </c>
      <c r="E1176" s="2" t="s">
        <v>255</v>
      </c>
      <c r="V1176" s="3">
        <v>46007</v>
      </c>
      <c r="W1176" s="215">
        <v>532</v>
      </c>
      <c r="X1176" s="215">
        <v>395</v>
      </c>
      <c r="Y1176" s="2" t="s">
        <v>256</v>
      </c>
    </row>
    <row r="1177" spans="2:25">
      <c r="B1177" s="1">
        <v>46168</v>
      </c>
      <c r="C1177" s="2">
        <v>57</v>
      </c>
      <c r="D1177" s="2">
        <v>187</v>
      </c>
      <c r="E1177" s="2" t="s">
        <v>255</v>
      </c>
      <c r="V1177" s="3">
        <v>46007</v>
      </c>
      <c r="W1177" s="215">
        <v>530</v>
      </c>
      <c r="X1177" s="215">
        <v>484</v>
      </c>
      <c r="Y1177" s="2" t="s">
        <v>256</v>
      </c>
    </row>
    <row r="1178" spans="2:25">
      <c r="B1178" s="1">
        <v>46168</v>
      </c>
      <c r="C1178" s="2">
        <v>19</v>
      </c>
      <c r="D1178" s="2">
        <v>187</v>
      </c>
      <c r="E1178" s="2" t="s">
        <v>255</v>
      </c>
      <c r="V1178" s="3">
        <v>46007</v>
      </c>
      <c r="W1178" s="215">
        <v>529</v>
      </c>
      <c r="X1178" s="215">
        <v>556</v>
      </c>
      <c r="Y1178" s="2" t="s">
        <v>256</v>
      </c>
    </row>
    <row r="1179" spans="2:25">
      <c r="B1179" s="1">
        <v>46168</v>
      </c>
      <c r="C1179" s="2">
        <v>1255</v>
      </c>
      <c r="D1179" s="2">
        <v>186</v>
      </c>
      <c r="E1179" s="2" t="s">
        <v>255</v>
      </c>
      <c r="V1179" s="3">
        <v>46007</v>
      </c>
      <c r="W1179" s="215">
        <v>527</v>
      </c>
      <c r="X1179" s="215">
        <v>409</v>
      </c>
      <c r="Y1179" s="2" t="s">
        <v>256</v>
      </c>
    </row>
    <row r="1180" spans="2:25">
      <c r="B1180" s="1">
        <v>46168</v>
      </c>
      <c r="C1180" s="2">
        <v>109</v>
      </c>
      <c r="D1180" s="2">
        <v>186</v>
      </c>
      <c r="E1180" s="2" t="s">
        <v>255</v>
      </c>
      <c r="V1180" s="3">
        <v>46007</v>
      </c>
      <c r="W1180" s="2">
        <v>526</v>
      </c>
      <c r="X1180" s="2">
        <v>428</v>
      </c>
      <c r="Y1180" s="2" t="s">
        <v>256</v>
      </c>
    </row>
    <row r="1181" spans="2:25">
      <c r="B1181" s="1">
        <v>46168</v>
      </c>
      <c r="C1181" s="2">
        <v>53</v>
      </c>
      <c r="D1181" s="2">
        <v>186</v>
      </c>
      <c r="E1181" s="2" t="s">
        <v>255</v>
      </c>
      <c r="V1181" s="3">
        <v>46007</v>
      </c>
      <c r="W1181" s="2">
        <v>525</v>
      </c>
      <c r="X1181" s="2">
        <v>518</v>
      </c>
      <c r="Y1181" s="2" t="s">
        <v>256</v>
      </c>
    </row>
    <row r="1182" spans="2:25">
      <c r="B1182" s="1">
        <v>46168</v>
      </c>
      <c r="C1182" s="2">
        <v>1524</v>
      </c>
      <c r="D1182" s="2">
        <v>185</v>
      </c>
      <c r="E1182" s="2" t="s">
        <v>255</v>
      </c>
      <c r="V1182" s="3">
        <v>46007</v>
      </c>
      <c r="W1182" s="215">
        <v>524</v>
      </c>
      <c r="X1182" s="215">
        <v>340</v>
      </c>
      <c r="Y1182" s="2" t="s">
        <v>256</v>
      </c>
    </row>
    <row r="1183" spans="2:25">
      <c r="B1183" s="1">
        <v>46168</v>
      </c>
      <c r="C1183" s="2">
        <v>1506</v>
      </c>
      <c r="D1183" s="2">
        <v>185</v>
      </c>
      <c r="E1183" s="2" t="s">
        <v>255</v>
      </c>
      <c r="V1183" s="3">
        <v>46007</v>
      </c>
      <c r="W1183" s="215">
        <v>523</v>
      </c>
      <c r="X1183" s="215">
        <v>437</v>
      </c>
      <c r="Y1183" s="2" t="s">
        <v>256</v>
      </c>
    </row>
    <row r="1184" spans="2:25">
      <c r="B1184" s="1">
        <v>46168</v>
      </c>
      <c r="C1184" s="2">
        <v>1491</v>
      </c>
      <c r="D1184" s="2">
        <v>185</v>
      </c>
      <c r="E1184" s="2" t="s">
        <v>255</v>
      </c>
      <c r="V1184" s="3">
        <v>46007</v>
      </c>
      <c r="W1184" s="2">
        <v>521</v>
      </c>
      <c r="X1184" s="2">
        <v>387</v>
      </c>
      <c r="Y1184" s="2" t="s">
        <v>256</v>
      </c>
    </row>
    <row r="1185" spans="2:25">
      <c r="B1185" s="1">
        <v>46168</v>
      </c>
      <c r="C1185" s="2">
        <v>238</v>
      </c>
      <c r="D1185" s="2">
        <v>185</v>
      </c>
      <c r="E1185" s="2" t="s">
        <v>255</v>
      </c>
      <c r="V1185" s="3">
        <v>46007</v>
      </c>
      <c r="W1185" s="215">
        <v>520</v>
      </c>
      <c r="X1185" s="215">
        <v>545</v>
      </c>
      <c r="Y1185" s="2" t="s">
        <v>256</v>
      </c>
    </row>
    <row r="1186" spans="2:25">
      <c r="B1186" s="1">
        <v>46168</v>
      </c>
      <c r="C1186" s="2">
        <v>214</v>
      </c>
      <c r="D1186" s="2">
        <v>185</v>
      </c>
      <c r="E1186" s="2" t="s">
        <v>255</v>
      </c>
      <c r="V1186" s="3">
        <v>46007</v>
      </c>
      <c r="W1186" s="215">
        <v>519</v>
      </c>
      <c r="X1186" s="215">
        <v>482</v>
      </c>
      <c r="Y1186" s="2" t="s">
        <v>256</v>
      </c>
    </row>
    <row r="1187" spans="2:25">
      <c r="B1187" s="1">
        <v>46168</v>
      </c>
      <c r="C1187" s="2">
        <v>48</v>
      </c>
      <c r="D1187" s="2">
        <v>185</v>
      </c>
      <c r="E1187" s="2" t="s">
        <v>255</v>
      </c>
      <c r="V1187" s="3">
        <v>46007</v>
      </c>
      <c r="W1187" s="215">
        <v>517</v>
      </c>
      <c r="X1187" s="215">
        <v>424</v>
      </c>
      <c r="Y1187" s="2" t="s">
        <v>256</v>
      </c>
    </row>
    <row r="1188" spans="2:25">
      <c r="B1188" s="1">
        <v>46168</v>
      </c>
      <c r="C1188" s="2">
        <v>1398</v>
      </c>
      <c r="D1188" s="2">
        <v>184</v>
      </c>
      <c r="E1188" s="2" t="s">
        <v>255</v>
      </c>
      <c r="V1188" s="3">
        <v>46007</v>
      </c>
      <c r="W1188" s="2">
        <v>516</v>
      </c>
      <c r="X1188" s="2">
        <v>445</v>
      </c>
      <c r="Y1188" s="2" t="s">
        <v>256</v>
      </c>
    </row>
    <row r="1189" spans="2:25">
      <c r="B1189" s="1">
        <v>46168</v>
      </c>
      <c r="C1189" s="2">
        <v>1317</v>
      </c>
      <c r="D1189" s="2">
        <v>184</v>
      </c>
      <c r="E1189" s="2" t="s">
        <v>255</v>
      </c>
      <c r="V1189" s="3">
        <v>46007</v>
      </c>
      <c r="W1189" s="2">
        <v>513</v>
      </c>
      <c r="X1189" s="2">
        <v>480</v>
      </c>
      <c r="Y1189" s="2" t="s">
        <v>256</v>
      </c>
    </row>
    <row r="1190" spans="2:25">
      <c r="B1190" s="1">
        <v>46168</v>
      </c>
      <c r="C1190" s="2">
        <v>1313</v>
      </c>
      <c r="D1190" s="2">
        <v>184</v>
      </c>
      <c r="E1190" s="2" t="s">
        <v>255</v>
      </c>
      <c r="V1190" s="3">
        <v>46007</v>
      </c>
      <c r="W1190" s="215">
        <v>512</v>
      </c>
      <c r="X1190" s="215">
        <v>369</v>
      </c>
      <c r="Y1190" s="2" t="s">
        <v>256</v>
      </c>
    </row>
    <row r="1191" spans="2:25">
      <c r="B1191" s="1">
        <v>46168</v>
      </c>
      <c r="C1191" s="2">
        <v>1281</v>
      </c>
      <c r="D1191" s="2">
        <v>184</v>
      </c>
      <c r="E1191" s="2" t="s">
        <v>255</v>
      </c>
      <c r="V1191" s="3">
        <v>46007</v>
      </c>
      <c r="W1191" s="215">
        <v>509</v>
      </c>
      <c r="X1191" s="215">
        <v>477</v>
      </c>
      <c r="Y1191" s="2" t="s">
        <v>256</v>
      </c>
    </row>
    <row r="1192" spans="2:25">
      <c r="B1192" s="1">
        <v>46168</v>
      </c>
      <c r="C1192" s="2">
        <v>272</v>
      </c>
      <c r="D1192" s="2">
        <v>184</v>
      </c>
      <c r="E1192" s="2" t="s">
        <v>255</v>
      </c>
      <c r="V1192" s="3">
        <v>46007</v>
      </c>
      <c r="W1192" s="215">
        <v>508</v>
      </c>
      <c r="X1192" s="215">
        <v>475</v>
      </c>
      <c r="Y1192" s="2" t="s">
        <v>256</v>
      </c>
    </row>
    <row r="1193" spans="2:25">
      <c r="B1193" s="1">
        <v>46168</v>
      </c>
      <c r="C1193" s="2">
        <v>202</v>
      </c>
      <c r="D1193" s="2">
        <v>184</v>
      </c>
      <c r="E1193" s="2" t="s">
        <v>255</v>
      </c>
      <c r="V1193" s="3">
        <v>46007</v>
      </c>
      <c r="W1193" s="2">
        <v>507</v>
      </c>
      <c r="X1193" s="2">
        <v>415</v>
      </c>
      <c r="Y1193" s="2" t="s">
        <v>256</v>
      </c>
    </row>
    <row r="1194" spans="2:25">
      <c r="B1194" s="1">
        <v>46168</v>
      </c>
      <c r="C1194" s="2">
        <v>1513</v>
      </c>
      <c r="D1194" s="2">
        <v>183</v>
      </c>
      <c r="E1194" s="2" t="s">
        <v>255</v>
      </c>
      <c r="V1194" s="3">
        <v>46007</v>
      </c>
      <c r="W1194" s="215">
        <v>506</v>
      </c>
      <c r="X1194" s="215">
        <v>536</v>
      </c>
      <c r="Y1194" s="2" t="s">
        <v>256</v>
      </c>
    </row>
    <row r="1195" spans="2:25">
      <c r="B1195" s="1">
        <v>46168</v>
      </c>
      <c r="C1195" s="2">
        <v>1473</v>
      </c>
      <c r="D1195" s="2">
        <v>183</v>
      </c>
      <c r="E1195" s="2" t="s">
        <v>255</v>
      </c>
      <c r="V1195" s="3">
        <v>46007</v>
      </c>
      <c r="W1195" s="215">
        <v>505</v>
      </c>
      <c r="X1195" s="215">
        <v>368</v>
      </c>
      <c r="Y1195" s="2" t="s">
        <v>256</v>
      </c>
    </row>
    <row r="1196" spans="2:25">
      <c r="B1196" s="1">
        <v>46168</v>
      </c>
      <c r="C1196" s="2">
        <v>1470</v>
      </c>
      <c r="D1196" s="2">
        <v>183</v>
      </c>
      <c r="E1196" s="2" t="s">
        <v>255</v>
      </c>
      <c r="V1196" s="3">
        <v>46007</v>
      </c>
      <c r="W1196" s="215">
        <v>504</v>
      </c>
      <c r="X1196" s="215">
        <v>424</v>
      </c>
      <c r="Y1196" s="2" t="s">
        <v>256</v>
      </c>
    </row>
    <row r="1197" spans="2:25">
      <c r="B1197" s="1">
        <v>46168</v>
      </c>
      <c r="C1197" s="2">
        <v>1311</v>
      </c>
      <c r="D1197" s="2">
        <v>183</v>
      </c>
      <c r="E1197" s="2" t="s">
        <v>255</v>
      </c>
      <c r="V1197" s="3">
        <v>46007</v>
      </c>
      <c r="W1197" s="215">
        <v>502</v>
      </c>
      <c r="X1197" s="215">
        <v>446</v>
      </c>
      <c r="Y1197" s="2" t="s">
        <v>256</v>
      </c>
    </row>
    <row r="1198" spans="2:25">
      <c r="B1198" s="1">
        <v>46168</v>
      </c>
      <c r="C1198" s="2">
        <v>1288</v>
      </c>
      <c r="D1198" s="2">
        <v>183</v>
      </c>
      <c r="E1198" s="2" t="s">
        <v>255</v>
      </c>
      <c r="V1198" s="3">
        <v>46007</v>
      </c>
      <c r="W1198" s="215">
        <v>501</v>
      </c>
      <c r="X1198" s="215">
        <v>604</v>
      </c>
      <c r="Y1198" s="2" t="s">
        <v>256</v>
      </c>
    </row>
    <row r="1199" spans="2:25">
      <c r="B1199" s="1">
        <v>46168</v>
      </c>
      <c r="C1199" s="2">
        <v>271</v>
      </c>
      <c r="D1199" s="2">
        <v>183</v>
      </c>
      <c r="E1199" s="2" t="s">
        <v>255</v>
      </c>
      <c r="V1199" s="3">
        <v>46007</v>
      </c>
      <c r="W1199" s="215">
        <v>500</v>
      </c>
      <c r="X1199" s="215">
        <v>410</v>
      </c>
      <c r="Y1199" s="2" t="s">
        <v>256</v>
      </c>
    </row>
    <row r="1200" spans="2:25">
      <c r="B1200" s="1">
        <v>46168</v>
      </c>
      <c r="C1200" s="2">
        <v>146</v>
      </c>
      <c r="D1200" s="2">
        <v>183</v>
      </c>
      <c r="E1200" s="2" t="s">
        <v>255</v>
      </c>
      <c r="V1200" s="3">
        <v>46007</v>
      </c>
      <c r="W1200" s="215">
        <v>499</v>
      </c>
      <c r="X1200" s="215">
        <v>600</v>
      </c>
      <c r="Y1200" s="2" t="s">
        <v>256</v>
      </c>
    </row>
    <row r="1201" spans="2:25">
      <c r="B1201" s="1">
        <v>46168</v>
      </c>
      <c r="C1201" s="2">
        <v>97</v>
      </c>
      <c r="D1201" s="2">
        <v>183</v>
      </c>
      <c r="E1201" s="2" t="s">
        <v>255</v>
      </c>
      <c r="V1201" s="3">
        <v>46007</v>
      </c>
      <c r="W1201" s="215">
        <v>498</v>
      </c>
      <c r="X1201" s="215">
        <v>381</v>
      </c>
      <c r="Y1201" s="2" t="s">
        <v>256</v>
      </c>
    </row>
    <row r="1202" spans="2:25">
      <c r="B1202" s="1">
        <v>46168</v>
      </c>
      <c r="C1202" s="2">
        <v>1295</v>
      </c>
      <c r="D1202" s="2">
        <v>182</v>
      </c>
      <c r="E1202" s="2" t="s">
        <v>255</v>
      </c>
      <c r="V1202" s="3">
        <v>46007</v>
      </c>
      <c r="W1202" s="2">
        <v>495</v>
      </c>
      <c r="X1202" s="2">
        <v>488</v>
      </c>
      <c r="Y1202" s="2" t="s">
        <v>256</v>
      </c>
    </row>
    <row r="1203" spans="2:25">
      <c r="B1203" s="1">
        <v>46168</v>
      </c>
      <c r="C1203" s="2">
        <v>1276</v>
      </c>
      <c r="D1203" s="2">
        <v>182</v>
      </c>
      <c r="E1203" s="2" t="s">
        <v>255</v>
      </c>
      <c r="V1203" s="3">
        <v>46007</v>
      </c>
      <c r="W1203" s="2">
        <v>494</v>
      </c>
      <c r="X1203" s="2">
        <v>482</v>
      </c>
      <c r="Y1203" s="2" t="s">
        <v>256</v>
      </c>
    </row>
    <row r="1204" spans="2:25">
      <c r="B1204" s="1">
        <v>46168</v>
      </c>
      <c r="C1204" s="2">
        <v>259</v>
      </c>
      <c r="D1204" s="2">
        <v>182</v>
      </c>
      <c r="E1204" s="2" t="s">
        <v>255</v>
      </c>
      <c r="V1204" s="3">
        <v>46007</v>
      </c>
      <c r="W1204" s="215">
        <v>493</v>
      </c>
      <c r="X1204" s="215">
        <v>411</v>
      </c>
      <c r="Y1204" s="2" t="s">
        <v>256</v>
      </c>
    </row>
    <row r="1205" spans="2:25">
      <c r="B1205" s="1">
        <v>46168</v>
      </c>
      <c r="C1205" s="2">
        <v>191</v>
      </c>
      <c r="D1205" s="2">
        <v>182</v>
      </c>
      <c r="E1205" s="2" t="s">
        <v>255</v>
      </c>
      <c r="V1205" s="3">
        <v>46007</v>
      </c>
      <c r="W1205" s="215">
        <v>491</v>
      </c>
      <c r="X1205" s="215">
        <v>445</v>
      </c>
      <c r="Y1205" s="2" t="s">
        <v>256</v>
      </c>
    </row>
    <row r="1206" spans="2:25">
      <c r="B1206" s="1">
        <v>46168</v>
      </c>
      <c r="C1206" s="2">
        <v>172</v>
      </c>
      <c r="D1206" s="2">
        <v>182</v>
      </c>
      <c r="E1206" s="2" t="s">
        <v>255</v>
      </c>
      <c r="V1206" s="3">
        <v>46007</v>
      </c>
      <c r="W1206" s="215">
        <v>490</v>
      </c>
      <c r="X1206" s="215">
        <v>510</v>
      </c>
      <c r="Y1206" s="2" t="s">
        <v>256</v>
      </c>
    </row>
    <row r="1207" spans="2:25">
      <c r="B1207" s="1">
        <v>46168</v>
      </c>
      <c r="C1207" s="2">
        <v>138</v>
      </c>
      <c r="D1207" s="2">
        <v>182</v>
      </c>
      <c r="E1207" s="2" t="s">
        <v>255</v>
      </c>
      <c r="V1207" s="3">
        <v>46007</v>
      </c>
      <c r="W1207" s="215">
        <v>489</v>
      </c>
      <c r="X1207" s="215">
        <v>344</v>
      </c>
      <c r="Y1207" s="2" t="s">
        <v>256</v>
      </c>
    </row>
    <row r="1208" spans="2:25">
      <c r="B1208" s="1">
        <v>46168</v>
      </c>
      <c r="C1208" s="2">
        <v>59</v>
      </c>
      <c r="D1208" s="2">
        <v>182</v>
      </c>
      <c r="E1208" s="2" t="s">
        <v>255</v>
      </c>
      <c r="V1208" s="3">
        <v>46007</v>
      </c>
      <c r="W1208" s="2">
        <v>488</v>
      </c>
      <c r="X1208" s="2">
        <v>531</v>
      </c>
      <c r="Y1208" s="2" t="s">
        <v>256</v>
      </c>
    </row>
    <row r="1209" spans="2:25">
      <c r="B1209" s="1">
        <v>46168</v>
      </c>
      <c r="C1209" s="2">
        <v>1507</v>
      </c>
      <c r="D1209" s="2">
        <v>181</v>
      </c>
      <c r="E1209" s="2" t="s">
        <v>255</v>
      </c>
      <c r="V1209" s="3">
        <v>46007</v>
      </c>
      <c r="W1209" s="215">
        <v>487</v>
      </c>
      <c r="X1209" s="215">
        <v>479</v>
      </c>
      <c r="Y1209" s="2" t="s">
        <v>256</v>
      </c>
    </row>
    <row r="1210" spans="2:25">
      <c r="B1210" s="1">
        <v>46168</v>
      </c>
      <c r="C1210" s="2">
        <v>1397</v>
      </c>
      <c r="D1210" s="2">
        <v>181</v>
      </c>
      <c r="E1210" s="2" t="s">
        <v>255</v>
      </c>
      <c r="V1210" s="3">
        <v>46007</v>
      </c>
      <c r="W1210" s="215">
        <v>486</v>
      </c>
      <c r="X1210" s="215">
        <v>492</v>
      </c>
      <c r="Y1210" s="2" t="s">
        <v>256</v>
      </c>
    </row>
    <row r="1211" spans="2:25">
      <c r="B1211" s="1">
        <v>46168</v>
      </c>
      <c r="C1211" s="2">
        <v>1271</v>
      </c>
      <c r="D1211" s="2">
        <v>181</v>
      </c>
      <c r="E1211" s="2" t="s">
        <v>255</v>
      </c>
      <c r="V1211" s="3">
        <v>46007</v>
      </c>
      <c r="W1211" s="215">
        <v>484</v>
      </c>
      <c r="X1211" s="215">
        <v>219</v>
      </c>
      <c r="Y1211" s="2" t="s">
        <v>256</v>
      </c>
    </row>
    <row r="1212" spans="2:25">
      <c r="B1212" s="1">
        <v>46168</v>
      </c>
      <c r="C1212" s="2">
        <v>213</v>
      </c>
      <c r="D1212" s="2">
        <v>181</v>
      </c>
      <c r="E1212" s="2" t="s">
        <v>255</v>
      </c>
      <c r="V1212" s="3">
        <v>46007</v>
      </c>
      <c r="W1212" s="215">
        <v>482</v>
      </c>
      <c r="X1212" s="215">
        <v>337</v>
      </c>
      <c r="Y1212" s="2" t="s">
        <v>256</v>
      </c>
    </row>
    <row r="1213" spans="2:25">
      <c r="B1213" s="1">
        <v>46168</v>
      </c>
      <c r="C1213" s="2">
        <v>87</v>
      </c>
      <c r="D1213" s="2">
        <v>181</v>
      </c>
      <c r="E1213" s="2" t="s">
        <v>255</v>
      </c>
      <c r="V1213" s="3">
        <v>46007</v>
      </c>
      <c r="W1213" s="215">
        <v>481</v>
      </c>
      <c r="X1213" s="215">
        <v>515</v>
      </c>
      <c r="Y1213" s="2" t="s">
        <v>256</v>
      </c>
    </row>
    <row r="1214" spans="2:25">
      <c r="B1214" s="1">
        <v>46168</v>
      </c>
      <c r="C1214" s="2">
        <v>39</v>
      </c>
      <c r="D1214" s="2">
        <v>181</v>
      </c>
      <c r="E1214" s="2" t="s">
        <v>255</v>
      </c>
      <c r="V1214" s="3">
        <v>46007</v>
      </c>
      <c r="W1214" s="2">
        <v>479</v>
      </c>
      <c r="X1214" s="2">
        <v>434</v>
      </c>
      <c r="Y1214" s="2" t="s">
        <v>256</v>
      </c>
    </row>
    <row r="1215" spans="2:25">
      <c r="B1215" s="1">
        <v>46168</v>
      </c>
      <c r="C1215" s="2">
        <v>1366</v>
      </c>
      <c r="D1215" s="2">
        <v>180</v>
      </c>
      <c r="E1215" s="2" t="s">
        <v>255</v>
      </c>
      <c r="V1215" s="3">
        <v>46007</v>
      </c>
      <c r="W1215" s="215">
        <v>474</v>
      </c>
      <c r="X1215" s="215">
        <v>500</v>
      </c>
      <c r="Y1215" s="2" t="s">
        <v>256</v>
      </c>
    </row>
    <row r="1216" spans="2:25">
      <c r="B1216" s="1">
        <v>46168</v>
      </c>
      <c r="C1216" s="2">
        <v>1339</v>
      </c>
      <c r="D1216" s="2">
        <v>180</v>
      </c>
      <c r="E1216" s="2" t="s">
        <v>255</v>
      </c>
      <c r="V1216" s="3">
        <v>46007</v>
      </c>
      <c r="W1216" s="215">
        <v>473</v>
      </c>
      <c r="X1216" s="215">
        <v>496</v>
      </c>
      <c r="Y1216" s="2" t="s">
        <v>256</v>
      </c>
    </row>
    <row r="1217" spans="2:25">
      <c r="B1217" s="1">
        <v>46168</v>
      </c>
      <c r="C1217" s="2">
        <v>1332</v>
      </c>
      <c r="D1217" s="2">
        <v>180</v>
      </c>
      <c r="E1217" s="2" t="s">
        <v>255</v>
      </c>
      <c r="V1217" s="3">
        <v>46007</v>
      </c>
      <c r="W1217" s="215">
        <v>471</v>
      </c>
      <c r="X1217" s="215">
        <v>420</v>
      </c>
      <c r="Y1217" s="2" t="s">
        <v>256</v>
      </c>
    </row>
    <row r="1218" spans="2:25">
      <c r="B1218" s="1">
        <v>46168</v>
      </c>
      <c r="C1218" s="2">
        <v>1301</v>
      </c>
      <c r="D1218" s="2">
        <v>180</v>
      </c>
      <c r="E1218" s="2" t="s">
        <v>255</v>
      </c>
      <c r="V1218" s="3">
        <v>46007</v>
      </c>
      <c r="W1218" s="215">
        <v>470</v>
      </c>
      <c r="X1218" s="215">
        <v>311</v>
      </c>
      <c r="Y1218" s="2" t="s">
        <v>256</v>
      </c>
    </row>
    <row r="1219" spans="2:25">
      <c r="B1219" s="1">
        <v>46168</v>
      </c>
      <c r="C1219" s="2">
        <v>1298</v>
      </c>
      <c r="D1219" s="2">
        <v>180</v>
      </c>
      <c r="E1219" s="2" t="s">
        <v>255</v>
      </c>
      <c r="V1219" s="3">
        <v>46007</v>
      </c>
      <c r="W1219" s="215">
        <v>469</v>
      </c>
      <c r="X1219" s="215">
        <v>463</v>
      </c>
      <c r="Y1219" s="2" t="s">
        <v>256</v>
      </c>
    </row>
    <row r="1220" spans="2:25">
      <c r="B1220" s="1">
        <v>46168</v>
      </c>
      <c r="C1220" s="2">
        <v>1286</v>
      </c>
      <c r="D1220" s="2">
        <v>180</v>
      </c>
      <c r="E1220" s="2" t="s">
        <v>255</v>
      </c>
      <c r="V1220" s="3">
        <v>46007</v>
      </c>
      <c r="W1220" s="2">
        <v>468</v>
      </c>
      <c r="X1220" s="2">
        <v>516</v>
      </c>
      <c r="Y1220" s="2" t="s">
        <v>256</v>
      </c>
    </row>
    <row r="1221" spans="2:25">
      <c r="B1221" s="1">
        <v>46168</v>
      </c>
      <c r="C1221" s="2">
        <v>1273</v>
      </c>
      <c r="D1221" s="2">
        <v>180</v>
      </c>
      <c r="E1221" s="2" t="s">
        <v>255</v>
      </c>
      <c r="V1221" s="3">
        <v>46007</v>
      </c>
      <c r="W1221" s="215">
        <v>467</v>
      </c>
      <c r="X1221" s="215">
        <v>359</v>
      </c>
      <c r="Y1221" s="2" t="s">
        <v>256</v>
      </c>
    </row>
    <row r="1222" spans="2:25">
      <c r="B1222" s="1">
        <v>46168</v>
      </c>
      <c r="C1222" s="2">
        <v>1259</v>
      </c>
      <c r="D1222" s="2">
        <v>180</v>
      </c>
      <c r="E1222" s="2" t="s">
        <v>255</v>
      </c>
      <c r="V1222" s="3">
        <v>46007</v>
      </c>
      <c r="W1222" s="215">
        <v>466</v>
      </c>
      <c r="X1222" s="215">
        <v>457</v>
      </c>
      <c r="Y1222" s="2" t="s">
        <v>256</v>
      </c>
    </row>
    <row r="1223" spans="2:25">
      <c r="B1223" s="1">
        <v>46168</v>
      </c>
      <c r="C1223" s="2">
        <v>1242</v>
      </c>
      <c r="D1223" s="2">
        <v>180</v>
      </c>
      <c r="E1223" s="2" t="s">
        <v>255</v>
      </c>
      <c r="V1223" s="3">
        <v>46007</v>
      </c>
      <c r="W1223" s="215">
        <v>464</v>
      </c>
      <c r="X1223" s="215">
        <v>391</v>
      </c>
      <c r="Y1223" s="2" t="s">
        <v>256</v>
      </c>
    </row>
    <row r="1224" spans="2:25">
      <c r="B1224" s="1">
        <v>46168</v>
      </c>
      <c r="C1224" s="2">
        <v>237</v>
      </c>
      <c r="D1224" s="2">
        <v>180</v>
      </c>
      <c r="E1224" s="2" t="s">
        <v>255</v>
      </c>
      <c r="V1224" s="3">
        <v>46007</v>
      </c>
      <c r="W1224" s="215">
        <v>463</v>
      </c>
      <c r="X1224" s="215">
        <v>479</v>
      </c>
      <c r="Y1224" s="2" t="s">
        <v>256</v>
      </c>
    </row>
    <row r="1225" spans="2:25">
      <c r="B1225" s="1">
        <v>46168</v>
      </c>
      <c r="C1225" s="2">
        <v>158</v>
      </c>
      <c r="D1225" s="2">
        <v>180</v>
      </c>
      <c r="E1225" s="2" t="s">
        <v>255</v>
      </c>
      <c r="V1225" s="3">
        <v>46007</v>
      </c>
      <c r="W1225" s="215">
        <v>462</v>
      </c>
      <c r="X1225" s="215">
        <v>403</v>
      </c>
      <c r="Y1225" s="2" t="s">
        <v>256</v>
      </c>
    </row>
    <row r="1226" spans="2:25">
      <c r="B1226" s="1">
        <v>46168</v>
      </c>
      <c r="C1226" s="2">
        <v>128</v>
      </c>
      <c r="D1226" s="2">
        <v>180</v>
      </c>
      <c r="E1226" s="2" t="s">
        <v>255</v>
      </c>
      <c r="V1226" s="3">
        <v>46007</v>
      </c>
      <c r="W1226" s="215">
        <v>460</v>
      </c>
      <c r="X1226" s="215">
        <v>401</v>
      </c>
      <c r="Y1226" s="2" t="s">
        <v>256</v>
      </c>
    </row>
    <row r="1227" spans="2:25">
      <c r="B1227" s="1">
        <v>46168</v>
      </c>
      <c r="C1227" s="2">
        <v>1447</v>
      </c>
      <c r="D1227" s="2">
        <v>179</v>
      </c>
      <c r="E1227" s="2" t="s">
        <v>255</v>
      </c>
      <c r="V1227" s="3">
        <v>46007</v>
      </c>
      <c r="W1227" s="215">
        <v>458</v>
      </c>
      <c r="X1227" s="215">
        <v>425</v>
      </c>
      <c r="Y1227" s="2" t="s">
        <v>256</v>
      </c>
    </row>
    <row r="1228" spans="2:25">
      <c r="B1228" s="1">
        <v>46168</v>
      </c>
      <c r="C1228" s="2">
        <v>1443</v>
      </c>
      <c r="D1228" s="2">
        <v>179</v>
      </c>
      <c r="E1228" s="2" t="s">
        <v>255</v>
      </c>
      <c r="V1228" s="3">
        <v>46007</v>
      </c>
      <c r="W1228" s="215">
        <v>457</v>
      </c>
      <c r="X1228" s="215">
        <v>412</v>
      </c>
      <c r="Y1228" s="2" t="s">
        <v>256</v>
      </c>
    </row>
    <row r="1229" spans="2:25">
      <c r="B1229" s="1">
        <v>46168</v>
      </c>
      <c r="C1229" s="2">
        <v>1383</v>
      </c>
      <c r="D1229" s="2">
        <v>179</v>
      </c>
      <c r="E1229" s="2" t="s">
        <v>255</v>
      </c>
      <c r="V1229" s="3">
        <v>46007</v>
      </c>
      <c r="W1229" s="2">
        <v>456</v>
      </c>
      <c r="X1229" s="2">
        <v>492</v>
      </c>
      <c r="Y1229" s="2" t="s">
        <v>256</v>
      </c>
    </row>
    <row r="1230" spans="2:25">
      <c r="B1230" s="1">
        <v>46168</v>
      </c>
      <c r="C1230" s="2">
        <v>1244</v>
      </c>
      <c r="D1230" s="2">
        <v>179</v>
      </c>
      <c r="E1230" s="2" t="s">
        <v>255</v>
      </c>
      <c r="V1230" s="3">
        <v>46007</v>
      </c>
      <c r="W1230" s="215">
        <v>455</v>
      </c>
      <c r="X1230" s="215">
        <v>419</v>
      </c>
      <c r="Y1230" s="2" t="s">
        <v>256</v>
      </c>
    </row>
    <row r="1231" spans="2:25">
      <c r="B1231" s="1">
        <v>46168</v>
      </c>
      <c r="C1231" s="2">
        <v>297</v>
      </c>
      <c r="D1231" s="2">
        <v>179</v>
      </c>
      <c r="E1231" s="2" t="s">
        <v>255</v>
      </c>
      <c r="V1231" s="3">
        <v>46007</v>
      </c>
      <c r="W1231" s="215">
        <v>454</v>
      </c>
      <c r="X1231" s="215">
        <v>535</v>
      </c>
      <c r="Y1231" s="2" t="s">
        <v>256</v>
      </c>
    </row>
    <row r="1232" spans="2:25">
      <c r="B1232" s="1">
        <v>46168</v>
      </c>
      <c r="C1232" s="2">
        <v>292</v>
      </c>
      <c r="D1232" s="2">
        <v>179</v>
      </c>
      <c r="E1232" s="2" t="s">
        <v>255</v>
      </c>
      <c r="V1232" s="3">
        <v>46007</v>
      </c>
      <c r="W1232" s="215">
        <v>453</v>
      </c>
      <c r="X1232" s="215">
        <v>438</v>
      </c>
      <c r="Y1232" s="2" t="s">
        <v>256</v>
      </c>
    </row>
    <row r="1233" spans="2:25">
      <c r="B1233" s="1">
        <v>46168</v>
      </c>
      <c r="C1233" s="2">
        <v>1519</v>
      </c>
      <c r="D1233" s="2">
        <v>178</v>
      </c>
      <c r="E1233" s="2" t="s">
        <v>255</v>
      </c>
      <c r="V1233" s="3">
        <v>46007</v>
      </c>
      <c r="W1233" s="215">
        <v>452</v>
      </c>
      <c r="X1233" s="215">
        <v>409</v>
      </c>
      <c r="Y1233" s="2" t="s">
        <v>256</v>
      </c>
    </row>
    <row r="1234" spans="2:25">
      <c r="B1234" s="1">
        <v>46168</v>
      </c>
      <c r="C1234" s="2">
        <v>1355</v>
      </c>
      <c r="D1234" s="2">
        <v>178</v>
      </c>
      <c r="E1234" s="2" t="s">
        <v>255</v>
      </c>
      <c r="V1234" s="3">
        <v>46007</v>
      </c>
      <c r="W1234" s="2">
        <v>451</v>
      </c>
      <c r="X1234" s="2">
        <v>306</v>
      </c>
      <c r="Y1234" s="2" t="s">
        <v>256</v>
      </c>
    </row>
    <row r="1235" spans="2:25">
      <c r="B1235" s="1">
        <v>46168</v>
      </c>
      <c r="C1235" s="2">
        <v>1292</v>
      </c>
      <c r="D1235" s="2">
        <v>178</v>
      </c>
      <c r="E1235" s="2" t="s">
        <v>255</v>
      </c>
      <c r="V1235" s="3">
        <v>46007</v>
      </c>
      <c r="W1235" s="2">
        <v>450</v>
      </c>
      <c r="X1235" s="2">
        <v>548</v>
      </c>
      <c r="Y1235" s="2" t="s">
        <v>256</v>
      </c>
    </row>
    <row r="1236" spans="2:25">
      <c r="B1236" s="1">
        <v>46168</v>
      </c>
      <c r="C1236" s="2">
        <v>216</v>
      </c>
      <c r="D1236" s="2">
        <v>178</v>
      </c>
      <c r="E1236" s="2" t="s">
        <v>255</v>
      </c>
      <c r="V1236" s="3">
        <v>46007</v>
      </c>
      <c r="W1236" s="215">
        <v>449</v>
      </c>
      <c r="X1236" s="215">
        <v>544</v>
      </c>
      <c r="Y1236" s="2" t="s">
        <v>256</v>
      </c>
    </row>
    <row r="1237" spans="2:25">
      <c r="B1237" s="1">
        <v>46168</v>
      </c>
      <c r="C1237" s="2">
        <v>142</v>
      </c>
      <c r="D1237" s="2">
        <v>178</v>
      </c>
      <c r="E1237" s="2" t="s">
        <v>255</v>
      </c>
      <c r="V1237" s="3">
        <v>46007</v>
      </c>
      <c r="W1237" s="215">
        <v>448</v>
      </c>
      <c r="X1237" s="215">
        <v>335</v>
      </c>
      <c r="Y1237" s="2" t="s">
        <v>256</v>
      </c>
    </row>
    <row r="1238" spans="2:25">
      <c r="B1238" s="1">
        <v>46168</v>
      </c>
      <c r="C1238" s="2">
        <v>131</v>
      </c>
      <c r="D1238" s="2">
        <v>178</v>
      </c>
      <c r="E1238" s="2" t="s">
        <v>255</v>
      </c>
      <c r="V1238" s="3">
        <v>46007</v>
      </c>
      <c r="W1238" s="215">
        <v>447</v>
      </c>
      <c r="X1238" s="215">
        <v>398</v>
      </c>
      <c r="Y1238" s="2" t="s">
        <v>256</v>
      </c>
    </row>
    <row r="1239" spans="2:25">
      <c r="B1239" s="1">
        <v>46168</v>
      </c>
      <c r="C1239" s="2">
        <v>1348</v>
      </c>
      <c r="D1239" s="2">
        <v>177</v>
      </c>
      <c r="E1239" s="2" t="s">
        <v>255</v>
      </c>
      <c r="V1239" s="3">
        <v>46007</v>
      </c>
      <c r="W1239" s="215">
        <v>446</v>
      </c>
      <c r="X1239" s="215">
        <v>401</v>
      </c>
      <c r="Y1239" s="2" t="s">
        <v>256</v>
      </c>
    </row>
    <row r="1240" spans="2:25">
      <c r="B1240" s="1">
        <v>46168</v>
      </c>
      <c r="C1240" s="2">
        <v>1253</v>
      </c>
      <c r="D1240" s="2">
        <v>176</v>
      </c>
      <c r="E1240" s="2" t="s">
        <v>255</v>
      </c>
      <c r="V1240" s="3">
        <v>46007</v>
      </c>
      <c r="W1240" s="2">
        <v>445</v>
      </c>
      <c r="X1240" s="2">
        <v>439</v>
      </c>
      <c r="Y1240" s="2" t="s">
        <v>256</v>
      </c>
    </row>
    <row r="1241" spans="2:25">
      <c r="B1241" s="1">
        <v>46168</v>
      </c>
      <c r="C1241" s="2">
        <v>263</v>
      </c>
      <c r="D1241" s="2">
        <v>176</v>
      </c>
      <c r="E1241" s="2" t="s">
        <v>255</v>
      </c>
      <c r="V1241" s="3">
        <v>46007</v>
      </c>
      <c r="W1241" s="215">
        <v>444</v>
      </c>
      <c r="X1241" s="215">
        <v>454</v>
      </c>
      <c r="Y1241" s="2" t="s">
        <v>256</v>
      </c>
    </row>
    <row r="1242" spans="2:25">
      <c r="B1242" s="1">
        <v>46168</v>
      </c>
      <c r="C1242" s="2">
        <v>176</v>
      </c>
      <c r="D1242" s="2">
        <v>176</v>
      </c>
      <c r="E1242" s="2" t="s">
        <v>255</v>
      </c>
      <c r="V1242" s="3">
        <v>46007</v>
      </c>
      <c r="W1242" s="2">
        <v>443</v>
      </c>
      <c r="X1242" s="2">
        <v>523</v>
      </c>
      <c r="Y1242" s="2" t="s">
        <v>256</v>
      </c>
    </row>
    <row r="1243" spans="2:25">
      <c r="B1243" s="1">
        <v>46168</v>
      </c>
      <c r="C1243" s="2">
        <v>60</v>
      </c>
      <c r="D1243" s="2">
        <v>176</v>
      </c>
      <c r="E1243" s="2" t="s">
        <v>255</v>
      </c>
      <c r="V1243" s="3">
        <v>46007</v>
      </c>
      <c r="W1243" s="215">
        <v>440</v>
      </c>
      <c r="X1243" s="215">
        <v>458</v>
      </c>
      <c r="Y1243" s="2" t="s">
        <v>256</v>
      </c>
    </row>
    <row r="1244" spans="2:25">
      <c r="B1244" s="1">
        <v>46168</v>
      </c>
      <c r="C1244" s="2">
        <v>1439</v>
      </c>
      <c r="D1244" s="2">
        <v>175</v>
      </c>
      <c r="E1244" s="2" t="s">
        <v>255</v>
      </c>
      <c r="V1244" s="3">
        <v>46007</v>
      </c>
      <c r="W1244" s="2">
        <v>439</v>
      </c>
      <c r="X1244" s="2">
        <v>440</v>
      </c>
      <c r="Y1244" s="2" t="s">
        <v>256</v>
      </c>
    </row>
    <row r="1245" spans="2:25">
      <c r="B1245" s="1">
        <v>46168</v>
      </c>
      <c r="C1245" s="2">
        <v>1353</v>
      </c>
      <c r="D1245" s="2">
        <v>175</v>
      </c>
      <c r="E1245" s="2" t="s">
        <v>255</v>
      </c>
      <c r="V1245" s="3">
        <v>46007</v>
      </c>
      <c r="W1245" s="215">
        <v>437</v>
      </c>
      <c r="X1245" s="215">
        <v>445</v>
      </c>
      <c r="Y1245" s="2" t="s">
        <v>256</v>
      </c>
    </row>
    <row r="1246" spans="2:25">
      <c r="B1246" s="1">
        <v>46168</v>
      </c>
      <c r="C1246" s="2">
        <v>1274</v>
      </c>
      <c r="D1246" s="2">
        <v>175</v>
      </c>
      <c r="E1246" s="2" t="s">
        <v>255</v>
      </c>
      <c r="V1246" s="3">
        <v>46007</v>
      </c>
      <c r="W1246" s="2">
        <v>436</v>
      </c>
      <c r="X1246" s="2">
        <v>473</v>
      </c>
      <c r="Y1246" s="2" t="s">
        <v>256</v>
      </c>
    </row>
    <row r="1247" spans="2:25">
      <c r="B1247" s="1">
        <v>46168</v>
      </c>
      <c r="C1247" s="2">
        <v>1258</v>
      </c>
      <c r="D1247" s="2">
        <v>175</v>
      </c>
      <c r="E1247" s="2" t="s">
        <v>255</v>
      </c>
      <c r="V1247" s="3">
        <v>46007</v>
      </c>
      <c r="W1247" s="215">
        <v>435</v>
      </c>
      <c r="X1247" s="215">
        <v>558</v>
      </c>
      <c r="Y1247" s="2" t="s">
        <v>256</v>
      </c>
    </row>
    <row r="1248" spans="2:25">
      <c r="B1248" s="1">
        <v>46168</v>
      </c>
      <c r="C1248" s="2">
        <v>1251</v>
      </c>
      <c r="D1248" s="2">
        <v>175</v>
      </c>
      <c r="E1248" s="2" t="s">
        <v>255</v>
      </c>
      <c r="V1248" s="3">
        <v>46007</v>
      </c>
      <c r="W1248" s="2">
        <v>434</v>
      </c>
      <c r="X1248" s="2">
        <v>511</v>
      </c>
      <c r="Y1248" s="2" t="s">
        <v>256</v>
      </c>
    </row>
    <row r="1249" spans="2:25">
      <c r="B1249" s="1">
        <v>46168</v>
      </c>
      <c r="C1249" s="2">
        <v>1427</v>
      </c>
      <c r="D1249" s="2">
        <v>174</v>
      </c>
      <c r="E1249" s="2" t="s">
        <v>255</v>
      </c>
      <c r="V1249" s="3">
        <v>46007</v>
      </c>
      <c r="W1249" s="2">
        <v>432</v>
      </c>
      <c r="X1249" s="2">
        <v>503</v>
      </c>
      <c r="Y1249" s="2" t="s">
        <v>256</v>
      </c>
    </row>
    <row r="1250" spans="2:25">
      <c r="B1250" s="1">
        <v>46168</v>
      </c>
      <c r="C1250" s="2">
        <v>1347</v>
      </c>
      <c r="D1250" s="2">
        <v>174</v>
      </c>
      <c r="E1250" s="2" t="s">
        <v>255</v>
      </c>
      <c r="V1250" s="3">
        <v>46007</v>
      </c>
      <c r="W1250" s="215">
        <v>431</v>
      </c>
      <c r="X1250" s="215">
        <v>425</v>
      </c>
      <c r="Y1250" s="2" t="s">
        <v>256</v>
      </c>
    </row>
    <row r="1251" spans="2:25">
      <c r="B1251" s="1">
        <v>46168</v>
      </c>
      <c r="C1251" s="2">
        <v>1328</v>
      </c>
      <c r="D1251" s="2">
        <v>174</v>
      </c>
      <c r="E1251" s="2" t="s">
        <v>255</v>
      </c>
      <c r="V1251" s="3">
        <v>46007</v>
      </c>
      <c r="W1251" s="215">
        <v>430</v>
      </c>
      <c r="X1251" s="215">
        <v>445</v>
      </c>
      <c r="Y1251" s="2" t="s">
        <v>256</v>
      </c>
    </row>
    <row r="1252" spans="2:25">
      <c r="B1252" s="1">
        <v>46168</v>
      </c>
      <c r="C1252" s="2">
        <v>215</v>
      </c>
      <c r="D1252" s="2">
        <v>174</v>
      </c>
      <c r="E1252" s="2" t="s">
        <v>255</v>
      </c>
      <c r="V1252" s="3">
        <v>46007</v>
      </c>
      <c r="W1252" s="2">
        <v>429</v>
      </c>
      <c r="X1252" s="2">
        <v>583</v>
      </c>
      <c r="Y1252" s="2" t="s">
        <v>256</v>
      </c>
    </row>
    <row r="1253" spans="2:25">
      <c r="B1253" s="1">
        <v>46168</v>
      </c>
      <c r="C1253" s="2">
        <v>164</v>
      </c>
      <c r="D1253" s="2">
        <v>174</v>
      </c>
      <c r="E1253" s="2" t="s">
        <v>255</v>
      </c>
      <c r="V1253" s="3">
        <v>46007</v>
      </c>
      <c r="W1253" s="2">
        <v>428</v>
      </c>
      <c r="X1253" s="2">
        <v>431</v>
      </c>
      <c r="Y1253" s="2" t="s">
        <v>256</v>
      </c>
    </row>
    <row r="1254" spans="2:25">
      <c r="B1254" s="1">
        <v>46168</v>
      </c>
      <c r="C1254" s="2">
        <v>152</v>
      </c>
      <c r="D1254" s="2">
        <v>174</v>
      </c>
      <c r="E1254" s="2" t="s">
        <v>255</v>
      </c>
      <c r="V1254" s="3">
        <v>46007</v>
      </c>
      <c r="W1254" s="215">
        <v>427</v>
      </c>
      <c r="X1254" s="215">
        <v>417</v>
      </c>
      <c r="Y1254" s="2" t="s">
        <v>256</v>
      </c>
    </row>
    <row r="1255" spans="2:25">
      <c r="B1255" s="1">
        <v>46168</v>
      </c>
      <c r="C1255" s="2">
        <v>58</v>
      </c>
      <c r="D1255" s="2">
        <v>174</v>
      </c>
      <c r="E1255" s="2" t="s">
        <v>255</v>
      </c>
      <c r="V1255" s="3">
        <v>46007</v>
      </c>
      <c r="W1255" s="2">
        <v>426</v>
      </c>
      <c r="X1255" s="2">
        <v>415</v>
      </c>
      <c r="Y1255" s="2" t="s">
        <v>256</v>
      </c>
    </row>
    <row r="1256" spans="2:25">
      <c r="B1256" s="1">
        <v>46168</v>
      </c>
      <c r="C1256" s="2">
        <v>1526</v>
      </c>
      <c r="D1256" s="2">
        <v>173</v>
      </c>
      <c r="E1256" s="2" t="s">
        <v>255</v>
      </c>
      <c r="V1256" s="3">
        <v>46007</v>
      </c>
      <c r="W1256" s="215">
        <v>425</v>
      </c>
      <c r="X1256" s="215">
        <v>479</v>
      </c>
      <c r="Y1256" s="2" t="s">
        <v>256</v>
      </c>
    </row>
    <row r="1257" spans="2:25">
      <c r="B1257" s="1">
        <v>46168</v>
      </c>
      <c r="C1257" s="2">
        <v>1501</v>
      </c>
      <c r="D1257" s="2">
        <v>173</v>
      </c>
      <c r="E1257" s="2" t="s">
        <v>255</v>
      </c>
      <c r="V1257" s="3">
        <v>46007</v>
      </c>
      <c r="W1257" s="215">
        <v>423</v>
      </c>
      <c r="X1257" s="215">
        <v>505</v>
      </c>
      <c r="Y1257" s="2" t="s">
        <v>256</v>
      </c>
    </row>
    <row r="1258" spans="2:25">
      <c r="B1258" s="1">
        <v>46168</v>
      </c>
      <c r="C1258" s="2">
        <v>1493</v>
      </c>
      <c r="D1258" s="2">
        <v>173</v>
      </c>
      <c r="E1258" s="2" t="s">
        <v>255</v>
      </c>
      <c r="V1258" s="3">
        <v>46007</v>
      </c>
      <c r="W1258" s="2">
        <v>421</v>
      </c>
      <c r="X1258" s="2">
        <v>527</v>
      </c>
      <c r="Y1258" s="2" t="s">
        <v>256</v>
      </c>
    </row>
    <row r="1259" spans="2:25">
      <c r="B1259" s="1">
        <v>46168</v>
      </c>
      <c r="C1259" s="2">
        <v>1462</v>
      </c>
      <c r="D1259" s="2">
        <v>173</v>
      </c>
      <c r="E1259" s="2" t="s">
        <v>255</v>
      </c>
      <c r="V1259" s="3">
        <v>46007</v>
      </c>
      <c r="W1259" s="215">
        <v>420</v>
      </c>
      <c r="X1259" s="215">
        <v>497</v>
      </c>
      <c r="Y1259" s="2" t="s">
        <v>256</v>
      </c>
    </row>
    <row r="1260" spans="2:25">
      <c r="B1260" s="1">
        <v>46168</v>
      </c>
      <c r="C1260" s="2">
        <v>1382</v>
      </c>
      <c r="D1260" s="2">
        <v>173</v>
      </c>
      <c r="E1260" s="2" t="s">
        <v>255</v>
      </c>
      <c r="V1260" s="3">
        <v>46007</v>
      </c>
      <c r="W1260" s="215">
        <v>419</v>
      </c>
      <c r="X1260" s="215">
        <v>464</v>
      </c>
      <c r="Y1260" s="2" t="s">
        <v>256</v>
      </c>
    </row>
    <row r="1261" spans="2:25">
      <c r="B1261" s="1">
        <v>46168</v>
      </c>
      <c r="C1261" s="2">
        <v>1250</v>
      </c>
      <c r="D1261" s="2">
        <v>173</v>
      </c>
      <c r="E1261" s="2" t="s">
        <v>255</v>
      </c>
      <c r="V1261" s="3">
        <v>46007</v>
      </c>
      <c r="W1261" s="215">
        <v>417</v>
      </c>
      <c r="X1261" s="215">
        <v>484</v>
      </c>
      <c r="Y1261" s="2" t="s">
        <v>256</v>
      </c>
    </row>
    <row r="1262" spans="2:25">
      <c r="B1262" s="1">
        <v>46168</v>
      </c>
      <c r="C1262" s="2">
        <v>282</v>
      </c>
      <c r="D1262" s="2">
        <v>173</v>
      </c>
      <c r="E1262" s="2" t="s">
        <v>255</v>
      </c>
      <c r="V1262" s="3">
        <v>46007</v>
      </c>
      <c r="W1262" s="215">
        <v>416</v>
      </c>
      <c r="X1262" s="215">
        <v>380</v>
      </c>
      <c r="Y1262" s="2" t="s">
        <v>256</v>
      </c>
    </row>
    <row r="1263" spans="2:25">
      <c r="B1263" s="1">
        <v>46168</v>
      </c>
      <c r="C1263" s="2">
        <v>279</v>
      </c>
      <c r="D1263" s="2">
        <v>173</v>
      </c>
      <c r="E1263" s="2" t="s">
        <v>255</v>
      </c>
      <c r="V1263" s="3">
        <v>46007</v>
      </c>
      <c r="W1263" s="2">
        <v>415</v>
      </c>
      <c r="X1263" s="2">
        <v>512</v>
      </c>
      <c r="Y1263" s="2" t="s">
        <v>256</v>
      </c>
    </row>
    <row r="1264" spans="2:25">
      <c r="B1264" s="1">
        <v>46168</v>
      </c>
      <c r="C1264" s="2">
        <v>218</v>
      </c>
      <c r="D1264" s="2">
        <v>173</v>
      </c>
      <c r="E1264" s="2" t="s">
        <v>255</v>
      </c>
      <c r="V1264" s="3">
        <v>46007</v>
      </c>
      <c r="W1264" s="215">
        <v>414</v>
      </c>
      <c r="X1264" s="215">
        <v>455</v>
      </c>
      <c r="Y1264" s="2" t="s">
        <v>256</v>
      </c>
    </row>
    <row r="1265" spans="2:25">
      <c r="B1265" s="1">
        <v>46168</v>
      </c>
      <c r="C1265" s="2">
        <v>200</v>
      </c>
      <c r="D1265" s="2">
        <v>173</v>
      </c>
      <c r="E1265" s="2" t="s">
        <v>255</v>
      </c>
      <c r="V1265" s="3">
        <v>46007</v>
      </c>
      <c r="W1265" s="215">
        <v>412</v>
      </c>
      <c r="X1265" s="215">
        <v>365</v>
      </c>
      <c r="Y1265" s="2" t="s">
        <v>256</v>
      </c>
    </row>
    <row r="1266" spans="2:25">
      <c r="B1266" s="1">
        <v>46168</v>
      </c>
      <c r="C1266" s="2">
        <v>1514</v>
      </c>
      <c r="D1266" s="2">
        <v>172</v>
      </c>
      <c r="E1266" s="2" t="s">
        <v>255</v>
      </c>
      <c r="V1266" s="3">
        <v>46007</v>
      </c>
      <c r="W1266" s="215">
        <v>409</v>
      </c>
      <c r="X1266" s="215">
        <v>433</v>
      </c>
      <c r="Y1266" s="2" t="s">
        <v>256</v>
      </c>
    </row>
    <row r="1267" spans="2:25">
      <c r="B1267" s="1">
        <v>46168</v>
      </c>
      <c r="C1267" s="2">
        <v>1500</v>
      </c>
      <c r="D1267" s="2">
        <v>172</v>
      </c>
      <c r="E1267" s="2" t="s">
        <v>255</v>
      </c>
      <c r="V1267" s="3">
        <v>46007</v>
      </c>
      <c r="W1267" s="215">
        <v>407</v>
      </c>
      <c r="X1267" s="215">
        <v>555</v>
      </c>
      <c r="Y1267" s="2" t="s">
        <v>256</v>
      </c>
    </row>
    <row r="1268" spans="2:25">
      <c r="B1268" s="1">
        <v>46168</v>
      </c>
      <c r="C1268" s="2">
        <v>195</v>
      </c>
      <c r="D1268" s="2">
        <v>172</v>
      </c>
      <c r="E1268" s="2" t="s">
        <v>255</v>
      </c>
      <c r="V1268" s="3">
        <v>46007</v>
      </c>
      <c r="W1268" s="215">
        <v>406</v>
      </c>
      <c r="X1268" s="215">
        <v>291</v>
      </c>
      <c r="Y1268" s="2" t="s">
        <v>256</v>
      </c>
    </row>
    <row r="1269" spans="2:25">
      <c r="B1269" s="1">
        <v>46168</v>
      </c>
      <c r="C1269" s="2">
        <v>194</v>
      </c>
      <c r="D1269" s="2">
        <v>172</v>
      </c>
      <c r="E1269" s="2" t="s">
        <v>255</v>
      </c>
      <c r="V1269" s="3">
        <v>46007</v>
      </c>
      <c r="W1269" s="215">
        <v>405</v>
      </c>
      <c r="X1269" s="215">
        <v>465</v>
      </c>
      <c r="Y1269" s="2" t="s">
        <v>256</v>
      </c>
    </row>
    <row r="1270" spans="2:25">
      <c r="B1270" s="1">
        <v>46168</v>
      </c>
      <c r="C1270" s="2">
        <v>1499</v>
      </c>
      <c r="D1270" s="2">
        <v>171</v>
      </c>
      <c r="E1270" s="2" t="s">
        <v>255</v>
      </c>
      <c r="V1270" s="3">
        <v>46007</v>
      </c>
      <c r="W1270" s="215">
        <v>403</v>
      </c>
      <c r="X1270" s="215">
        <v>316</v>
      </c>
      <c r="Y1270" s="2" t="s">
        <v>256</v>
      </c>
    </row>
    <row r="1271" spans="2:25">
      <c r="B1271" s="1">
        <v>46168</v>
      </c>
      <c r="C1271" s="2">
        <v>1492</v>
      </c>
      <c r="D1271" s="2">
        <v>171</v>
      </c>
      <c r="E1271" s="2" t="s">
        <v>255</v>
      </c>
      <c r="V1271" s="3">
        <v>46007</v>
      </c>
      <c r="W1271" s="215">
        <v>401</v>
      </c>
      <c r="X1271" s="215">
        <v>393</v>
      </c>
      <c r="Y1271" s="2" t="s">
        <v>256</v>
      </c>
    </row>
    <row r="1272" spans="2:25">
      <c r="B1272" s="1">
        <v>46168</v>
      </c>
      <c r="C1272" s="2">
        <v>1464</v>
      </c>
      <c r="D1272" s="2">
        <v>171</v>
      </c>
      <c r="E1272" s="2" t="s">
        <v>255</v>
      </c>
      <c r="V1272" s="3">
        <v>46007</v>
      </c>
      <c r="W1272" s="2">
        <v>400</v>
      </c>
      <c r="X1272" s="2">
        <v>476</v>
      </c>
      <c r="Y1272" s="2" t="s">
        <v>256</v>
      </c>
    </row>
    <row r="1273" spans="2:25">
      <c r="B1273" s="1">
        <v>46168</v>
      </c>
      <c r="C1273" s="2">
        <v>1433</v>
      </c>
      <c r="D1273" s="2">
        <v>171</v>
      </c>
      <c r="E1273" s="2" t="s">
        <v>255</v>
      </c>
      <c r="V1273" s="3">
        <v>46007</v>
      </c>
      <c r="W1273" s="215">
        <v>398</v>
      </c>
      <c r="X1273" s="215">
        <v>538</v>
      </c>
      <c r="Y1273" s="2" t="s">
        <v>256</v>
      </c>
    </row>
    <row r="1274" spans="2:25">
      <c r="B1274" s="1">
        <v>46168</v>
      </c>
      <c r="C1274" s="2">
        <v>1414</v>
      </c>
      <c r="D1274" s="2">
        <v>171</v>
      </c>
      <c r="E1274" s="2" t="s">
        <v>255</v>
      </c>
      <c r="V1274" s="3">
        <v>46007</v>
      </c>
      <c r="W1274" s="215">
        <v>397</v>
      </c>
      <c r="X1274" s="215">
        <v>174</v>
      </c>
      <c r="Y1274" s="2" t="s">
        <v>256</v>
      </c>
    </row>
    <row r="1275" spans="2:25">
      <c r="B1275" s="1">
        <v>46168</v>
      </c>
      <c r="C1275" s="2">
        <v>1404</v>
      </c>
      <c r="D1275" s="2">
        <v>171</v>
      </c>
      <c r="E1275" s="2" t="s">
        <v>255</v>
      </c>
      <c r="V1275" s="3">
        <v>46007</v>
      </c>
      <c r="W1275" s="2">
        <v>395</v>
      </c>
      <c r="X1275" s="2">
        <v>383</v>
      </c>
      <c r="Y1275" s="2" t="s">
        <v>256</v>
      </c>
    </row>
    <row r="1276" spans="2:25">
      <c r="B1276" s="1">
        <v>46168</v>
      </c>
      <c r="C1276" s="2">
        <v>1302</v>
      </c>
      <c r="D1276" s="2">
        <v>171</v>
      </c>
      <c r="E1276" s="2" t="s">
        <v>255</v>
      </c>
      <c r="V1276" s="3">
        <v>46007</v>
      </c>
      <c r="W1276" s="215">
        <v>394</v>
      </c>
      <c r="X1276" s="215">
        <v>514</v>
      </c>
      <c r="Y1276" s="2" t="s">
        <v>256</v>
      </c>
    </row>
    <row r="1277" spans="2:25">
      <c r="B1277" s="1">
        <v>46168</v>
      </c>
      <c r="C1277" s="2">
        <v>1283</v>
      </c>
      <c r="D1277" s="2">
        <v>171</v>
      </c>
      <c r="E1277" s="2" t="s">
        <v>255</v>
      </c>
      <c r="V1277" s="3">
        <v>46007</v>
      </c>
      <c r="W1277" s="215">
        <v>393</v>
      </c>
      <c r="X1277" s="215">
        <v>343</v>
      </c>
      <c r="Y1277" s="2" t="s">
        <v>256</v>
      </c>
    </row>
    <row r="1278" spans="2:25">
      <c r="B1278" s="1">
        <v>46168</v>
      </c>
      <c r="C1278" s="2">
        <v>283</v>
      </c>
      <c r="D1278" s="2">
        <v>171</v>
      </c>
      <c r="E1278" s="2" t="s">
        <v>255</v>
      </c>
      <c r="V1278" s="3">
        <v>46007</v>
      </c>
      <c r="W1278" s="215">
        <v>392</v>
      </c>
      <c r="X1278" s="215">
        <v>458</v>
      </c>
      <c r="Y1278" s="2" t="s">
        <v>256</v>
      </c>
    </row>
    <row r="1279" spans="2:25">
      <c r="B1279" s="1">
        <v>46168</v>
      </c>
      <c r="C1279" s="2">
        <v>260</v>
      </c>
      <c r="D1279" s="2">
        <v>171</v>
      </c>
      <c r="E1279" s="2" t="s">
        <v>255</v>
      </c>
      <c r="V1279" s="3">
        <v>46007</v>
      </c>
      <c r="W1279" s="215">
        <v>391</v>
      </c>
      <c r="X1279" s="215">
        <v>378</v>
      </c>
      <c r="Y1279" s="2" t="s">
        <v>256</v>
      </c>
    </row>
    <row r="1280" spans="2:25">
      <c r="B1280" s="1">
        <v>46168</v>
      </c>
      <c r="C1280" s="2">
        <v>1504</v>
      </c>
      <c r="D1280" s="2">
        <v>170</v>
      </c>
      <c r="E1280" s="2" t="s">
        <v>255</v>
      </c>
      <c r="V1280" s="3">
        <v>46007</v>
      </c>
      <c r="W1280" s="215">
        <v>389</v>
      </c>
      <c r="X1280" s="215">
        <v>440</v>
      </c>
      <c r="Y1280" s="2" t="s">
        <v>256</v>
      </c>
    </row>
    <row r="1281" spans="2:25">
      <c r="B1281" s="1">
        <v>46168</v>
      </c>
      <c r="C1281" s="2">
        <v>1345</v>
      </c>
      <c r="D1281" s="2">
        <v>170</v>
      </c>
      <c r="E1281" s="2" t="s">
        <v>255</v>
      </c>
      <c r="V1281" s="3">
        <v>46007</v>
      </c>
      <c r="W1281" s="215">
        <v>386</v>
      </c>
      <c r="X1281" s="215">
        <v>451</v>
      </c>
      <c r="Y1281" s="2" t="s">
        <v>256</v>
      </c>
    </row>
    <row r="1282" spans="2:25">
      <c r="B1282" s="1">
        <v>46168</v>
      </c>
      <c r="C1282" s="2">
        <v>221</v>
      </c>
      <c r="D1282" s="2">
        <v>170</v>
      </c>
      <c r="E1282" s="2" t="s">
        <v>255</v>
      </c>
      <c r="V1282" s="3">
        <v>46007</v>
      </c>
      <c r="W1282" s="2">
        <v>385</v>
      </c>
      <c r="X1282" s="2">
        <v>510</v>
      </c>
      <c r="Y1282" s="2" t="s">
        <v>256</v>
      </c>
    </row>
    <row r="1283" spans="2:25">
      <c r="B1283" s="1">
        <v>46168</v>
      </c>
      <c r="C1283" s="2">
        <v>1422</v>
      </c>
      <c r="D1283" s="2">
        <v>169</v>
      </c>
      <c r="E1283" s="2" t="s">
        <v>255</v>
      </c>
      <c r="V1283" s="3">
        <v>46007</v>
      </c>
      <c r="W1283" s="215">
        <v>383</v>
      </c>
      <c r="X1283" s="215">
        <v>483</v>
      </c>
      <c r="Y1283" s="2" t="s">
        <v>256</v>
      </c>
    </row>
    <row r="1284" spans="2:25">
      <c r="B1284" s="1">
        <v>46168</v>
      </c>
      <c r="C1284" s="2">
        <v>1370</v>
      </c>
      <c r="D1284" s="2">
        <v>169</v>
      </c>
      <c r="E1284" s="2" t="s">
        <v>255</v>
      </c>
      <c r="V1284" s="3">
        <v>46007</v>
      </c>
      <c r="W1284" s="215">
        <v>380</v>
      </c>
      <c r="X1284" s="215">
        <v>390</v>
      </c>
      <c r="Y1284" s="2" t="s">
        <v>256</v>
      </c>
    </row>
    <row r="1285" spans="2:25">
      <c r="B1285" s="1">
        <v>46168</v>
      </c>
      <c r="C1285" s="2">
        <v>1356</v>
      </c>
      <c r="D1285" s="2">
        <v>169</v>
      </c>
      <c r="E1285" s="2" t="s">
        <v>255</v>
      </c>
      <c r="V1285" s="3">
        <v>46007</v>
      </c>
      <c r="W1285" s="215">
        <v>379</v>
      </c>
      <c r="X1285" s="215">
        <v>422</v>
      </c>
      <c r="Y1285" s="2" t="s">
        <v>256</v>
      </c>
    </row>
    <row r="1286" spans="2:25">
      <c r="B1286" s="1">
        <v>46168</v>
      </c>
      <c r="C1286" s="2">
        <v>234</v>
      </c>
      <c r="D1286" s="2">
        <v>169</v>
      </c>
      <c r="E1286" s="2" t="s">
        <v>255</v>
      </c>
      <c r="V1286" s="3">
        <v>46007</v>
      </c>
      <c r="W1286" s="2">
        <v>377</v>
      </c>
      <c r="X1286" s="2">
        <v>403</v>
      </c>
      <c r="Y1286" s="2" t="s">
        <v>256</v>
      </c>
    </row>
    <row r="1287" spans="2:25">
      <c r="B1287" s="1">
        <v>46168</v>
      </c>
      <c r="C1287" s="2">
        <v>1525</v>
      </c>
      <c r="D1287" s="2">
        <v>168</v>
      </c>
      <c r="E1287" s="2" t="s">
        <v>255</v>
      </c>
      <c r="V1287" s="3">
        <v>46007</v>
      </c>
      <c r="W1287" s="2">
        <v>376</v>
      </c>
      <c r="X1287" s="2">
        <v>458</v>
      </c>
      <c r="Y1287" s="2" t="s">
        <v>256</v>
      </c>
    </row>
    <row r="1288" spans="2:25">
      <c r="B1288" s="1">
        <v>46168</v>
      </c>
      <c r="C1288" s="2">
        <v>1521</v>
      </c>
      <c r="D1288" s="2">
        <v>168</v>
      </c>
      <c r="E1288" s="2" t="s">
        <v>255</v>
      </c>
      <c r="V1288" s="3">
        <v>46007</v>
      </c>
      <c r="W1288" s="215">
        <v>375</v>
      </c>
      <c r="X1288" s="215">
        <v>478</v>
      </c>
      <c r="Y1288" s="2" t="s">
        <v>256</v>
      </c>
    </row>
    <row r="1289" spans="2:25">
      <c r="B1289" s="1">
        <v>46168</v>
      </c>
      <c r="C1289" s="2">
        <v>1515</v>
      </c>
      <c r="D1289" s="2">
        <v>168</v>
      </c>
      <c r="E1289" s="2" t="s">
        <v>255</v>
      </c>
      <c r="V1289" s="3">
        <v>46007</v>
      </c>
      <c r="W1289" s="215">
        <v>374</v>
      </c>
      <c r="X1289" s="215">
        <v>175</v>
      </c>
      <c r="Y1289" s="2" t="s">
        <v>256</v>
      </c>
    </row>
    <row r="1290" spans="2:25">
      <c r="B1290" s="1">
        <v>46168</v>
      </c>
      <c r="C1290" s="2">
        <v>1410</v>
      </c>
      <c r="D1290" s="2">
        <v>168</v>
      </c>
      <c r="E1290" s="2" t="s">
        <v>255</v>
      </c>
      <c r="V1290" s="3">
        <v>46007</v>
      </c>
      <c r="W1290" s="215">
        <v>374</v>
      </c>
      <c r="X1290" s="215">
        <v>486</v>
      </c>
      <c r="Y1290" s="2" t="s">
        <v>256</v>
      </c>
    </row>
    <row r="1291" spans="2:25">
      <c r="B1291" s="1">
        <v>46168</v>
      </c>
      <c r="C1291" s="2">
        <v>1395</v>
      </c>
      <c r="D1291" s="2">
        <v>168</v>
      </c>
      <c r="E1291" s="2" t="s">
        <v>255</v>
      </c>
      <c r="V1291" s="3">
        <v>46007</v>
      </c>
      <c r="W1291" s="2">
        <v>372</v>
      </c>
      <c r="X1291" s="2">
        <v>406</v>
      </c>
      <c r="Y1291" s="2" t="s">
        <v>256</v>
      </c>
    </row>
    <row r="1292" spans="2:25">
      <c r="B1292" s="1">
        <v>46168</v>
      </c>
      <c r="C1292" s="2">
        <v>1266</v>
      </c>
      <c r="D1292" s="2">
        <v>168</v>
      </c>
      <c r="E1292" s="2" t="s">
        <v>255</v>
      </c>
      <c r="V1292" s="3">
        <v>46007</v>
      </c>
      <c r="W1292" s="2">
        <v>371</v>
      </c>
      <c r="X1292" s="2">
        <v>513</v>
      </c>
      <c r="Y1292" s="2" t="s">
        <v>256</v>
      </c>
    </row>
    <row r="1293" spans="2:25">
      <c r="B1293" s="1">
        <v>46168</v>
      </c>
      <c r="C1293" s="2">
        <v>262</v>
      </c>
      <c r="D1293" s="2">
        <v>168</v>
      </c>
      <c r="E1293" s="2" t="s">
        <v>255</v>
      </c>
      <c r="V1293" s="3">
        <v>46007</v>
      </c>
      <c r="W1293" s="215">
        <v>369</v>
      </c>
      <c r="X1293" s="215">
        <v>368</v>
      </c>
      <c r="Y1293" s="2" t="s">
        <v>256</v>
      </c>
    </row>
    <row r="1294" spans="2:25">
      <c r="B1294" s="1">
        <v>46168</v>
      </c>
      <c r="C1294" s="2">
        <v>254</v>
      </c>
      <c r="D1294" s="2">
        <v>168</v>
      </c>
      <c r="E1294" s="2" t="s">
        <v>255</v>
      </c>
      <c r="V1294" s="3">
        <v>46007</v>
      </c>
      <c r="W1294" s="215">
        <v>368</v>
      </c>
      <c r="X1294" s="215">
        <v>212</v>
      </c>
      <c r="Y1294" s="2" t="s">
        <v>256</v>
      </c>
    </row>
    <row r="1295" spans="2:25">
      <c r="B1295" s="1">
        <v>46168</v>
      </c>
      <c r="C1295" s="2">
        <v>160</v>
      </c>
      <c r="D1295" s="2">
        <v>168</v>
      </c>
      <c r="E1295" s="2" t="s">
        <v>255</v>
      </c>
      <c r="V1295" s="3">
        <v>46007</v>
      </c>
      <c r="W1295" s="215">
        <v>367</v>
      </c>
      <c r="X1295" s="215">
        <v>385</v>
      </c>
      <c r="Y1295" s="2" t="s">
        <v>256</v>
      </c>
    </row>
    <row r="1296" spans="2:25">
      <c r="B1296" s="1">
        <v>46168</v>
      </c>
      <c r="C1296" s="2">
        <v>106</v>
      </c>
      <c r="D1296" s="2">
        <v>168</v>
      </c>
      <c r="E1296" s="2" t="s">
        <v>255</v>
      </c>
      <c r="V1296" s="3">
        <v>46007</v>
      </c>
      <c r="W1296" s="215">
        <v>366</v>
      </c>
      <c r="X1296" s="215">
        <v>452</v>
      </c>
      <c r="Y1296" s="2" t="s">
        <v>256</v>
      </c>
    </row>
    <row r="1297" spans="2:25">
      <c r="B1297" s="1">
        <v>46168</v>
      </c>
      <c r="C1297" s="2">
        <v>1517</v>
      </c>
      <c r="D1297" s="2">
        <v>167</v>
      </c>
      <c r="E1297" s="2" t="s">
        <v>255</v>
      </c>
      <c r="V1297" s="3">
        <v>46007</v>
      </c>
      <c r="W1297" s="215">
        <v>362</v>
      </c>
      <c r="X1297" s="215">
        <v>375</v>
      </c>
      <c r="Y1297" s="2" t="s">
        <v>256</v>
      </c>
    </row>
    <row r="1298" spans="2:25">
      <c r="B1298" s="1">
        <v>46168</v>
      </c>
      <c r="C1298" s="2">
        <v>1509</v>
      </c>
      <c r="D1298" s="2">
        <v>167</v>
      </c>
      <c r="E1298" s="2" t="s">
        <v>255</v>
      </c>
      <c r="V1298" s="3">
        <v>46007</v>
      </c>
      <c r="W1298" s="215">
        <v>361</v>
      </c>
      <c r="X1298" s="215">
        <v>447</v>
      </c>
      <c r="Y1298" s="2" t="s">
        <v>256</v>
      </c>
    </row>
    <row r="1299" spans="2:25">
      <c r="B1299" s="1">
        <v>46168</v>
      </c>
      <c r="C1299" s="2">
        <v>1346</v>
      </c>
      <c r="D1299" s="2">
        <v>167</v>
      </c>
      <c r="E1299" s="2" t="s">
        <v>255</v>
      </c>
      <c r="V1299" s="3">
        <v>46007</v>
      </c>
      <c r="W1299" s="215">
        <v>361</v>
      </c>
      <c r="X1299" s="215">
        <v>170</v>
      </c>
      <c r="Y1299" s="2" t="s">
        <v>256</v>
      </c>
    </row>
    <row r="1300" spans="2:25">
      <c r="B1300" s="1">
        <v>46168</v>
      </c>
      <c r="C1300" s="2">
        <v>173</v>
      </c>
      <c r="D1300" s="2">
        <v>167</v>
      </c>
      <c r="E1300" s="2" t="s">
        <v>255</v>
      </c>
      <c r="V1300" s="3">
        <v>46007</v>
      </c>
      <c r="W1300" s="215">
        <v>356</v>
      </c>
      <c r="X1300" s="215">
        <v>467</v>
      </c>
      <c r="Y1300" s="2" t="s">
        <v>256</v>
      </c>
    </row>
    <row r="1301" spans="2:25">
      <c r="B1301" s="1">
        <v>46168</v>
      </c>
      <c r="C1301" s="2">
        <v>1520</v>
      </c>
      <c r="D1301" s="2">
        <v>166</v>
      </c>
      <c r="E1301" s="2" t="s">
        <v>255</v>
      </c>
      <c r="V1301" s="3">
        <v>46007</v>
      </c>
      <c r="W1301" s="215">
        <v>355</v>
      </c>
      <c r="X1301" s="215">
        <v>453</v>
      </c>
      <c r="Y1301" s="2" t="s">
        <v>256</v>
      </c>
    </row>
    <row r="1302" spans="2:25">
      <c r="B1302" s="1">
        <v>46168</v>
      </c>
      <c r="C1302" s="2">
        <v>1423</v>
      </c>
      <c r="D1302" s="2">
        <v>166</v>
      </c>
      <c r="E1302" s="2" t="s">
        <v>255</v>
      </c>
      <c r="V1302" s="3">
        <v>46007</v>
      </c>
      <c r="W1302" s="215">
        <v>354</v>
      </c>
      <c r="X1302" s="215">
        <v>671</v>
      </c>
      <c r="Y1302" s="2" t="s">
        <v>256</v>
      </c>
    </row>
    <row r="1303" spans="2:25">
      <c r="B1303" s="1">
        <v>46168</v>
      </c>
      <c r="C1303" s="2">
        <v>1392</v>
      </c>
      <c r="D1303" s="2">
        <v>166</v>
      </c>
      <c r="E1303" s="2" t="s">
        <v>255</v>
      </c>
      <c r="V1303" s="3">
        <v>46007</v>
      </c>
      <c r="W1303" s="215">
        <v>354</v>
      </c>
      <c r="X1303" s="215">
        <v>423</v>
      </c>
      <c r="Y1303" s="2" t="s">
        <v>256</v>
      </c>
    </row>
    <row r="1304" spans="2:25">
      <c r="B1304" s="1">
        <v>46168</v>
      </c>
      <c r="C1304" s="2">
        <v>1337</v>
      </c>
      <c r="D1304" s="2">
        <v>166</v>
      </c>
      <c r="E1304" s="2" t="s">
        <v>255</v>
      </c>
      <c r="V1304" s="3">
        <v>46007</v>
      </c>
      <c r="W1304" s="215">
        <v>352</v>
      </c>
      <c r="X1304" s="215">
        <v>345</v>
      </c>
      <c r="Y1304" s="2" t="s">
        <v>256</v>
      </c>
    </row>
    <row r="1305" spans="2:25">
      <c r="B1305" s="1">
        <v>46168</v>
      </c>
      <c r="C1305" s="2">
        <v>1335</v>
      </c>
      <c r="D1305" s="2">
        <v>166</v>
      </c>
      <c r="E1305" s="2" t="s">
        <v>255</v>
      </c>
      <c r="V1305" s="3">
        <v>46007</v>
      </c>
      <c r="W1305" s="215">
        <v>351</v>
      </c>
      <c r="X1305" s="215">
        <v>447</v>
      </c>
      <c r="Y1305" s="2" t="s">
        <v>256</v>
      </c>
    </row>
    <row r="1306" spans="2:25">
      <c r="B1306" s="1">
        <v>46168</v>
      </c>
      <c r="C1306" s="2">
        <v>182</v>
      </c>
      <c r="D1306" s="2">
        <v>166</v>
      </c>
      <c r="E1306" s="2" t="s">
        <v>255</v>
      </c>
      <c r="V1306" s="3">
        <v>46007</v>
      </c>
      <c r="W1306" s="215">
        <v>350</v>
      </c>
      <c r="X1306" s="215">
        <v>401</v>
      </c>
      <c r="Y1306" s="2" t="s">
        <v>256</v>
      </c>
    </row>
    <row r="1307" spans="2:25">
      <c r="B1307" s="1">
        <v>46168</v>
      </c>
      <c r="C1307" s="2">
        <v>1448</v>
      </c>
      <c r="D1307" s="2">
        <v>165</v>
      </c>
      <c r="E1307" s="2" t="s">
        <v>255</v>
      </c>
      <c r="V1307" s="3">
        <v>46007</v>
      </c>
      <c r="W1307" s="215">
        <v>349</v>
      </c>
      <c r="X1307" s="215">
        <v>325</v>
      </c>
      <c r="Y1307" s="2" t="s">
        <v>256</v>
      </c>
    </row>
    <row r="1308" spans="2:25">
      <c r="B1308" s="1">
        <v>46168</v>
      </c>
      <c r="C1308" s="2">
        <v>1400</v>
      </c>
      <c r="D1308" s="2">
        <v>165</v>
      </c>
      <c r="E1308" s="2" t="s">
        <v>255</v>
      </c>
      <c r="V1308" s="3">
        <v>46007</v>
      </c>
      <c r="W1308" s="215">
        <v>348</v>
      </c>
      <c r="X1308" s="215">
        <v>436</v>
      </c>
      <c r="Y1308" s="2" t="s">
        <v>256</v>
      </c>
    </row>
    <row r="1309" spans="2:25">
      <c r="B1309" s="1">
        <v>46168</v>
      </c>
      <c r="C1309" s="2">
        <v>1373</v>
      </c>
      <c r="D1309" s="2">
        <v>165</v>
      </c>
      <c r="E1309" s="2" t="s">
        <v>255</v>
      </c>
      <c r="V1309" s="3">
        <v>46007</v>
      </c>
      <c r="W1309" s="2">
        <v>347</v>
      </c>
      <c r="X1309" s="2">
        <v>463</v>
      </c>
      <c r="Y1309" s="2" t="s">
        <v>256</v>
      </c>
    </row>
    <row r="1310" spans="2:25">
      <c r="B1310" s="1">
        <v>46168</v>
      </c>
      <c r="C1310" s="2">
        <v>1350</v>
      </c>
      <c r="D1310" s="2">
        <v>165</v>
      </c>
      <c r="E1310" s="2" t="s">
        <v>255</v>
      </c>
      <c r="V1310" s="3">
        <v>46007</v>
      </c>
      <c r="W1310" s="215">
        <v>346</v>
      </c>
      <c r="X1310" s="215">
        <v>373</v>
      </c>
      <c r="Y1310" s="2" t="s">
        <v>256</v>
      </c>
    </row>
    <row r="1311" spans="2:25">
      <c r="B1311" s="1">
        <v>46168</v>
      </c>
      <c r="C1311" s="2">
        <v>1291</v>
      </c>
      <c r="D1311" s="2">
        <v>165</v>
      </c>
      <c r="E1311" s="2" t="s">
        <v>255</v>
      </c>
      <c r="V1311" s="3">
        <v>46007</v>
      </c>
      <c r="W1311" s="2">
        <v>345</v>
      </c>
      <c r="X1311" s="2">
        <v>466</v>
      </c>
      <c r="Y1311" s="2" t="s">
        <v>256</v>
      </c>
    </row>
    <row r="1312" spans="2:25">
      <c r="B1312" s="1">
        <v>46168</v>
      </c>
      <c r="C1312" s="2">
        <v>1261</v>
      </c>
      <c r="D1312" s="2">
        <v>165</v>
      </c>
      <c r="E1312" s="2" t="s">
        <v>255</v>
      </c>
      <c r="V1312" s="3">
        <v>46007</v>
      </c>
      <c r="W1312" s="215">
        <v>344</v>
      </c>
      <c r="X1312" s="215">
        <v>429</v>
      </c>
      <c r="Y1312" s="2" t="s">
        <v>256</v>
      </c>
    </row>
    <row r="1313" spans="2:25">
      <c r="B1313" s="1">
        <v>46168</v>
      </c>
      <c r="C1313" s="2">
        <v>396</v>
      </c>
      <c r="D1313" s="2">
        <v>165</v>
      </c>
      <c r="E1313" s="2" t="s">
        <v>255</v>
      </c>
      <c r="V1313" s="3">
        <v>46007</v>
      </c>
      <c r="W1313" s="215">
        <v>343</v>
      </c>
      <c r="X1313" s="215">
        <v>354</v>
      </c>
      <c r="Y1313" s="2" t="s">
        <v>256</v>
      </c>
    </row>
    <row r="1314" spans="2:25">
      <c r="B1314" s="1">
        <v>46168</v>
      </c>
      <c r="C1314" s="2">
        <v>1394</v>
      </c>
      <c r="D1314" s="2">
        <v>164</v>
      </c>
      <c r="E1314" s="2" t="s">
        <v>255</v>
      </c>
      <c r="V1314" s="3">
        <v>46007</v>
      </c>
      <c r="W1314" s="215">
        <v>341</v>
      </c>
      <c r="X1314" s="215">
        <v>477</v>
      </c>
      <c r="Y1314" s="2" t="s">
        <v>256</v>
      </c>
    </row>
    <row r="1315" spans="2:25">
      <c r="B1315" s="1">
        <v>46168</v>
      </c>
      <c r="C1315" s="2">
        <v>1284</v>
      </c>
      <c r="D1315" s="2">
        <v>164</v>
      </c>
      <c r="E1315" s="2" t="s">
        <v>255</v>
      </c>
      <c r="V1315" s="3">
        <v>46007</v>
      </c>
      <c r="W1315" s="215">
        <v>340</v>
      </c>
      <c r="X1315" s="215">
        <v>421</v>
      </c>
      <c r="Y1315" s="2" t="s">
        <v>256</v>
      </c>
    </row>
    <row r="1316" spans="2:25">
      <c r="B1316" s="1">
        <v>46168</v>
      </c>
      <c r="C1316" s="2">
        <v>100</v>
      </c>
      <c r="D1316" s="2">
        <v>164</v>
      </c>
      <c r="E1316" s="2" t="s">
        <v>255</v>
      </c>
      <c r="V1316" s="3">
        <v>46007</v>
      </c>
      <c r="W1316" s="215">
        <v>339</v>
      </c>
      <c r="X1316" s="215">
        <v>329</v>
      </c>
      <c r="Y1316" s="2" t="s">
        <v>256</v>
      </c>
    </row>
    <row r="1317" spans="2:25">
      <c r="B1317" s="1">
        <v>46168</v>
      </c>
      <c r="C1317" s="2">
        <v>1516</v>
      </c>
      <c r="D1317" s="2">
        <v>163</v>
      </c>
      <c r="E1317" s="2" t="s">
        <v>255</v>
      </c>
      <c r="V1317" s="3">
        <v>46007</v>
      </c>
      <c r="W1317" s="215">
        <v>338</v>
      </c>
      <c r="X1317" s="215">
        <v>502</v>
      </c>
      <c r="Y1317" s="2" t="s">
        <v>256</v>
      </c>
    </row>
    <row r="1318" spans="2:25">
      <c r="B1318" s="1">
        <v>46168</v>
      </c>
      <c r="C1318" s="2">
        <v>1508</v>
      </c>
      <c r="D1318" s="2">
        <v>163</v>
      </c>
      <c r="E1318" s="2" t="s">
        <v>255</v>
      </c>
      <c r="V1318" s="3">
        <v>46007</v>
      </c>
      <c r="W1318" s="215">
        <v>336</v>
      </c>
      <c r="X1318" s="215">
        <v>391</v>
      </c>
      <c r="Y1318" s="2" t="s">
        <v>256</v>
      </c>
    </row>
    <row r="1319" spans="2:25">
      <c r="B1319" s="1">
        <v>46168</v>
      </c>
      <c r="C1319" s="2">
        <v>1411</v>
      </c>
      <c r="D1319" s="2">
        <v>163</v>
      </c>
      <c r="E1319" s="2" t="s">
        <v>255</v>
      </c>
      <c r="V1319" s="3">
        <v>46007</v>
      </c>
      <c r="W1319" s="215">
        <v>332</v>
      </c>
      <c r="X1319" s="215">
        <v>477</v>
      </c>
      <c r="Y1319" s="2" t="s">
        <v>256</v>
      </c>
    </row>
    <row r="1320" spans="2:25">
      <c r="B1320" s="1">
        <v>46168</v>
      </c>
      <c r="C1320" s="2">
        <v>1396</v>
      </c>
      <c r="D1320" s="2">
        <v>163</v>
      </c>
      <c r="E1320" s="2" t="s">
        <v>255</v>
      </c>
      <c r="V1320" s="3">
        <v>46007</v>
      </c>
      <c r="W1320" s="215">
        <v>331</v>
      </c>
      <c r="X1320" s="215">
        <v>447</v>
      </c>
      <c r="Y1320" s="2" t="s">
        <v>256</v>
      </c>
    </row>
    <row r="1321" spans="2:25">
      <c r="B1321" s="1">
        <v>46168</v>
      </c>
      <c r="C1321" s="2">
        <v>1384</v>
      </c>
      <c r="D1321" s="2">
        <v>163</v>
      </c>
      <c r="E1321" s="2" t="s">
        <v>255</v>
      </c>
      <c r="V1321" s="3">
        <v>46007</v>
      </c>
      <c r="W1321" s="215">
        <v>329</v>
      </c>
      <c r="X1321" s="215">
        <v>492</v>
      </c>
      <c r="Y1321" s="2" t="s">
        <v>256</v>
      </c>
    </row>
    <row r="1322" spans="2:25">
      <c r="B1322" s="1">
        <v>46168</v>
      </c>
      <c r="C1322" s="2">
        <v>1372</v>
      </c>
      <c r="D1322" s="2">
        <v>163</v>
      </c>
      <c r="E1322" s="2" t="s">
        <v>255</v>
      </c>
      <c r="V1322" s="3">
        <v>46007</v>
      </c>
      <c r="W1322" s="215">
        <v>328</v>
      </c>
      <c r="X1322" s="215">
        <v>474</v>
      </c>
      <c r="Y1322" s="2" t="s">
        <v>256</v>
      </c>
    </row>
    <row r="1323" spans="2:25">
      <c r="B1323" s="1">
        <v>46168</v>
      </c>
      <c r="C1323" s="2">
        <v>1361</v>
      </c>
      <c r="D1323" s="2">
        <v>163</v>
      </c>
      <c r="E1323" s="2" t="s">
        <v>255</v>
      </c>
      <c r="V1323" s="3">
        <v>46007</v>
      </c>
      <c r="W1323" s="2">
        <v>327</v>
      </c>
      <c r="X1323" s="2">
        <v>457</v>
      </c>
      <c r="Y1323" s="2" t="s">
        <v>256</v>
      </c>
    </row>
    <row r="1324" spans="2:25">
      <c r="B1324" s="1">
        <v>46168</v>
      </c>
      <c r="C1324" s="2">
        <v>1359</v>
      </c>
      <c r="D1324" s="2">
        <v>163</v>
      </c>
      <c r="E1324" s="2" t="s">
        <v>255</v>
      </c>
      <c r="V1324" s="3">
        <v>46007</v>
      </c>
      <c r="W1324" s="215">
        <v>322</v>
      </c>
      <c r="X1324" s="215">
        <v>389</v>
      </c>
      <c r="Y1324" s="2" t="s">
        <v>256</v>
      </c>
    </row>
    <row r="1325" spans="2:25">
      <c r="B1325" s="1">
        <v>46168</v>
      </c>
      <c r="C1325" s="2">
        <v>1303</v>
      </c>
      <c r="D1325" s="2">
        <v>163</v>
      </c>
      <c r="E1325" s="2" t="s">
        <v>255</v>
      </c>
      <c r="V1325" s="3">
        <v>46007</v>
      </c>
      <c r="W1325" s="215">
        <v>319</v>
      </c>
      <c r="X1325" s="215">
        <v>504</v>
      </c>
      <c r="Y1325" s="2" t="s">
        <v>256</v>
      </c>
    </row>
    <row r="1326" spans="2:25">
      <c r="B1326" s="1">
        <v>46168</v>
      </c>
      <c r="C1326" s="2">
        <v>255</v>
      </c>
      <c r="D1326" s="2">
        <v>163</v>
      </c>
      <c r="E1326" s="2" t="s">
        <v>255</v>
      </c>
      <c r="V1326" s="3">
        <v>46007</v>
      </c>
      <c r="W1326" s="215">
        <v>318</v>
      </c>
      <c r="X1326" s="215">
        <v>395</v>
      </c>
      <c r="Y1326" s="2" t="s">
        <v>256</v>
      </c>
    </row>
    <row r="1327" spans="2:25">
      <c r="B1327" s="1">
        <v>46168</v>
      </c>
      <c r="C1327" s="2">
        <v>1528</v>
      </c>
      <c r="D1327" s="2">
        <v>162</v>
      </c>
      <c r="E1327" s="2" t="s">
        <v>255</v>
      </c>
      <c r="V1327" s="3">
        <v>46007</v>
      </c>
      <c r="W1327" s="215">
        <v>317</v>
      </c>
      <c r="X1327" s="215">
        <v>399</v>
      </c>
      <c r="Y1327" s="2" t="s">
        <v>256</v>
      </c>
    </row>
    <row r="1328" spans="2:25">
      <c r="B1328" s="1">
        <v>46168</v>
      </c>
      <c r="C1328" s="2">
        <v>1419</v>
      </c>
      <c r="D1328" s="2">
        <v>162</v>
      </c>
      <c r="E1328" s="2" t="s">
        <v>255</v>
      </c>
      <c r="V1328" s="3">
        <v>46007</v>
      </c>
      <c r="W1328" s="215">
        <v>316</v>
      </c>
      <c r="X1328" s="215">
        <v>434</v>
      </c>
      <c r="Y1328" s="2" t="s">
        <v>256</v>
      </c>
    </row>
    <row r="1329" spans="2:25">
      <c r="B1329" s="1">
        <v>46168</v>
      </c>
      <c r="C1329" s="2">
        <v>1505</v>
      </c>
      <c r="D1329" s="2">
        <v>161</v>
      </c>
      <c r="E1329" s="2" t="s">
        <v>255</v>
      </c>
      <c r="V1329" s="3">
        <v>46007</v>
      </c>
      <c r="W1329" s="215">
        <v>315</v>
      </c>
      <c r="X1329" s="215">
        <v>319</v>
      </c>
      <c r="Y1329" s="2" t="s">
        <v>256</v>
      </c>
    </row>
    <row r="1330" spans="2:25">
      <c r="B1330" s="1">
        <v>46168</v>
      </c>
      <c r="C1330" s="2">
        <v>1430</v>
      </c>
      <c r="D1330" s="2">
        <v>161</v>
      </c>
      <c r="E1330" s="2" t="s">
        <v>255</v>
      </c>
      <c r="V1330" s="3">
        <v>46007</v>
      </c>
      <c r="W1330" s="2">
        <v>313</v>
      </c>
      <c r="X1330" s="2">
        <v>383</v>
      </c>
      <c r="Y1330" s="2" t="s">
        <v>256</v>
      </c>
    </row>
    <row r="1331" spans="2:25">
      <c r="B1331" s="1">
        <v>46168</v>
      </c>
      <c r="C1331" s="2">
        <v>1406</v>
      </c>
      <c r="D1331" s="2">
        <v>161</v>
      </c>
      <c r="E1331" s="2" t="s">
        <v>255</v>
      </c>
      <c r="V1331" s="3">
        <v>46007</v>
      </c>
      <c r="W1331" s="215">
        <v>311</v>
      </c>
      <c r="X1331" s="215">
        <v>441</v>
      </c>
      <c r="Y1331" s="2" t="s">
        <v>256</v>
      </c>
    </row>
    <row r="1332" spans="2:25">
      <c r="B1332" s="1">
        <v>46168</v>
      </c>
      <c r="C1332" s="2">
        <v>1375</v>
      </c>
      <c r="D1332" s="2">
        <v>161</v>
      </c>
      <c r="E1332" s="2" t="s">
        <v>255</v>
      </c>
      <c r="V1332" s="3">
        <v>46007</v>
      </c>
      <c r="W1332" s="215">
        <v>309</v>
      </c>
      <c r="X1332" s="215">
        <v>429</v>
      </c>
      <c r="Y1332" s="2" t="s">
        <v>256</v>
      </c>
    </row>
    <row r="1333" spans="2:25">
      <c r="B1333" s="1">
        <v>46168</v>
      </c>
      <c r="C1333" s="2">
        <v>1305</v>
      </c>
      <c r="D1333" s="2">
        <v>161</v>
      </c>
      <c r="E1333" s="2" t="s">
        <v>255</v>
      </c>
      <c r="V1333" s="3">
        <v>46007</v>
      </c>
      <c r="W1333" s="215">
        <v>308</v>
      </c>
      <c r="X1333" s="215">
        <v>281</v>
      </c>
      <c r="Y1333" s="2" t="s">
        <v>256</v>
      </c>
    </row>
    <row r="1334" spans="2:25">
      <c r="B1334" s="1">
        <v>46168</v>
      </c>
      <c r="C1334" s="2">
        <v>256</v>
      </c>
      <c r="D1334" s="2">
        <v>161</v>
      </c>
      <c r="E1334" s="2" t="s">
        <v>255</v>
      </c>
      <c r="V1334" s="3">
        <v>46007</v>
      </c>
      <c r="W1334" s="2">
        <v>307</v>
      </c>
      <c r="X1334" s="2">
        <v>446</v>
      </c>
      <c r="Y1334" s="2" t="s">
        <v>256</v>
      </c>
    </row>
    <row r="1335" spans="2:25">
      <c r="B1335" s="1">
        <v>46168</v>
      </c>
      <c r="C1335" s="2">
        <v>250</v>
      </c>
      <c r="D1335" s="2">
        <v>161</v>
      </c>
      <c r="E1335" s="2" t="s">
        <v>255</v>
      </c>
      <c r="V1335" s="3">
        <v>46007</v>
      </c>
      <c r="W1335" s="2">
        <v>306</v>
      </c>
      <c r="X1335" s="2">
        <v>461</v>
      </c>
      <c r="Y1335" s="2" t="s">
        <v>256</v>
      </c>
    </row>
    <row r="1336" spans="2:25">
      <c r="B1336" s="1">
        <v>46168</v>
      </c>
      <c r="C1336" s="2">
        <v>1434</v>
      </c>
      <c r="D1336" s="2">
        <v>160</v>
      </c>
      <c r="E1336" s="2" t="s">
        <v>255</v>
      </c>
      <c r="V1336" s="3">
        <v>46007</v>
      </c>
      <c r="W1336" s="215">
        <v>305</v>
      </c>
      <c r="X1336" s="215">
        <v>420</v>
      </c>
      <c r="Y1336" s="2" t="s">
        <v>256</v>
      </c>
    </row>
    <row r="1337" spans="2:25">
      <c r="B1337" s="1">
        <v>46168</v>
      </c>
      <c r="C1337" s="2">
        <v>1340</v>
      </c>
      <c r="D1337" s="2">
        <v>160</v>
      </c>
      <c r="E1337" s="2" t="s">
        <v>255</v>
      </c>
      <c r="V1337" s="3">
        <v>46007</v>
      </c>
      <c r="W1337" s="215">
        <v>303</v>
      </c>
      <c r="X1337" s="215">
        <v>475</v>
      </c>
      <c r="Y1337" s="2" t="s">
        <v>256</v>
      </c>
    </row>
    <row r="1338" spans="2:25">
      <c r="B1338" s="1">
        <v>46168</v>
      </c>
      <c r="C1338" s="2">
        <v>1329</v>
      </c>
      <c r="D1338" s="2">
        <v>160</v>
      </c>
      <c r="E1338" s="2" t="s">
        <v>255</v>
      </c>
      <c r="V1338" s="3">
        <v>46007</v>
      </c>
      <c r="W1338" s="2">
        <v>302</v>
      </c>
      <c r="X1338" s="2">
        <v>450</v>
      </c>
      <c r="Y1338" s="2" t="s">
        <v>256</v>
      </c>
    </row>
    <row r="1339" spans="2:25">
      <c r="B1339" s="1">
        <v>46168</v>
      </c>
      <c r="C1339" s="2">
        <v>1297</v>
      </c>
      <c r="D1339" s="2">
        <v>160</v>
      </c>
      <c r="E1339" s="2" t="s">
        <v>255</v>
      </c>
      <c r="V1339" s="3">
        <v>46007</v>
      </c>
      <c r="W1339" s="2">
        <v>301</v>
      </c>
      <c r="X1339" s="2">
        <v>262</v>
      </c>
      <c r="Y1339" s="2" t="s">
        <v>256</v>
      </c>
    </row>
    <row r="1340" spans="2:25">
      <c r="B1340" s="1">
        <v>46168</v>
      </c>
      <c r="C1340" s="2">
        <v>1248</v>
      </c>
      <c r="D1340" s="2">
        <v>160</v>
      </c>
      <c r="E1340" s="2" t="s">
        <v>255</v>
      </c>
      <c r="V1340" s="3">
        <v>46007</v>
      </c>
      <c r="W1340" s="215">
        <v>300</v>
      </c>
      <c r="X1340" s="215">
        <v>165</v>
      </c>
      <c r="Y1340" s="2" t="s">
        <v>256</v>
      </c>
    </row>
    <row r="1341" spans="2:25">
      <c r="B1341" s="1">
        <v>46168</v>
      </c>
      <c r="C1341" s="2">
        <v>223</v>
      </c>
      <c r="D1341" s="2">
        <v>160</v>
      </c>
      <c r="E1341" s="2" t="s">
        <v>255</v>
      </c>
      <c r="V1341" s="3">
        <v>46007</v>
      </c>
      <c r="W1341" s="215">
        <v>299</v>
      </c>
      <c r="X1341" s="215">
        <v>204</v>
      </c>
      <c r="Y1341" s="2" t="s">
        <v>256</v>
      </c>
    </row>
    <row r="1342" spans="2:25">
      <c r="B1342" s="1">
        <v>46168</v>
      </c>
      <c r="C1342" s="2">
        <v>1530</v>
      </c>
      <c r="D1342" s="2">
        <v>159</v>
      </c>
      <c r="E1342" s="2" t="s">
        <v>255</v>
      </c>
      <c r="V1342" s="3">
        <v>46007</v>
      </c>
      <c r="W1342" s="215">
        <v>296</v>
      </c>
      <c r="X1342" s="215">
        <v>174</v>
      </c>
      <c r="Y1342" s="2" t="s">
        <v>256</v>
      </c>
    </row>
    <row r="1343" spans="2:25">
      <c r="B1343" s="1">
        <v>46168</v>
      </c>
      <c r="C1343" s="2">
        <v>1452</v>
      </c>
      <c r="D1343" s="2">
        <v>159</v>
      </c>
      <c r="E1343" s="2" t="s">
        <v>255</v>
      </c>
      <c r="V1343" s="3">
        <v>46007</v>
      </c>
      <c r="W1343" s="215">
        <v>294</v>
      </c>
      <c r="X1343" s="215">
        <v>221</v>
      </c>
      <c r="Y1343" s="2" t="s">
        <v>256</v>
      </c>
    </row>
    <row r="1344" spans="2:25">
      <c r="B1344" s="1">
        <v>46168</v>
      </c>
      <c r="C1344" s="2">
        <v>1363</v>
      </c>
      <c r="D1344" s="2">
        <v>159</v>
      </c>
      <c r="E1344" s="2" t="s">
        <v>255</v>
      </c>
      <c r="V1344" s="3">
        <v>46007</v>
      </c>
      <c r="W1344" s="215">
        <v>292</v>
      </c>
      <c r="X1344" s="215">
        <v>197</v>
      </c>
      <c r="Y1344" s="2" t="s">
        <v>256</v>
      </c>
    </row>
    <row r="1345" spans="2:25">
      <c r="B1345" s="1">
        <v>46168</v>
      </c>
      <c r="C1345" s="2">
        <v>1326</v>
      </c>
      <c r="D1345" s="2">
        <v>159</v>
      </c>
      <c r="E1345" s="2" t="s">
        <v>255</v>
      </c>
      <c r="V1345" s="3">
        <v>46007</v>
      </c>
      <c r="W1345" s="2">
        <v>290</v>
      </c>
      <c r="X1345" s="2">
        <v>237</v>
      </c>
      <c r="Y1345" s="2" t="s">
        <v>256</v>
      </c>
    </row>
    <row r="1346" spans="2:25">
      <c r="B1346" s="1">
        <v>46168</v>
      </c>
      <c r="C1346" s="2">
        <v>171</v>
      </c>
      <c r="D1346" s="2">
        <v>159</v>
      </c>
      <c r="E1346" s="2" t="s">
        <v>255</v>
      </c>
      <c r="V1346" s="3">
        <v>46007</v>
      </c>
      <c r="W1346" s="215">
        <v>289</v>
      </c>
      <c r="X1346" s="215">
        <v>274</v>
      </c>
      <c r="Y1346" s="2" t="s">
        <v>256</v>
      </c>
    </row>
    <row r="1347" spans="2:25">
      <c r="B1347" s="1">
        <v>46168</v>
      </c>
      <c r="C1347" s="2">
        <v>1401</v>
      </c>
      <c r="D1347" s="2">
        <v>158</v>
      </c>
      <c r="E1347" s="2" t="s">
        <v>255</v>
      </c>
      <c r="V1347" s="3">
        <v>46007</v>
      </c>
      <c r="W1347" s="215">
        <v>288</v>
      </c>
      <c r="X1347" s="215">
        <v>263</v>
      </c>
      <c r="Y1347" s="2" t="s">
        <v>256</v>
      </c>
    </row>
    <row r="1348" spans="2:25">
      <c r="B1348" s="1">
        <v>46168</v>
      </c>
      <c r="C1348" s="2">
        <v>1378</v>
      </c>
      <c r="D1348" s="2">
        <v>158</v>
      </c>
      <c r="E1348" s="2" t="s">
        <v>255</v>
      </c>
      <c r="V1348" s="3">
        <v>46007</v>
      </c>
      <c r="W1348" s="215">
        <v>285</v>
      </c>
      <c r="X1348" s="215">
        <v>192</v>
      </c>
      <c r="Y1348" s="2" t="s">
        <v>256</v>
      </c>
    </row>
    <row r="1349" spans="2:25">
      <c r="B1349" s="1">
        <v>46168</v>
      </c>
      <c r="C1349" s="2">
        <v>1374</v>
      </c>
      <c r="D1349" s="2">
        <v>158</v>
      </c>
      <c r="E1349" s="2" t="s">
        <v>255</v>
      </c>
      <c r="V1349" s="3">
        <v>46007</v>
      </c>
      <c r="W1349" s="2">
        <v>278</v>
      </c>
      <c r="X1349" s="2">
        <v>256</v>
      </c>
      <c r="Y1349" s="2" t="s">
        <v>256</v>
      </c>
    </row>
    <row r="1350" spans="2:25">
      <c r="B1350" s="1">
        <v>46168</v>
      </c>
      <c r="C1350" s="2">
        <v>1321</v>
      </c>
      <c r="D1350" s="2">
        <v>158</v>
      </c>
      <c r="E1350" s="2" t="s">
        <v>255</v>
      </c>
      <c r="V1350" s="3">
        <v>46007</v>
      </c>
      <c r="W1350" s="215">
        <v>275</v>
      </c>
      <c r="X1350" s="215">
        <v>166</v>
      </c>
      <c r="Y1350" s="2" t="s">
        <v>256</v>
      </c>
    </row>
    <row r="1351" spans="2:25">
      <c r="B1351" s="1">
        <v>46168</v>
      </c>
      <c r="C1351" s="2">
        <v>1243</v>
      </c>
      <c r="D1351" s="2">
        <v>158</v>
      </c>
      <c r="E1351" s="2" t="s">
        <v>255</v>
      </c>
      <c r="V1351" s="3">
        <v>46007</v>
      </c>
      <c r="W1351" s="215">
        <v>270</v>
      </c>
      <c r="X1351" s="215">
        <v>342</v>
      </c>
      <c r="Y1351" s="2" t="s">
        <v>256</v>
      </c>
    </row>
    <row r="1352" spans="2:25">
      <c r="B1352" s="1">
        <v>46168</v>
      </c>
      <c r="C1352" s="2">
        <v>1425</v>
      </c>
      <c r="D1352" s="2">
        <v>157</v>
      </c>
      <c r="E1352" s="2" t="s">
        <v>255</v>
      </c>
      <c r="V1352" s="3">
        <v>46007</v>
      </c>
      <c r="W1352" s="2">
        <v>269</v>
      </c>
      <c r="X1352" s="2">
        <v>247</v>
      </c>
      <c r="Y1352" s="2" t="s">
        <v>256</v>
      </c>
    </row>
    <row r="1353" spans="2:25">
      <c r="B1353" s="1">
        <v>46168</v>
      </c>
      <c r="C1353" s="2">
        <v>1367</v>
      </c>
      <c r="D1353" s="2">
        <v>157</v>
      </c>
      <c r="E1353" s="2" t="s">
        <v>255</v>
      </c>
      <c r="V1353" s="3">
        <v>46007</v>
      </c>
      <c r="W1353" s="215">
        <v>268</v>
      </c>
      <c r="X1353" s="215">
        <v>278</v>
      </c>
      <c r="Y1353" s="2" t="s">
        <v>256</v>
      </c>
    </row>
    <row r="1354" spans="2:25">
      <c r="B1354" s="1">
        <v>46168</v>
      </c>
      <c r="C1354" s="2">
        <v>1336</v>
      </c>
      <c r="D1354" s="2">
        <v>157</v>
      </c>
      <c r="E1354" s="2" t="s">
        <v>255</v>
      </c>
      <c r="V1354" s="3">
        <v>46007</v>
      </c>
      <c r="W1354" s="215">
        <v>265</v>
      </c>
      <c r="X1354" s="215">
        <v>252</v>
      </c>
      <c r="Y1354" s="2" t="s">
        <v>256</v>
      </c>
    </row>
    <row r="1355" spans="2:25">
      <c r="B1355" s="1">
        <v>46168</v>
      </c>
      <c r="C1355" s="2">
        <v>1268</v>
      </c>
      <c r="D1355" s="2">
        <v>157</v>
      </c>
      <c r="E1355" s="2" t="s">
        <v>255</v>
      </c>
      <c r="V1355" s="3">
        <v>46007</v>
      </c>
      <c r="W1355" s="215">
        <v>262</v>
      </c>
      <c r="X1355" s="215">
        <v>213</v>
      </c>
      <c r="Y1355" s="2" t="s">
        <v>256</v>
      </c>
    </row>
    <row r="1356" spans="2:25">
      <c r="B1356" s="1">
        <v>46168</v>
      </c>
      <c r="C1356" s="2">
        <v>397</v>
      </c>
      <c r="D1356" s="2">
        <v>157</v>
      </c>
      <c r="E1356" s="2" t="s">
        <v>255</v>
      </c>
      <c r="V1356" s="3">
        <v>46007</v>
      </c>
      <c r="W1356" s="2">
        <v>261</v>
      </c>
      <c r="X1356" s="2">
        <v>234</v>
      </c>
      <c r="Y1356" s="2" t="s">
        <v>256</v>
      </c>
    </row>
    <row r="1357" spans="2:25">
      <c r="B1357" s="1">
        <v>46168</v>
      </c>
      <c r="C1357" s="2">
        <v>295</v>
      </c>
      <c r="D1357" s="2">
        <v>157</v>
      </c>
      <c r="E1357" s="2" t="s">
        <v>255</v>
      </c>
      <c r="V1357" s="3">
        <v>46007</v>
      </c>
      <c r="W1357" s="215">
        <v>255</v>
      </c>
      <c r="X1357" s="215">
        <v>193</v>
      </c>
      <c r="Y1357" s="2" t="s">
        <v>256</v>
      </c>
    </row>
    <row r="1358" spans="2:25">
      <c r="B1358" s="1">
        <v>46168</v>
      </c>
      <c r="C1358" s="2">
        <v>1450</v>
      </c>
      <c r="D1358" s="2">
        <v>156</v>
      </c>
      <c r="E1358" s="2" t="s">
        <v>255</v>
      </c>
      <c r="V1358" s="3">
        <v>46007</v>
      </c>
      <c r="W1358" s="215">
        <v>254</v>
      </c>
      <c r="X1358" s="215">
        <v>225</v>
      </c>
      <c r="Y1358" s="2" t="s">
        <v>256</v>
      </c>
    </row>
    <row r="1359" spans="2:25">
      <c r="B1359" s="1">
        <v>46168</v>
      </c>
      <c r="C1359" s="2">
        <v>1390</v>
      </c>
      <c r="D1359" s="2">
        <v>156</v>
      </c>
      <c r="E1359" s="2" t="s">
        <v>255</v>
      </c>
      <c r="V1359" s="3">
        <v>46007</v>
      </c>
      <c r="W1359" s="2">
        <v>253</v>
      </c>
      <c r="X1359" s="2">
        <v>210</v>
      </c>
      <c r="Y1359" s="2" t="s">
        <v>256</v>
      </c>
    </row>
    <row r="1360" spans="2:25">
      <c r="B1360" s="1">
        <v>46168</v>
      </c>
      <c r="C1360" s="2">
        <v>1330</v>
      </c>
      <c r="D1360" s="2">
        <v>156</v>
      </c>
      <c r="E1360" s="2" t="s">
        <v>255</v>
      </c>
      <c r="V1360" s="3">
        <v>46007</v>
      </c>
      <c r="W1360" s="215">
        <v>249</v>
      </c>
      <c r="X1360" s="215">
        <v>233</v>
      </c>
      <c r="Y1360" s="2" t="s">
        <v>256</v>
      </c>
    </row>
    <row r="1361" spans="2:25">
      <c r="B1361" s="1">
        <v>46168</v>
      </c>
      <c r="C1361" s="2">
        <v>287</v>
      </c>
      <c r="D1361" s="2">
        <v>156</v>
      </c>
      <c r="E1361" s="2" t="s">
        <v>255</v>
      </c>
      <c r="V1361" s="3">
        <v>46007</v>
      </c>
      <c r="W1361" s="215">
        <v>244</v>
      </c>
      <c r="X1361" s="215">
        <v>285</v>
      </c>
      <c r="Y1361" s="2" t="s">
        <v>256</v>
      </c>
    </row>
    <row r="1362" spans="2:25">
      <c r="B1362" s="1">
        <v>46168</v>
      </c>
      <c r="C1362" s="2">
        <v>257</v>
      </c>
      <c r="D1362" s="2">
        <v>156</v>
      </c>
      <c r="E1362" s="2" t="s">
        <v>255</v>
      </c>
      <c r="V1362" s="3">
        <v>46007</v>
      </c>
      <c r="W1362" s="215">
        <v>243</v>
      </c>
      <c r="X1362" s="215">
        <v>302</v>
      </c>
      <c r="Y1362" s="2" t="s">
        <v>256</v>
      </c>
    </row>
    <row r="1363" spans="2:25">
      <c r="B1363" s="1">
        <v>46168</v>
      </c>
      <c r="C1363" s="2">
        <v>212</v>
      </c>
      <c r="D1363" s="2">
        <v>156</v>
      </c>
      <c r="E1363" s="2" t="s">
        <v>255</v>
      </c>
      <c r="V1363" s="3">
        <v>46007</v>
      </c>
      <c r="W1363" s="215">
        <v>242</v>
      </c>
      <c r="X1363" s="215">
        <v>249</v>
      </c>
      <c r="Y1363" s="2" t="s">
        <v>256</v>
      </c>
    </row>
    <row r="1364" spans="2:25">
      <c r="B1364" s="1">
        <v>46168</v>
      </c>
      <c r="C1364" s="2">
        <v>163</v>
      </c>
      <c r="D1364" s="2">
        <v>156</v>
      </c>
      <c r="E1364" s="2" t="s">
        <v>255</v>
      </c>
      <c r="V1364" s="3">
        <v>46007</v>
      </c>
      <c r="W1364" s="2">
        <v>241</v>
      </c>
      <c r="X1364" s="2">
        <v>260</v>
      </c>
      <c r="Y1364" s="2" t="s">
        <v>256</v>
      </c>
    </row>
    <row r="1365" spans="2:25">
      <c r="B1365" s="1">
        <v>46168</v>
      </c>
      <c r="C1365" s="2">
        <v>1466</v>
      </c>
      <c r="D1365" s="2">
        <v>155</v>
      </c>
      <c r="E1365" s="2" t="s">
        <v>255</v>
      </c>
      <c r="V1365" s="3">
        <v>46007</v>
      </c>
      <c r="W1365" s="215">
        <v>240</v>
      </c>
      <c r="X1365" s="215">
        <v>282</v>
      </c>
      <c r="Y1365" s="2" t="s">
        <v>256</v>
      </c>
    </row>
    <row r="1366" spans="2:25">
      <c r="B1366" s="1">
        <v>46168</v>
      </c>
      <c r="C1366" s="2">
        <v>1453</v>
      </c>
      <c r="D1366" s="2">
        <v>155</v>
      </c>
      <c r="E1366" s="2" t="s">
        <v>255</v>
      </c>
      <c r="V1366" s="3">
        <v>46007</v>
      </c>
      <c r="W1366" s="215">
        <v>239</v>
      </c>
      <c r="X1366" s="215">
        <v>257</v>
      </c>
      <c r="Y1366" s="2" t="s">
        <v>256</v>
      </c>
    </row>
    <row r="1367" spans="2:25">
      <c r="B1367" s="1">
        <v>46168</v>
      </c>
      <c r="C1367" s="2">
        <v>1451</v>
      </c>
      <c r="D1367" s="2">
        <v>155</v>
      </c>
      <c r="E1367" s="2" t="s">
        <v>255</v>
      </c>
      <c r="V1367" s="3">
        <v>46007</v>
      </c>
      <c r="W1367" s="215">
        <v>238</v>
      </c>
      <c r="X1367" s="215">
        <v>227</v>
      </c>
      <c r="Y1367" s="2" t="s">
        <v>256</v>
      </c>
    </row>
    <row r="1368" spans="2:25">
      <c r="B1368" s="1">
        <v>46168</v>
      </c>
      <c r="C1368" s="2">
        <v>1293</v>
      </c>
      <c r="D1368" s="2">
        <v>155</v>
      </c>
      <c r="E1368" s="2" t="s">
        <v>255</v>
      </c>
      <c r="V1368" s="3">
        <v>46007</v>
      </c>
      <c r="W1368" s="2">
        <v>237</v>
      </c>
      <c r="X1368" s="2">
        <v>229</v>
      </c>
      <c r="Y1368" s="2" t="s">
        <v>256</v>
      </c>
    </row>
    <row r="1369" spans="2:25">
      <c r="B1369" s="1">
        <v>46168</v>
      </c>
      <c r="C1369" s="2">
        <v>1287</v>
      </c>
      <c r="D1369" s="2">
        <v>155</v>
      </c>
      <c r="E1369" s="2" t="s">
        <v>255</v>
      </c>
      <c r="V1369" s="3">
        <v>46007</v>
      </c>
      <c r="W1369" s="215">
        <v>235</v>
      </c>
      <c r="X1369" s="215">
        <v>295</v>
      </c>
      <c r="Y1369" s="2" t="s">
        <v>256</v>
      </c>
    </row>
    <row r="1370" spans="2:25">
      <c r="B1370" s="1">
        <v>46168</v>
      </c>
      <c r="C1370" s="2">
        <v>280</v>
      </c>
      <c r="D1370" s="2">
        <v>155</v>
      </c>
      <c r="E1370" s="2" t="s">
        <v>255</v>
      </c>
      <c r="V1370" s="3">
        <v>46007</v>
      </c>
      <c r="W1370" s="2">
        <v>234</v>
      </c>
      <c r="X1370" s="2">
        <v>217</v>
      </c>
      <c r="Y1370" s="2" t="s">
        <v>256</v>
      </c>
    </row>
    <row r="1371" spans="2:25">
      <c r="B1371" s="1">
        <v>46168</v>
      </c>
      <c r="C1371" s="2">
        <v>233</v>
      </c>
      <c r="D1371" s="2">
        <v>155</v>
      </c>
      <c r="E1371" s="2" t="s">
        <v>255</v>
      </c>
      <c r="V1371" s="3">
        <v>46007</v>
      </c>
      <c r="W1371" s="215">
        <v>232</v>
      </c>
      <c r="X1371" s="215">
        <v>244</v>
      </c>
      <c r="Y1371" s="2" t="s">
        <v>256</v>
      </c>
    </row>
    <row r="1372" spans="2:25">
      <c r="B1372" s="1">
        <v>46168</v>
      </c>
      <c r="C1372" s="2">
        <v>186</v>
      </c>
      <c r="D1372" s="2">
        <v>155</v>
      </c>
      <c r="E1372" s="2" t="s">
        <v>255</v>
      </c>
      <c r="V1372" s="3">
        <v>46007</v>
      </c>
      <c r="W1372" s="2">
        <v>231</v>
      </c>
      <c r="X1372" s="2">
        <v>268</v>
      </c>
      <c r="Y1372" s="2" t="s">
        <v>256</v>
      </c>
    </row>
    <row r="1373" spans="2:25">
      <c r="B1373" s="1">
        <v>46168</v>
      </c>
      <c r="C1373" s="2">
        <v>174</v>
      </c>
      <c r="D1373" s="2">
        <v>155</v>
      </c>
      <c r="E1373" s="2" t="s">
        <v>255</v>
      </c>
      <c r="V1373" s="3">
        <v>46007</v>
      </c>
      <c r="W1373" s="2">
        <v>230</v>
      </c>
      <c r="X1373" s="2">
        <v>268</v>
      </c>
      <c r="Y1373" s="2" t="s">
        <v>256</v>
      </c>
    </row>
    <row r="1374" spans="2:25">
      <c r="B1374" s="1">
        <v>46168</v>
      </c>
      <c r="C1374" s="2">
        <v>157</v>
      </c>
      <c r="D1374" s="2">
        <v>155</v>
      </c>
      <c r="E1374" s="2" t="s">
        <v>255</v>
      </c>
      <c r="V1374" s="3">
        <v>46007</v>
      </c>
      <c r="W1374" s="215">
        <v>229</v>
      </c>
      <c r="X1374" s="215">
        <v>183</v>
      </c>
      <c r="Y1374" s="2" t="s">
        <v>256</v>
      </c>
    </row>
    <row r="1375" spans="2:25">
      <c r="B1375" s="1">
        <v>46168</v>
      </c>
      <c r="C1375" s="2">
        <v>113</v>
      </c>
      <c r="D1375" s="2">
        <v>155</v>
      </c>
      <c r="E1375" s="2" t="s">
        <v>255</v>
      </c>
      <c r="V1375" s="3">
        <v>46007</v>
      </c>
      <c r="W1375" s="2">
        <v>228</v>
      </c>
      <c r="X1375" s="2">
        <v>227</v>
      </c>
      <c r="Y1375" s="2" t="s">
        <v>256</v>
      </c>
    </row>
    <row r="1376" spans="2:25">
      <c r="B1376" s="1">
        <v>46168</v>
      </c>
      <c r="C1376" s="2">
        <v>1522</v>
      </c>
      <c r="D1376" s="2">
        <v>154</v>
      </c>
      <c r="E1376" s="2" t="s">
        <v>255</v>
      </c>
      <c r="V1376" s="3">
        <v>46007</v>
      </c>
      <c r="W1376" s="215">
        <v>227</v>
      </c>
      <c r="X1376" s="215">
        <v>244</v>
      </c>
      <c r="Y1376" s="2" t="s">
        <v>256</v>
      </c>
    </row>
    <row r="1377" spans="2:25">
      <c r="B1377" s="1">
        <v>46168</v>
      </c>
      <c r="C1377" s="2">
        <v>1308</v>
      </c>
      <c r="D1377" s="2">
        <v>154</v>
      </c>
      <c r="E1377" s="2" t="s">
        <v>255</v>
      </c>
      <c r="V1377" s="3">
        <v>46007</v>
      </c>
      <c r="W1377" s="215">
        <v>225</v>
      </c>
      <c r="X1377" s="215">
        <v>224</v>
      </c>
      <c r="Y1377" s="2" t="s">
        <v>256</v>
      </c>
    </row>
    <row r="1378" spans="2:25">
      <c r="B1378" s="1">
        <v>46168</v>
      </c>
      <c r="C1378" s="2">
        <v>1299</v>
      </c>
      <c r="D1378" s="2">
        <v>154</v>
      </c>
      <c r="E1378" s="2" t="s">
        <v>255</v>
      </c>
      <c r="V1378" s="3">
        <v>46007</v>
      </c>
      <c r="W1378" s="215">
        <v>221</v>
      </c>
      <c r="X1378" s="215">
        <v>190</v>
      </c>
      <c r="Y1378" s="2" t="s">
        <v>256</v>
      </c>
    </row>
    <row r="1379" spans="2:25">
      <c r="B1379" s="1">
        <v>46168</v>
      </c>
      <c r="C1379" s="2">
        <v>564</v>
      </c>
      <c r="D1379" s="2">
        <v>154</v>
      </c>
      <c r="E1379" s="2" t="s">
        <v>255</v>
      </c>
      <c r="V1379" s="3">
        <v>46007</v>
      </c>
      <c r="W1379" s="2">
        <v>220</v>
      </c>
      <c r="X1379" s="2">
        <v>272</v>
      </c>
      <c r="Y1379" s="2" t="s">
        <v>256</v>
      </c>
    </row>
    <row r="1380" spans="2:25">
      <c r="B1380" s="1">
        <v>46168</v>
      </c>
      <c r="C1380" s="2">
        <v>253</v>
      </c>
      <c r="D1380" s="2">
        <v>154</v>
      </c>
      <c r="E1380" s="2" t="s">
        <v>255</v>
      </c>
      <c r="V1380" s="3">
        <v>46007</v>
      </c>
      <c r="W1380" s="2">
        <v>219</v>
      </c>
      <c r="X1380" s="2">
        <v>260</v>
      </c>
      <c r="Y1380" s="2" t="s">
        <v>256</v>
      </c>
    </row>
    <row r="1381" spans="2:25">
      <c r="B1381" s="1">
        <v>46168</v>
      </c>
      <c r="C1381" s="2">
        <v>1494</v>
      </c>
      <c r="D1381" s="2">
        <v>153</v>
      </c>
      <c r="E1381" s="2" t="s">
        <v>255</v>
      </c>
      <c r="V1381" s="3">
        <v>46007</v>
      </c>
      <c r="W1381" s="215">
        <v>218</v>
      </c>
      <c r="X1381" s="215">
        <v>212</v>
      </c>
      <c r="Y1381" s="2" t="s">
        <v>256</v>
      </c>
    </row>
    <row r="1382" spans="2:25">
      <c r="B1382" s="1">
        <v>46168</v>
      </c>
      <c r="C1382" s="2">
        <v>1399</v>
      </c>
      <c r="D1382" s="2">
        <v>153</v>
      </c>
      <c r="E1382" s="2" t="s">
        <v>255</v>
      </c>
      <c r="V1382" s="3">
        <v>46007</v>
      </c>
      <c r="W1382" s="2">
        <v>215</v>
      </c>
      <c r="X1382" s="2">
        <v>216</v>
      </c>
      <c r="Y1382" s="2" t="s">
        <v>256</v>
      </c>
    </row>
    <row r="1383" spans="2:25">
      <c r="B1383" s="1">
        <v>46168</v>
      </c>
      <c r="C1383" s="2">
        <v>1391</v>
      </c>
      <c r="D1383" s="2">
        <v>153</v>
      </c>
      <c r="E1383" s="2" t="s">
        <v>255</v>
      </c>
      <c r="V1383" s="3">
        <v>46007</v>
      </c>
      <c r="W1383" s="2">
        <v>213</v>
      </c>
      <c r="X1383" s="2">
        <v>202</v>
      </c>
      <c r="Y1383" s="2" t="s">
        <v>256</v>
      </c>
    </row>
    <row r="1384" spans="2:25">
      <c r="B1384" s="1">
        <v>46168</v>
      </c>
      <c r="C1384" s="2">
        <v>1380</v>
      </c>
      <c r="D1384" s="2">
        <v>153</v>
      </c>
      <c r="E1384" s="2" t="s">
        <v>255</v>
      </c>
      <c r="V1384" s="3">
        <v>46007</v>
      </c>
      <c r="W1384" s="215">
        <v>212</v>
      </c>
      <c r="X1384" s="215">
        <v>212</v>
      </c>
      <c r="Y1384" s="2" t="s">
        <v>256</v>
      </c>
    </row>
    <row r="1385" spans="2:25">
      <c r="B1385" s="1">
        <v>46168</v>
      </c>
      <c r="C1385" s="2">
        <v>1362</v>
      </c>
      <c r="D1385" s="2">
        <v>153</v>
      </c>
      <c r="E1385" s="2" t="s">
        <v>255</v>
      </c>
      <c r="V1385" s="3">
        <v>46007</v>
      </c>
      <c r="W1385" s="215">
        <v>211</v>
      </c>
      <c r="X1385" s="215">
        <v>265</v>
      </c>
      <c r="Y1385" s="2" t="s">
        <v>256</v>
      </c>
    </row>
    <row r="1386" spans="2:25">
      <c r="B1386" s="1">
        <v>46168</v>
      </c>
      <c r="C1386" s="2">
        <v>1312</v>
      </c>
      <c r="D1386" s="2">
        <v>153</v>
      </c>
      <c r="E1386" s="2" t="s">
        <v>255</v>
      </c>
      <c r="V1386" s="3">
        <v>46007</v>
      </c>
      <c r="W1386" s="215">
        <v>207</v>
      </c>
      <c r="X1386" s="215">
        <v>270</v>
      </c>
      <c r="Y1386" s="2" t="s">
        <v>256</v>
      </c>
    </row>
    <row r="1387" spans="2:25">
      <c r="B1387" s="1">
        <v>46168</v>
      </c>
      <c r="C1387" s="2">
        <v>296</v>
      </c>
      <c r="D1387" s="2">
        <v>153</v>
      </c>
      <c r="E1387" s="2" t="s">
        <v>255</v>
      </c>
      <c r="V1387" s="3">
        <v>46007</v>
      </c>
      <c r="W1387" s="215">
        <v>205</v>
      </c>
      <c r="X1387" s="215">
        <v>255</v>
      </c>
      <c r="Y1387" s="2" t="s">
        <v>256</v>
      </c>
    </row>
    <row r="1388" spans="2:25">
      <c r="B1388" s="1">
        <v>46168</v>
      </c>
      <c r="C1388" s="2">
        <v>222</v>
      </c>
      <c r="D1388" s="2">
        <v>153</v>
      </c>
      <c r="E1388" s="2" t="s">
        <v>255</v>
      </c>
      <c r="V1388" s="3">
        <v>46007</v>
      </c>
      <c r="W1388" s="215">
        <v>204</v>
      </c>
      <c r="X1388" s="215">
        <v>229</v>
      </c>
      <c r="Y1388" s="2" t="s">
        <v>256</v>
      </c>
    </row>
    <row r="1389" spans="2:25">
      <c r="B1389" s="1">
        <v>46168</v>
      </c>
      <c r="C1389" s="2">
        <v>1527</v>
      </c>
      <c r="D1389" s="2">
        <v>152</v>
      </c>
      <c r="E1389" s="2" t="s">
        <v>255</v>
      </c>
      <c r="V1389" s="3">
        <v>46007</v>
      </c>
      <c r="W1389" s="215">
        <v>203</v>
      </c>
      <c r="X1389" s="215">
        <v>207</v>
      </c>
      <c r="Y1389" s="2" t="s">
        <v>256</v>
      </c>
    </row>
    <row r="1390" spans="2:25">
      <c r="B1390" s="1">
        <v>46168</v>
      </c>
      <c r="C1390" s="2">
        <v>1518</v>
      </c>
      <c r="D1390" s="2">
        <v>152</v>
      </c>
      <c r="E1390" s="2" t="s">
        <v>255</v>
      </c>
      <c r="V1390" s="3">
        <v>46007</v>
      </c>
      <c r="W1390" s="215">
        <v>202</v>
      </c>
      <c r="X1390" s="215">
        <v>195</v>
      </c>
      <c r="Y1390" s="2" t="s">
        <v>256</v>
      </c>
    </row>
    <row r="1391" spans="2:25">
      <c r="B1391" s="1">
        <v>46168</v>
      </c>
      <c r="C1391" s="2">
        <v>1431</v>
      </c>
      <c r="D1391" s="2">
        <v>152</v>
      </c>
      <c r="E1391" s="2" t="s">
        <v>255</v>
      </c>
      <c r="V1391" s="3">
        <v>46007</v>
      </c>
      <c r="W1391" s="2">
        <v>201</v>
      </c>
      <c r="X1391" s="2">
        <v>266</v>
      </c>
      <c r="Y1391" s="2" t="s">
        <v>256</v>
      </c>
    </row>
    <row r="1392" spans="2:25">
      <c r="B1392" s="1">
        <v>46168</v>
      </c>
      <c r="C1392" s="2">
        <v>1421</v>
      </c>
      <c r="D1392" s="2">
        <v>152</v>
      </c>
      <c r="E1392" s="2" t="s">
        <v>255</v>
      </c>
      <c r="V1392" s="3">
        <v>46007</v>
      </c>
      <c r="W1392" s="2">
        <v>200</v>
      </c>
      <c r="X1392" s="2">
        <v>194</v>
      </c>
      <c r="Y1392" s="2" t="s">
        <v>256</v>
      </c>
    </row>
    <row r="1393" spans="2:25">
      <c r="B1393" s="1">
        <v>46168</v>
      </c>
      <c r="C1393" s="2">
        <v>1498</v>
      </c>
      <c r="D1393" s="2">
        <v>151</v>
      </c>
      <c r="E1393" s="2" t="s">
        <v>255</v>
      </c>
      <c r="V1393" s="3">
        <v>46007</v>
      </c>
      <c r="W1393" s="2">
        <v>198</v>
      </c>
      <c r="X1393" s="2">
        <v>230</v>
      </c>
      <c r="Y1393" s="2" t="s">
        <v>256</v>
      </c>
    </row>
    <row r="1394" spans="2:25">
      <c r="B1394" s="1">
        <v>46168</v>
      </c>
      <c r="C1394" s="2">
        <v>1388</v>
      </c>
      <c r="D1394" s="2">
        <v>151</v>
      </c>
      <c r="E1394" s="2" t="s">
        <v>255</v>
      </c>
      <c r="V1394" s="3">
        <v>46007</v>
      </c>
      <c r="W1394" s="215">
        <v>197</v>
      </c>
      <c r="X1394" s="215">
        <v>190</v>
      </c>
      <c r="Y1394" s="2" t="s">
        <v>256</v>
      </c>
    </row>
    <row r="1395" spans="2:25">
      <c r="B1395" s="1">
        <v>46168</v>
      </c>
      <c r="C1395" s="2">
        <v>1368</v>
      </c>
      <c r="D1395" s="2">
        <v>151</v>
      </c>
      <c r="E1395" s="2" t="s">
        <v>255</v>
      </c>
      <c r="V1395" s="3">
        <v>46007</v>
      </c>
      <c r="W1395" s="215">
        <v>195</v>
      </c>
      <c r="X1395" s="215">
        <v>197</v>
      </c>
      <c r="Y1395" s="2" t="s">
        <v>256</v>
      </c>
    </row>
    <row r="1396" spans="2:25">
      <c r="B1396" s="1">
        <v>46168</v>
      </c>
      <c r="C1396" s="2">
        <v>1364</v>
      </c>
      <c r="D1396" s="2">
        <v>151</v>
      </c>
      <c r="E1396" s="2" t="s">
        <v>255</v>
      </c>
      <c r="V1396" s="3">
        <v>46007</v>
      </c>
      <c r="W1396" s="215">
        <v>194</v>
      </c>
      <c r="X1396" s="215">
        <v>223</v>
      </c>
      <c r="Y1396" s="2" t="s">
        <v>256</v>
      </c>
    </row>
    <row r="1397" spans="2:25">
      <c r="B1397" s="1">
        <v>46168</v>
      </c>
      <c r="C1397" s="2">
        <v>1349</v>
      </c>
      <c r="D1397" s="2">
        <v>151</v>
      </c>
      <c r="E1397" s="2" t="s">
        <v>255</v>
      </c>
      <c r="V1397" s="3">
        <v>46007</v>
      </c>
      <c r="W1397" s="215">
        <v>193</v>
      </c>
      <c r="X1397" s="215">
        <v>266</v>
      </c>
      <c r="Y1397" s="2" t="s">
        <v>256</v>
      </c>
    </row>
    <row r="1398" spans="2:25">
      <c r="B1398" s="1">
        <v>46168</v>
      </c>
      <c r="C1398" s="2">
        <v>1309</v>
      </c>
      <c r="D1398" s="2">
        <v>151</v>
      </c>
      <c r="E1398" s="2" t="s">
        <v>255</v>
      </c>
      <c r="V1398" s="3">
        <v>46007</v>
      </c>
      <c r="W1398" s="215">
        <v>192</v>
      </c>
      <c r="X1398" s="215">
        <v>267</v>
      </c>
      <c r="Y1398" s="2" t="s">
        <v>256</v>
      </c>
    </row>
    <row r="1399" spans="2:25">
      <c r="B1399" s="1">
        <v>46168</v>
      </c>
      <c r="C1399" s="2">
        <v>1426</v>
      </c>
      <c r="D1399" s="2">
        <v>150</v>
      </c>
      <c r="E1399" s="2" t="s">
        <v>255</v>
      </c>
      <c r="V1399" s="3">
        <v>46007</v>
      </c>
      <c r="W1399" s="2">
        <v>189</v>
      </c>
      <c r="X1399" s="2">
        <v>270</v>
      </c>
      <c r="Y1399" s="2" t="s">
        <v>256</v>
      </c>
    </row>
    <row r="1400" spans="2:25">
      <c r="B1400" s="1">
        <v>46168</v>
      </c>
      <c r="C1400" s="2">
        <v>1320</v>
      </c>
      <c r="D1400" s="2">
        <v>150</v>
      </c>
      <c r="E1400" s="2" t="s">
        <v>255</v>
      </c>
      <c r="V1400" s="3">
        <v>46007</v>
      </c>
      <c r="W1400" s="215">
        <v>185</v>
      </c>
      <c r="X1400" s="215">
        <v>270</v>
      </c>
      <c r="Y1400" s="2" t="s">
        <v>256</v>
      </c>
    </row>
    <row r="1401" spans="2:25">
      <c r="B1401" s="1">
        <v>46168</v>
      </c>
      <c r="C1401" s="2">
        <v>209</v>
      </c>
      <c r="D1401" s="2">
        <v>150</v>
      </c>
      <c r="E1401" s="2" t="s">
        <v>255</v>
      </c>
      <c r="V1401" s="3">
        <v>46007</v>
      </c>
      <c r="W1401" s="215">
        <v>184</v>
      </c>
      <c r="X1401" s="215">
        <v>225</v>
      </c>
      <c r="Y1401" s="2" t="s">
        <v>256</v>
      </c>
    </row>
    <row r="1402" spans="2:25">
      <c r="B1402" s="1">
        <v>46168</v>
      </c>
      <c r="C1402" s="2">
        <v>197</v>
      </c>
      <c r="D1402" s="2">
        <v>150</v>
      </c>
      <c r="E1402" s="2" t="s">
        <v>255</v>
      </c>
      <c r="V1402" s="3">
        <v>46007</v>
      </c>
      <c r="W1402" s="2">
        <v>178</v>
      </c>
      <c r="X1402" s="2">
        <v>251</v>
      </c>
      <c r="Y1402" s="2" t="s">
        <v>256</v>
      </c>
    </row>
    <row r="1403" spans="2:25">
      <c r="B1403" s="1">
        <v>46168</v>
      </c>
      <c r="C1403" s="2">
        <v>1381</v>
      </c>
      <c r="D1403" s="2">
        <v>149</v>
      </c>
      <c r="E1403" s="2" t="s">
        <v>255</v>
      </c>
      <c r="V1403" s="3">
        <v>46007</v>
      </c>
      <c r="W1403" s="215">
        <v>177</v>
      </c>
      <c r="X1403" s="215">
        <v>223</v>
      </c>
      <c r="Y1403" s="2" t="s">
        <v>256</v>
      </c>
    </row>
    <row r="1404" spans="2:25">
      <c r="B1404" s="1">
        <v>46168</v>
      </c>
      <c r="C1404" s="2">
        <v>1282</v>
      </c>
      <c r="D1404" s="2">
        <v>149</v>
      </c>
      <c r="E1404" s="2" t="s">
        <v>255</v>
      </c>
      <c r="V1404" s="3">
        <v>46007</v>
      </c>
      <c r="W1404" s="215">
        <v>176</v>
      </c>
      <c r="X1404" s="215">
        <v>256</v>
      </c>
      <c r="Y1404" s="2" t="s">
        <v>256</v>
      </c>
    </row>
    <row r="1405" spans="2:25">
      <c r="B1405" s="1">
        <v>46168</v>
      </c>
      <c r="C1405" s="2">
        <v>299</v>
      </c>
      <c r="D1405" s="2">
        <v>149</v>
      </c>
      <c r="E1405" s="2" t="s">
        <v>255</v>
      </c>
      <c r="V1405" s="3">
        <v>46007</v>
      </c>
      <c r="W1405" s="215">
        <v>175</v>
      </c>
      <c r="X1405" s="215">
        <v>200</v>
      </c>
      <c r="Y1405" s="2" t="s">
        <v>256</v>
      </c>
    </row>
    <row r="1406" spans="2:25">
      <c r="B1406" s="1">
        <v>46168</v>
      </c>
      <c r="C1406" s="2">
        <v>161</v>
      </c>
      <c r="D1406" s="2">
        <v>149</v>
      </c>
      <c r="E1406" s="2" t="s">
        <v>255</v>
      </c>
      <c r="V1406" s="3">
        <v>46007</v>
      </c>
      <c r="W1406" s="215">
        <v>174</v>
      </c>
      <c r="X1406" s="215">
        <v>196</v>
      </c>
      <c r="Y1406" s="2" t="s">
        <v>256</v>
      </c>
    </row>
    <row r="1407" spans="2:25">
      <c r="B1407" s="1">
        <v>46168</v>
      </c>
      <c r="C1407" s="2">
        <v>1441</v>
      </c>
      <c r="D1407" s="2">
        <v>148</v>
      </c>
      <c r="E1407" s="2" t="s">
        <v>255</v>
      </c>
      <c r="V1407" s="3">
        <v>46007</v>
      </c>
      <c r="W1407" s="215">
        <v>173</v>
      </c>
      <c r="X1407" s="215">
        <v>203</v>
      </c>
      <c r="Y1407" s="2" t="s">
        <v>256</v>
      </c>
    </row>
    <row r="1408" spans="2:25">
      <c r="B1408" s="1">
        <v>46168</v>
      </c>
      <c r="C1408" s="2">
        <v>1389</v>
      </c>
      <c r="D1408" s="2">
        <v>148</v>
      </c>
      <c r="E1408" s="2" t="s">
        <v>255</v>
      </c>
      <c r="V1408" s="3">
        <v>46007</v>
      </c>
      <c r="W1408" s="215">
        <v>172</v>
      </c>
      <c r="X1408" s="215">
        <v>213</v>
      </c>
      <c r="Y1408" s="2" t="s">
        <v>256</v>
      </c>
    </row>
    <row r="1409" spans="2:25">
      <c r="B1409" s="1">
        <v>46168</v>
      </c>
      <c r="C1409" s="2">
        <v>1294</v>
      </c>
      <c r="D1409" s="2">
        <v>148</v>
      </c>
      <c r="E1409" s="2" t="s">
        <v>255</v>
      </c>
      <c r="V1409" s="3">
        <v>46007</v>
      </c>
      <c r="W1409" s="215">
        <v>171</v>
      </c>
      <c r="X1409" s="215">
        <v>190</v>
      </c>
      <c r="Y1409" s="2" t="s">
        <v>256</v>
      </c>
    </row>
    <row r="1410" spans="2:25">
      <c r="B1410" s="1">
        <v>46168</v>
      </c>
      <c r="C1410" s="2">
        <v>123</v>
      </c>
      <c r="D1410" s="2">
        <v>148</v>
      </c>
      <c r="E1410" s="2" t="s">
        <v>255</v>
      </c>
      <c r="V1410" s="3">
        <v>46007</v>
      </c>
      <c r="W1410" s="215">
        <v>170</v>
      </c>
      <c r="X1410" s="215">
        <v>262</v>
      </c>
      <c r="Y1410" s="2" t="s">
        <v>256</v>
      </c>
    </row>
    <row r="1411" spans="2:25">
      <c r="B1411" s="1">
        <v>46168</v>
      </c>
      <c r="C1411" s="2">
        <v>121</v>
      </c>
      <c r="D1411" s="2">
        <v>148</v>
      </c>
      <c r="E1411" s="2" t="s">
        <v>255</v>
      </c>
      <c r="V1411" s="3">
        <v>46007</v>
      </c>
      <c r="W1411" s="215">
        <v>169</v>
      </c>
      <c r="X1411" s="215">
        <v>256</v>
      </c>
      <c r="Y1411" s="2" t="s">
        <v>256</v>
      </c>
    </row>
    <row r="1412" spans="2:25">
      <c r="B1412" s="1">
        <v>46168</v>
      </c>
      <c r="C1412" s="2">
        <v>1290</v>
      </c>
      <c r="D1412" s="2">
        <v>147</v>
      </c>
      <c r="E1412" s="2" t="s">
        <v>255</v>
      </c>
      <c r="V1412" s="3">
        <v>46007</v>
      </c>
      <c r="W1412" s="215">
        <v>168</v>
      </c>
      <c r="X1412" s="215">
        <v>242</v>
      </c>
      <c r="Y1412" s="2" t="s">
        <v>256</v>
      </c>
    </row>
    <row r="1413" spans="2:25">
      <c r="B1413" s="1">
        <v>46168</v>
      </c>
      <c r="C1413" s="2">
        <v>1460</v>
      </c>
      <c r="D1413" s="2">
        <v>146</v>
      </c>
      <c r="E1413" s="2" t="s">
        <v>255</v>
      </c>
      <c r="V1413" s="3">
        <v>46007</v>
      </c>
      <c r="W1413" s="215">
        <v>166</v>
      </c>
      <c r="X1413" s="215">
        <v>252</v>
      </c>
      <c r="Y1413" s="2" t="s">
        <v>256</v>
      </c>
    </row>
    <row r="1414" spans="2:25">
      <c r="B1414" s="1">
        <v>46168</v>
      </c>
      <c r="C1414" s="2">
        <v>1357</v>
      </c>
      <c r="D1414" s="2">
        <v>146</v>
      </c>
      <c r="E1414" s="2" t="s">
        <v>255</v>
      </c>
      <c r="V1414" s="3">
        <v>46007</v>
      </c>
      <c r="W1414" s="215">
        <v>164</v>
      </c>
      <c r="X1414" s="215">
        <v>207</v>
      </c>
      <c r="Y1414" s="2" t="s">
        <v>256</v>
      </c>
    </row>
    <row r="1415" spans="2:25">
      <c r="B1415" s="1">
        <v>46168</v>
      </c>
      <c r="C1415" s="2">
        <v>1352</v>
      </c>
      <c r="D1415" s="2">
        <v>146</v>
      </c>
      <c r="E1415" s="2" t="s">
        <v>255</v>
      </c>
      <c r="V1415" s="3">
        <v>46007</v>
      </c>
      <c r="W1415" s="215">
        <v>163</v>
      </c>
      <c r="X1415" s="215">
        <v>211</v>
      </c>
      <c r="Y1415" s="2" t="s">
        <v>256</v>
      </c>
    </row>
    <row r="1416" spans="2:25">
      <c r="B1416" s="1">
        <v>46168</v>
      </c>
      <c r="C1416" s="2">
        <v>1333</v>
      </c>
      <c r="D1416" s="2">
        <v>146</v>
      </c>
      <c r="E1416" s="2" t="s">
        <v>255</v>
      </c>
      <c r="V1416" s="3">
        <v>46007</v>
      </c>
      <c r="W1416" s="215">
        <v>162</v>
      </c>
      <c r="X1416" s="215">
        <v>238</v>
      </c>
      <c r="Y1416" s="2" t="s">
        <v>256</v>
      </c>
    </row>
    <row r="1417" spans="2:25">
      <c r="B1417" s="1">
        <v>46168</v>
      </c>
      <c r="C1417" s="2">
        <v>1296</v>
      </c>
      <c r="D1417" s="2">
        <v>146</v>
      </c>
      <c r="E1417" s="2" t="s">
        <v>255</v>
      </c>
      <c r="V1417" s="3">
        <v>46007</v>
      </c>
      <c r="W1417" s="2">
        <v>160</v>
      </c>
      <c r="X1417" s="2">
        <v>332</v>
      </c>
      <c r="Y1417" s="2" t="s">
        <v>256</v>
      </c>
    </row>
    <row r="1418" spans="2:25">
      <c r="B1418" s="1">
        <v>46168</v>
      </c>
      <c r="C1418" s="2">
        <v>267</v>
      </c>
      <c r="D1418" s="2">
        <v>146</v>
      </c>
      <c r="E1418" s="2" t="s">
        <v>255</v>
      </c>
      <c r="V1418" s="3">
        <v>46007</v>
      </c>
      <c r="W1418" s="215">
        <v>160</v>
      </c>
      <c r="X1418" s="215">
        <v>222</v>
      </c>
      <c r="Y1418" s="2" t="s">
        <v>256</v>
      </c>
    </row>
    <row r="1419" spans="2:25">
      <c r="B1419" s="1">
        <v>46168</v>
      </c>
      <c r="C1419" s="2">
        <v>1316</v>
      </c>
      <c r="D1419" s="2">
        <v>145</v>
      </c>
      <c r="E1419" s="2" t="s">
        <v>255</v>
      </c>
      <c r="V1419" s="3">
        <v>46007</v>
      </c>
      <c r="W1419" s="215">
        <v>158</v>
      </c>
      <c r="X1419" s="215">
        <v>214</v>
      </c>
      <c r="Y1419" s="2" t="s">
        <v>256</v>
      </c>
    </row>
    <row r="1420" spans="2:25">
      <c r="B1420" s="1">
        <v>46168</v>
      </c>
      <c r="C1420" s="2">
        <v>1304</v>
      </c>
      <c r="D1420" s="2">
        <v>145</v>
      </c>
      <c r="E1420" s="2" t="s">
        <v>255</v>
      </c>
      <c r="V1420" s="3">
        <v>46007</v>
      </c>
      <c r="W1420" s="215">
        <v>157</v>
      </c>
      <c r="X1420" s="215">
        <v>192</v>
      </c>
      <c r="Y1420" s="2" t="s">
        <v>256</v>
      </c>
    </row>
    <row r="1421" spans="2:25">
      <c r="B1421" s="1">
        <v>46168</v>
      </c>
      <c r="C1421" s="2">
        <v>1512</v>
      </c>
      <c r="D1421" s="2">
        <v>144</v>
      </c>
      <c r="E1421" s="2" t="s">
        <v>255</v>
      </c>
      <c r="V1421" s="3">
        <v>46007</v>
      </c>
      <c r="W1421" s="215">
        <v>156</v>
      </c>
      <c r="X1421" s="215">
        <v>226</v>
      </c>
      <c r="Y1421" s="2" t="s">
        <v>256</v>
      </c>
    </row>
    <row r="1422" spans="2:25">
      <c r="B1422" s="1">
        <v>46168</v>
      </c>
      <c r="C1422" s="2">
        <v>1358</v>
      </c>
      <c r="D1422" s="2">
        <v>144</v>
      </c>
      <c r="E1422" s="2" t="s">
        <v>255</v>
      </c>
      <c r="V1422" s="3">
        <v>46007</v>
      </c>
      <c r="W1422" s="215">
        <v>155</v>
      </c>
      <c r="X1422" s="215">
        <v>286</v>
      </c>
      <c r="Y1422" s="2" t="s">
        <v>256</v>
      </c>
    </row>
    <row r="1423" spans="2:25">
      <c r="B1423" s="1">
        <v>46168</v>
      </c>
      <c r="C1423" s="2">
        <v>1341</v>
      </c>
      <c r="D1423" s="2">
        <v>144</v>
      </c>
      <c r="E1423" s="2" t="s">
        <v>255</v>
      </c>
      <c r="V1423" s="3">
        <v>46007</v>
      </c>
      <c r="W1423" s="215">
        <v>154</v>
      </c>
      <c r="X1423" s="215">
        <v>182</v>
      </c>
      <c r="Y1423" s="2" t="s">
        <v>256</v>
      </c>
    </row>
    <row r="1424" spans="2:25">
      <c r="B1424" s="1">
        <v>46168</v>
      </c>
      <c r="C1424" s="2">
        <v>1338</v>
      </c>
      <c r="D1424" s="2">
        <v>144</v>
      </c>
      <c r="E1424" s="2" t="s">
        <v>255</v>
      </c>
      <c r="V1424" s="3">
        <v>46007</v>
      </c>
      <c r="W1424" s="215">
        <v>153</v>
      </c>
      <c r="X1424" s="215">
        <v>223</v>
      </c>
      <c r="Y1424" s="2" t="s">
        <v>256</v>
      </c>
    </row>
    <row r="1425" spans="2:25">
      <c r="B1425" s="1">
        <v>46168</v>
      </c>
      <c r="C1425" s="2">
        <v>1323</v>
      </c>
      <c r="D1425" s="2">
        <v>144</v>
      </c>
      <c r="E1425" s="2" t="s">
        <v>255</v>
      </c>
      <c r="V1425" s="3">
        <v>46007</v>
      </c>
      <c r="W1425" s="215">
        <v>152</v>
      </c>
      <c r="X1425" s="215">
        <v>221</v>
      </c>
      <c r="Y1425" s="2" t="s">
        <v>256</v>
      </c>
    </row>
    <row r="1426" spans="2:25">
      <c r="B1426" s="1">
        <v>46168</v>
      </c>
      <c r="C1426" s="2">
        <v>1457</v>
      </c>
      <c r="D1426" s="2">
        <v>143</v>
      </c>
      <c r="E1426" s="2" t="s">
        <v>255</v>
      </c>
      <c r="V1426" s="3">
        <v>46007</v>
      </c>
      <c r="W1426" s="215">
        <v>151</v>
      </c>
      <c r="X1426" s="215">
        <v>231</v>
      </c>
      <c r="Y1426" s="2" t="s">
        <v>256</v>
      </c>
    </row>
    <row r="1427" spans="2:25">
      <c r="B1427" s="1">
        <v>46168</v>
      </c>
      <c r="C1427" s="2">
        <v>1415</v>
      </c>
      <c r="D1427" s="2">
        <v>142</v>
      </c>
      <c r="E1427" s="2" t="s">
        <v>255</v>
      </c>
      <c r="V1427" s="3">
        <v>46007</v>
      </c>
      <c r="W1427" s="215">
        <v>150</v>
      </c>
      <c r="X1427" s="215">
        <v>233</v>
      </c>
      <c r="Y1427" s="2" t="s">
        <v>256</v>
      </c>
    </row>
    <row r="1428" spans="2:25">
      <c r="B1428" s="1">
        <v>46168</v>
      </c>
      <c r="C1428" s="2">
        <v>1277</v>
      </c>
      <c r="D1428" s="2">
        <v>142</v>
      </c>
      <c r="E1428" s="2" t="s">
        <v>255</v>
      </c>
      <c r="V1428" s="3">
        <v>46007</v>
      </c>
      <c r="W1428" s="215">
        <v>149</v>
      </c>
      <c r="X1428" s="215">
        <v>243</v>
      </c>
      <c r="Y1428" s="2" t="s">
        <v>256</v>
      </c>
    </row>
    <row r="1429" spans="2:25">
      <c r="B1429" s="1">
        <v>46168</v>
      </c>
      <c r="C1429" s="2">
        <v>1458</v>
      </c>
      <c r="D1429" s="2">
        <v>141</v>
      </c>
      <c r="E1429" s="2" t="s">
        <v>255</v>
      </c>
      <c r="V1429" s="3">
        <v>46007</v>
      </c>
      <c r="W1429" s="215">
        <v>147</v>
      </c>
      <c r="X1429" s="215">
        <v>254</v>
      </c>
      <c r="Y1429" s="2" t="s">
        <v>256</v>
      </c>
    </row>
    <row r="1430" spans="2:25">
      <c r="B1430" s="1">
        <v>46168</v>
      </c>
      <c r="C1430" s="2">
        <v>1438</v>
      </c>
      <c r="D1430" s="2">
        <v>141</v>
      </c>
      <c r="E1430" s="2" t="s">
        <v>255</v>
      </c>
      <c r="V1430" s="3">
        <v>46007</v>
      </c>
      <c r="W1430" s="215">
        <v>146</v>
      </c>
      <c r="X1430" s="215">
        <v>220</v>
      </c>
      <c r="Y1430" s="2" t="s">
        <v>256</v>
      </c>
    </row>
    <row r="1431" spans="2:25">
      <c r="B1431" s="1">
        <v>46168</v>
      </c>
      <c r="C1431" s="2">
        <v>1377</v>
      </c>
      <c r="D1431" s="2">
        <v>141</v>
      </c>
      <c r="E1431" s="2" t="s">
        <v>255</v>
      </c>
      <c r="V1431" s="3">
        <v>46007</v>
      </c>
      <c r="W1431" s="215">
        <v>145</v>
      </c>
      <c r="X1431" s="215">
        <v>230</v>
      </c>
      <c r="Y1431" s="2" t="s">
        <v>256</v>
      </c>
    </row>
    <row r="1432" spans="2:25">
      <c r="B1432" s="1">
        <v>46168</v>
      </c>
      <c r="C1432" s="2">
        <v>1306</v>
      </c>
      <c r="D1432" s="2">
        <v>141</v>
      </c>
      <c r="E1432" s="2" t="s">
        <v>255</v>
      </c>
      <c r="V1432" s="3">
        <v>46007</v>
      </c>
      <c r="W1432" s="215">
        <v>144</v>
      </c>
      <c r="X1432" s="215">
        <v>170</v>
      </c>
      <c r="Y1432" s="2" t="s">
        <v>256</v>
      </c>
    </row>
    <row r="1433" spans="2:25">
      <c r="B1433" s="1">
        <v>46168</v>
      </c>
      <c r="C1433" s="2">
        <v>136</v>
      </c>
      <c r="D1433" s="2">
        <v>141</v>
      </c>
      <c r="E1433" s="2" t="s">
        <v>255</v>
      </c>
      <c r="V1433" s="3">
        <v>46007</v>
      </c>
      <c r="W1433" s="215">
        <v>143</v>
      </c>
      <c r="X1433" s="215">
        <v>244</v>
      </c>
      <c r="Y1433" s="2" t="s">
        <v>256</v>
      </c>
    </row>
    <row r="1434" spans="2:25">
      <c r="B1434" s="1">
        <v>46168</v>
      </c>
      <c r="C1434" s="2">
        <v>144</v>
      </c>
      <c r="D1434" s="2">
        <v>140</v>
      </c>
      <c r="E1434" s="2" t="s">
        <v>255</v>
      </c>
      <c r="V1434" s="3">
        <v>46007</v>
      </c>
      <c r="W1434" s="215">
        <v>142</v>
      </c>
      <c r="X1434" s="215">
        <v>202</v>
      </c>
      <c r="Y1434" s="2" t="s">
        <v>256</v>
      </c>
    </row>
    <row r="1435" spans="2:25">
      <c r="B1435" s="1">
        <v>46168</v>
      </c>
      <c r="C1435" s="2">
        <v>1468</v>
      </c>
      <c r="D1435" s="2">
        <v>139</v>
      </c>
      <c r="E1435" s="2" t="s">
        <v>255</v>
      </c>
      <c r="V1435" s="3">
        <v>46007</v>
      </c>
      <c r="W1435" s="2">
        <v>141</v>
      </c>
      <c r="X1435" s="2">
        <v>272</v>
      </c>
      <c r="Y1435" s="2" t="s">
        <v>256</v>
      </c>
    </row>
    <row r="1436" spans="2:25">
      <c r="B1436" s="1">
        <v>46168</v>
      </c>
      <c r="C1436" s="2">
        <v>1442</v>
      </c>
      <c r="D1436" s="2">
        <v>139</v>
      </c>
      <c r="E1436" s="2" t="s">
        <v>255</v>
      </c>
      <c r="V1436" s="3">
        <v>46007</v>
      </c>
      <c r="W1436" s="215">
        <v>140</v>
      </c>
      <c r="X1436" s="215">
        <v>237</v>
      </c>
      <c r="Y1436" s="2" t="s">
        <v>256</v>
      </c>
    </row>
    <row r="1437" spans="2:25">
      <c r="B1437" s="1">
        <v>46168</v>
      </c>
      <c r="C1437" s="2">
        <v>1331</v>
      </c>
      <c r="D1437" s="2">
        <v>139</v>
      </c>
      <c r="E1437" s="2" t="s">
        <v>255</v>
      </c>
      <c r="V1437" s="3">
        <v>46007</v>
      </c>
      <c r="W1437" s="215">
        <v>140</v>
      </c>
      <c r="X1437" s="215">
        <v>185</v>
      </c>
      <c r="Y1437" s="2" t="s">
        <v>256</v>
      </c>
    </row>
    <row r="1438" spans="2:25">
      <c r="B1438" s="1">
        <v>46168</v>
      </c>
      <c r="C1438" s="2">
        <v>116</v>
      </c>
      <c r="D1438" s="2">
        <v>139</v>
      </c>
      <c r="E1438" s="2" t="s">
        <v>255</v>
      </c>
      <c r="V1438" s="3">
        <v>46007</v>
      </c>
      <c r="W1438" s="215">
        <v>139</v>
      </c>
      <c r="X1438" s="215">
        <v>229</v>
      </c>
      <c r="Y1438" s="2" t="s">
        <v>256</v>
      </c>
    </row>
    <row r="1439" spans="2:25">
      <c r="B1439" s="1">
        <v>46168</v>
      </c>
      <c r="C1439" s="2">
        <v>1436</v>
      </c>
      <c r="D1439" s="2">
        <v>138</v>
      </c>
      <c r="E1439" s="2" t="s">
        <v>255</v>
      </c>
      <c r="V1439" s="3">
        <v>46007</v>
      </c>
      <c r="W1439" s="215">
        <v>138</v>
      </c>
      <c r="X1439" s="215">
        <v>216</v>
      </c>
      <c r="Y1439" s="2" t="s">
        <v>256</v>
      </c>
    </row>
    <row r="1440" spans="2:25">
      <c r="B1440" s="1">
        <v>46168</v>
      </c>
      <c r="C1440" s="2">
        <v>1417</v>
      </c>
      <c r="D1440" s="2">
        <v>138</v>
      </c>
      <c r="E1440" s="2" t="s">
        <v>255</v>
      </c>
      <c r="V1440" s="3">
        <v>46007</v>
      </c>
      <c r="W1440" s="215">
        <v>136</v>
      </c>
      <c r="X1440" s="215">
        <v>198</v>
      </c>
      <c r="Y1440" s="2" t="s">
        <v>256</v>
      </c>
    </row>
    <row r="1441" spans="2:25">
      <c r="B1441" s="1">
        <v>46168</v>
      </c>
      <c r="C1441" s="2">
        <v>1387</v>
      </c>
      <c r="D1441" s="2">
        <v>138</v>
      </c>
      <c r="E1441" s="2" t="s">
        <v>255</v>
      </c>
      <c r="V1441" s="3">
        <v>46007</v>
      </c>
      <c r="W1441" s="215">
        <v>135</v>
      </c>
      <c r="X1441" s="215">
        <v>276</v>
      </c>
      <c r="Y1441" s="2" t="s">
        <v>256</v>
      </c>
    </row>
    <row r="1442" spans="2:25">
      <c r="B1442" s="1">
        <v>46168</v>
      </c>
      <c r="C1442" s="2">
        <v>1351</v>
      </c>
      <c r="D1442" s="2">
        <v>138</v>
      </c>
      <c r="E1442" s="2" t="s">
        <v>255</v>
      </c>
      <c r="V1442" s="3">
        <v>46007</v>
      </c>
      <c r="W1442" s="215">
        <v>134</v>
      </c>
      <c r="X1442" s="215">
        <v>252</v>
      </c>
      <c r="Y1442" s="2" t="s">
        <v>256</v>
      </c>
    </row>
    <row r="1443" spans="2:25">
      <c r="B1443" s="1">
        <v>46168</v>
      </c>
      <c r="C1443" s="2">
        <v>129</v>
      </c>
      <c r="D1443" s="2">
        <v>138</v>
      </c>
      <c r="E1443" s="2" t="s">
        <v>255</v>
      </c>
      <c r="V1443" s="3">
        <v>46007</v>
      </c>
      <c r="W1443" s="215">
        <v>132</v>
      </c>
      <c r="X1443" s="215">
        <v>225</v>
      </c>
      <c r="Y1443" s="2" t="s">
        <v>256</v>
      </c>
    </row>
    <row r="1444" spans="2:25">
      <c r="B1444" s="1">
        <v>46168</v>
      </c>
      <c r="C1444" s="2">
        <v>1465</v>
      </c>
      <c r="D1444" s="2">
        <v>137</v>
      </c>
      <c r="E1444" s="2" t="s">
        <v>255</v>
      </c>
      <c r="V1444" s="3">
        <v>46007</v>
      </c>
      <c r="W1444" s="215">
        <v>130</v>
      </c>
      <c r="X1444" s="215">
        <v>277</v>
      </c>
      <c r="Y1444" s="2" t="s">
        <v>256</v>
      </c>
    </row>
    <row r="1445" spans="2:25">
      <c r="B1445" s="1">
        <v>46168</v>
      </c>
      <c r="C1445" s="2">
        <v>1408</v>
      </c>
      <c r="D1445" s="2">
        <v>137</v>
      </c>
      <c r="E1445" s="2" t="s">
        <v>255</v>
      </c>
      <c r="V1445" s="3">
        <v>46007</v>
      </c>
      <c r="W1445" s="215">
        <v>129</v>
      </c>
      <c r="X1445" s="215">
        <v>149</v>
      </c>
      <c r="Y1445" s="2" t="s">
        <v>256</v>
      </c>
    </row>
    <row r="1446" spans="2:25">
      <c r="B1446" s="1">
        <v>46168</v>
      </c>
      <c r="C1446" s="2">
        <v>1369</v>
      </c>
      <c r="D1446" s="2">
        <v>137</v>
      </c>
      <c r="E1446" s="2" t="s">
        <v>255</v>
      </c>
      <c r="V1446" s="3">
        <v>46007</v>
      </c>
      <c r="W1446" s="215">
        <v>128</v>
      </c>
      <c r="X1446" s="215">
        <v>205</v>
      </c>
      <c r="Y1446" s="2" t="s">
        <v>256</v>
      </c>
    </row>
    <row r="1447" spans="2:25">
      <c r="B1447" s="1">
        <v>46168</v>
      </c>
      <c r="C1447" s="2">
        <v>154</v>
      </c>
      <c r="D1447" s="2">
        <v>137</v>
      </c>
      <c r="E1447" s="2" t="s">
        <v>255</v>
      </c>
      <c r="V1447" s="3">
        <v>46007</v>
      </c>
      <c r="W1447" s="215">
        <v>128</v>
      </c>
      <c r="X1447" s="215">
        <v>170</v>
      </c>
      <c r="Y1447" s="2" t="s">
        <v>256</v>
      </c>
    </row>
    <row r="1448" spans="2:25">
      <c r="B1448" s="1">
        <v>46168</v>
      </c>
      <c r="C1448" s="2">
        <v>1511</v>
      </c>
      <c r="D1448" s="2">
        <v>136</v>
      </c>
      <c r="E1448" s="2" t="s">
        <v>255</v>
      </c>
      <c r="V1448" s="3">
        <v>46007</v>
      </c>
      <c r="W1448" s="215">
        <v>127</v>
      </c>
      <c r="X1448" s="215">
        <v>250</v>
      </c>
      <c r="Y1448" s="2" t="s">
        <v>256</v>
      </c>
    </row>
    <row r="1449" spans="2:25">
      <c r="B1449" s="1">
        <v>46168</v>
      </c>
      <c r="C1449" s="2">
        <v>1454</v>
      </c>
      <c r="D1449" s="2">
        <v>136</v>
      </c>
      <c r="E1449" s="2" t="s">
        <v>255</v>
      </c>
      <c r="V1449" s="3">
        <v>46007</v>
      </c>
      <c r="W1449" s="215">
        <v>127</v>
      </c>
      <c r="X1449" s="215">
        <v>277</v>
      </c>
      <c r="Y1449" s="2" t="s">
        <v>256</v>
      </c>
    </row>
    <row r="1450" spans="2:25">
      <c r="B1450" s="1">
        <v>46168</v>
      </c>
      <c r="C1450" s="2">
        <v>1416</v>
      </c>
      <c r="D1450" s="2">
        <v>136</v>
      </c>
      <c r="E1450" s="2" t="s">
        <v>255</v>
      </c>
      <c r="V1450" s="3">
        <v>46007</v>
      </c>
      <c r="W1450" s="215">
        <v>126</v>
      </c>
      <c r="X1450" s="215">
        <v>347</v>
      </c>
      <c r="Y1450" s="2" t="s">
        <v>256</v>
      </c>
    </row>
    <row r="1451" spans="2:25">
      <c r="B1451" s="1">
        <v>46168</v>
      </c>
      <c r="C1451" s="2">
        <v>1376</v>
      </c>
      <c r="D1451" s="2">
        <v>136</v>
      </c>
      <c r="E1451" s="2" t="s">
        <v>255</v>
      </c>
      <c r="V1451" s="3">
        <v>46007</v>
      </c>
      <c r="W1451" s="215">
        <v>125</v>
      </c>
      <c r="X1451" s="215">
        <v>272</v>
      </c>
      <c r="Y1451" s="2" t="s">
        <v>256</v>
      </c>
    </row>
    <row r="1452" spans="2:25">
      <c r="B1452" s="1">
        <v>46168</v>
      </c>
      <c r="C1452" s="2">
        <v>1325</v>
      </c>
      <c r="D1452" s="2">
        <v>136</v>
      </c>
      <c r="E1452" s="2" t="s">
        <v>255</v>
      </c>
      <c r="V1452" s="3">
        <v>46007</v>
      </c>
      <c r="W1452" s="215">
        <v>124</v>
      </c>
      <c r="X1452" s="215">
        <v>216</v>
      </c>
      <c r="Y1452" s="2" t="s">
        <v>256</v>
      </c>
    </row>
    <row r="1453" spans="2:25">
      <c r="B1453" s="1">
        <v>46168</v>
      </c>
      <c r="C1453" s="2">
        <v>1314</v>
      </c>
      <c r="D1453" s="2">
        <v>136</v>
      </c>
      <c r="E1453" s="2" t="s">
        <v>255</v>
      </c>
      <c r="V1453" s="3">
        <v>46007</v>
      </c>
      <c r="W1453" s="215">
        <v>122</v>
      </c>
      <c r="X1453" s="215">
        <v>273</v>
      </c>
      <c r="Y1453" s="2" t="s">
        <v>256</v>
      </c>
    </row>
    <row r="1454" spans="2:25">
      <c r="B1454" s="1">
        <v>46168</v>
      </c>
      <c r="C1454" s="2">
        <v>1463</v>
      </c>
      <c r="D1454" s="2">
        <v>135</v>
      </c>
      <c r="E1454" s="2" t="s">
        <v>255</v>
      </c>
      <c r="V1454" s="3">
        <v>46007</v>
      </c>
      <c r="W1454" s="215">
        <v>121</v>
      </c>
      <c r="X1454" s="215">
        <v>150</v>
      </c>
      <c r="Y1454" s="2" t="s">
        <v>256</v>
      </c>
    </row>
    <row r="1455" spans="2:25">
      <c r="B1455" s="1">
        <v>46168</v>
      </c>
      <c r="C1455" s="2">
        <v>1371</v>
      </c>
      <c r="D1455" s="2">
        <v>135</v>
      </c>
      <c r="E1455" s="2" t="s">
        <v>255</v>
      </c>
      <c r="V1455" s="3">
        <v>46007</v>
      </c>
      <c r="W1455" s="2">
        <v>120</v>
      </c>
      <c r="X1455" s="2">
        <v>494</v>
      </c>
      <c r="Y1455" s="2" t="s">
        <v>256</v>
      </c>
    </row>
    <row r="1456" spans="2:25">
      <c r="B1456" s="1">
        <v>46168</v>
      </c>
      <c r="C1456" s="2">
        <v>1455</v>
      </c>
      <c r="D1456" s="2">
        <v>134</v>
      </c>
      <c r="E1456" s="2" t="s">
        <v>255</v>
      </c>
      <c r="V1456" s="3">
        <v>46007</v>
      </c>
      <c r="W1456" s="215">
        <v>119</v>
      </c>
      <c r="X1456" s="215">
        <v>246</v>
      </c>
      <c r="Y1456" s="2" t="s">
        <v>256</v>
      </c>
    </row>
    <row r="1457" spans="2:25">
      <c r="B1457" s="1">
        <v>46168</v>
      </c>
      <c r="C1457" s="2">
        <v>1324</v>
      </c>
      <c r="D1457" s="2">
        <v>134</v>
      </c>
      <c r="E1457" s="2" t="s">
        <v>255</v>
      </c>
      <c r="V1457" s="3">
        <v>46007</v>
      </c>
      <c r="W1457" s="215">
        <v>118</v>
      </c>
      <c r="X1457" s="215">
        <v>268</v>
      </c>
      <c r="Y1457" s="2" t="s">
        <v>256</v>
      </c>
    </row>
    <row r="1458" spans="2:25">
      <c r="B1458" s="1">
        <v>46168</v>
      </c>
      <c r="C1458" s="2">
        <v>175</v>
      </c>
      <c r="D1458" s="2">
        <v>134</v>
      </c>
      <c r="E1458" s="2" t="s">
        <v>255</v>
      </c>
      <c r="V1458" s="3">
        <v>46007</v>
      </c>
      <c r="W1458" s="215">
        <v>117</v>
      </c>
      <c r="X1458" s="215">
        <v>258</v>
      </c>
      <c r="Y1458" s="2" t="s">
        <v>256</v>
      </c>
    </row>
    <row r="1459" spans="2:25">
      <c r="B1459" s="1">
        <v>46168</v>
      </c>
      <c r="C1459" s="2">
        <v>1503</v>
      </c>
      <c r="D1459" s="2">
        <v>133</v>
      </c>
      <c r="E1459" s="2" t="s">
        <v>255</v>
      </c>
      <c r="V1459" s="3">
        <v>46007</v>
      </c>
      <c r="W1459" s="215">
        <v>115</v>
      </c>
      <c r="X1459" s="215">
        <v>232</v>
      </c>
      <c r="Y1459" s="2" t="s">
        <v>256</v>
      </c>
    </row>
    <row r="1460" spans="2:25">
      <c r="B1460" s="1">
        <v>46168</v>
      </c>
      <c r="C1460" s="2">
        <v>1289</v>
      </c>
      <c r="D1460" s="2">
        <v>133</v>
      </c>
      <c r="E1460" s="2" t="s">
        <v>255</v>
      </c>
      <c r="V1460" s="3">
        <v>46007</v>
      </c>
      <c r="W1460" s="215">
        <v>114</v>
      </c>
      <c r="X1460" s="215">
        <v>265</v>
      </c>
      <c r="Y1460" s="2" t="s">
        <v>256</v>
      </c>
    </row>
    <row r="1461" spans="2:25">
      <c r="B1461" s="1">
        <v>46168</v>
      </c>
      <c r="C1461" s="2">
        <v>1529</v>
      </c>
      <c r="D1461" s="2">
        <v>132</v>
      </c>
      <c r="E1461" s="2" t="s">
        <v>255</v>
      </c>
      <c r="V1461" s="3">
        <v>46007</v>
      </c>
      <c r="W1461" s="215">
        <v>113</v>
      </c>
      <c r="X1461" s="215">
        <v>189</v>
      </c>
      <c r="Y1461" s="2" t="s">
        <v>256</v>
      </c>
    </row>
    <row r="1462" spans="2:25">
      <c r="B1462" s="1">
        <v>46168</v>
      </c>
      <c r="C1462" s="2">
        <v>1379</v>
      </c>
      <c r="D1462" s="2">
        <v>131</v>
      </c>
      <c r="E1462" s="2" t="s">
        <v>255</v>
      </c>
      <c r="V1462" s="3">
        <v>46007</v>
      </c>
      <c r="W1462" s="215">
        <v>112</v>
      </c>
      <c r="X1462" s="215">
        <v>223</v>
      </c>
      <c r="Y1462" s="2" t="s">
        <v>256</v>
      </c>
    </row>
    <row r="1463" spans="2:25">
      <c r="B1463" s="1">
        <v>46168</v>
      </c>
      <c r="C1463" s="2">
        <v>1467</v>
      </c>
      <c r="D1463" s="2">
        <v>130</v>
      </c>
      <c r="E1463" s="2" t="s">
        <v>255</v>
      </c>
      <c r="V1463" s="3">
        <v>46007</v>
      </c>
      <c r="W1463" s="215">
        <v>111</v>
      </c>
      <c r="X1463" s="215">
        <v>252</v>
      </c>
      <c r="Y1463" s="2" t="s">
        <v>256</v>
      </c>
    </row>
    <row r="1464" spans="2:25">
      <c r="B1464" s="1">
        <v>46168</v>
      </c>
      <c r="C1464" s="2">
        <v>1449</v>
      </c>
      <c r="D1464" s="2">
        <v>130</v>
      </c>
      <c r="E1464" s="2" t="s">
        <v>255</v>
      </c>
      <c r="V1464" s="3">
        <v>46007</v>
      </c>
      <c r="W1464" s="215">
        <v>110</v>
      </c>
      <c r="X1464" s="215">
        <v>372</v>
      </c>
      <c r="Y1464" s="2" t="s">
        <v>256</v>
      </c>
    </row>
    <row r="1465" spans="2:25">
      <c r="B1465" s="1">
        <v>46168</v>
      </c>
      <c r="C1465" s="2">
        <v>1343</v>
      </c>
      <c r="D1465" s="2">
        <v>130</v>
      </c>
      <c r="E1465" s="2" t="s">
        <v>255</v>
      </c>
      <c r="V1465" s="3">
        <v>46007</v>
      </c>
      <c r="W1465" s="215">
        <v>108</v>
      </c>
      <c r="X1465" s="215">
        <v>153</v>
      </c>
      <c r="Y1465" s="2" t="s">
        <v>256</v>
      </c>
    </row>
    <row r="1466" spans="2:25">
      <c r="B1466" s="1">
        <v>46168</v>
      </c>
      <c r="C1466" s="2">
        <v>1469</v>
      </c>
      <c r="D1466" s="2">
        <v>129</v>
      </c>
      <c r="E1466" s="2" t="s">
        <v>255</v>
      </c>
      <c r="V1466" s="3">
        <v>46007</v>
      </c>
      <c r="W1466" s="215">
        <v>107</v>
      </c>
      <c r="X1466" s="215">
        <v>227</v>
      </c>
      <c r="Y1466" s="2" t="s">
        <v>256</v>
      </c>
    </row>
    <row r="1467" spans="2:25">
      <c r="B1467" s="1">
        <v>46168</v>
      </c>
      <c r="C1467" s="2">
        <v>1502</v>
      </c>
      <c r="D1467" s="2">
        <v>128</v>
      </c>
      <c r="E1467" s="2" t="s">
        <v>255</v>
      </c>
      <c r="V1467" s="3">
        <v>46007</v>
      </c>
      <c r="W1467" s="215">
        <v>106</v>
      </c>
      <c r="X1467" s="215">
        <v>219</v>
      </c>
      <c r="Y1467" s="2" t="s">
        <v>256</v>
      </c>
    </row>
    <row r="1468" spans="2:25">
      <c r="B1468" s="1">
        <v>46168</v>
      </c>
      <c r="C1468" s="2">
        <v>1446</v>
      </c>
      <c r="D1468" s="2">
        <v>127</v>
      </c>
      <c r="E1468" s="2" t="s">
        <v>255</v>
      </c>
      <c r="V1468" s="3">
        <v>46007</v>
      </c>
      <c r="W1468" s="215">
        <v>106</v>
      </c>
      <c r="X1468" s="215">
        <v>200</v>
      </c>
      <c r="Y1468" s="2" t="s">
        <v>256</v>
      </c>
    </row>
    <row r="1469" spans="2:25">
      <c r="B1469" s="1">
        <v>46168</v>
      </c>
      <c r="C1469" s="2">
        <v>1437</v>
      </c>
      <c r="D1469" s="2">
        <v>127</v>
      </c>
      <c r="E1469" s="2" t="s">
        <v>255</v>
      </c>
      <c r="V1469" s="3">
        <v>46007</v>
      </c>
      <c r="W1469" s="215">
        <v>105</v>
      </c>
      <c r="X1469" s="215">
        <v>294</v>
      </c>
      <c r="Y1469" s="2" t="s">
        <v>256</v>
      </c>
    </row>
    <row r="1470" spans="2:25">
      <c r="B1470" s="1">
        <v>46168</v>
      </c>
      <c r="C1470" s="2">
        <v>1393</v>
      </c>
      <c r="D1470" s="2">
        <v>127</v>
      </c>
      <c r="E1470" s="2" t="s">
        <v>255</v>
      </c>
      <c r="V1470" s="3">
        <v>46007</v>
      </c>
      <c r="W1470" s="215">
        <v>104</v>
      </c>
      <c r="X1470" s="215">
        <v>270</v>
      </c>
      <c r="Y1470" s="2" t="s">
        <v>256</v>
      </c>
    </row>
    <row r="1471" spans="2:25">
      <c r="B1471" s="1">
        <v>46168</v>
      </c>
      <c r="C1471" s="2">
        <v>1386</v>
      </c>
      <c r="D1471" s="2">
        <v>127</v>
      </c>
      <c r="E1471" s="2" t="s">
        <v>255</v>
      </c>
      <c r="V1471" s="3">
        <v>46007</v>
      </c>
      <c r="W1471" s="215">
        <v>103</v>
      </c>
      <c r="X1471" s="215">
        <v>380</v>
      </c>
      <c r="Y1471" s="2" t="s">
        <v>256</v>
      </c>
    </row>
    <row r="1472" spans="2:25">
      <c r="B1472" s="1">
        <v>46168</v>
      </c>
      <c r="C1472" s="2">
        <v>229</v>
      </c>
      <c r="D1472" s="2">
        <v>127</v>
      </c>
      <c r="E1472" s="2" t="s">
        <v>255</v>
      </c>
      <c r="V1472" s="3">
        <v>46007</v>
      </c>
      <c r="W1472" s="215">
        <v>102</v>
      </c>
      <c r="X1472" s="215">
        <v>217</v>
      </c>
      <c r="Y1472" s="2" t="s">
        <v>256</v>
      </c>
    </row>
    <row r="1473" spans="2:25">
      <c r="B1473" s="1">
        <v>46168</v>
      </c>
      <c r="C1473" s="2">
        <v>1445</v>
      </c>
      <c r="D1473" s="2">
        <v>126</v>
      </c>
      <c r="E1473" s="2" t="s">
        <v>255</v>
      </c>
      <c r="V1473" s="3">
        <v>46007</v>
      </c>
      <c r="W1473" s="215">
        <v>101</v>
      </c>
      <c r="X1473" s="215">
        <v>250</v>
      </c>
      <c r="Y1473" s="2" t="s">
        <v>256</v>
      </c>
    </row>
    <row r="1474" spans="2:25">
      <c r="B1474" s="1">
        <v>46168</v>
      </c>
      <c r="C1474" s="2">
        <v>1318</v>
      </c>
      <c r="D1474" s="2">
        <v>125</v>
      </c>
      <c r="E1474" s="2" t="s">
        <v>255</v>
      </c>
      <c r="V1474" s="3">
        <v>46007</v>
      </c>
      <c r="W1474" s="215">
        <v>100</v>
      </c>
      <c r="X1474" s="215">
        <v>183</v>
      </c>
      <c r="Y1474" s="2" t="s">
        <v>256</v>
      </c>
    </row>
    <row r="1475" spans="2:25">
      <c r="B1475" s="1">
        <v>46168</v>
      </c>
      <c r="C1475" s="2">
        <v>1409</v>
      </c>
      <c r="D1475" s="2">
        <v>124</v>
      </c>
      <c r="E1475" s="2" t="s">
        <v>255</v>
      </c>
      <c r="V1475" s="3">
        <v>46007</v>
      </c>
      <c r="W1475" s="215">
        <v>99</v>
      </c>
      <c r="X1475" s="215">
        <v>277</v>
      </c>
      <c r="Y1475" s="2" t="s">
        <v>256</v>
      </c>
    </row>
    <row r="1476" spans="2:25">
      <c r="B1476" s="1">
        <v>46168</v>
      </c>
      <c r="C1476" s="2">
        <v>275</v>
      </c>
      <c r="D1476" s="2">
        <v>124</v>
      </c>
      <c r="E1476" s="2" t="s">
        <v>255</v>
      </c>
      <c r="V1476" s="3">
        <v>46007</v>
      </c>
      <c r="W1476" s="215">
        <v>98</v>
      </c>
      <c r="X1476" s="215">
        <v>267</v>
      </c>
      <c r="Y1476" s="2" t="s">
        <v>256</v>
      </c>
    </row>
    <row r="1477" spans="2:25">
      <c r="B1477" s="1">
        <v>46168</v>
      </c>
      <c r="C1477" s="2">
        <v>1405</v>
      </c>
      <c r="D1477" s="2">
        <v>123</v>
      </c>
      <c r="E1477" s="2" t="s">
        <v>255</v>
      </c>
      <c r="V1477" s="3">
        <v>46007</v>
      </c>
      <c r="W1477" s="215">
        <v>96</v>
      </c>
      <c r="X1477" s="215">
        <v>242</v>
      </c>
      <c r="Y1477" s="2" t="s">
        <v>256</v>
      </c>
    </row>
    <row r="1478" spans="2:25">
      <c r="B1478" s="1">
        <v>46168</v>
      </c>
      <c r="C1478" s="2">
        <v>108</v>
      </c>
      <c r="D1478" s="2">
        <v>123</v>
      </c>
      <c r="E1478" s="2" t="s">
        <v>255</v>
      </c>
      <c r="V1478" s="3">
        <v>46007</v>
      </c>
      <c r="W1478" s="215">
        <v>95</v>
      </c>
      <c r="X1478" s="215">
        <v>272</v>
      </c>
      <c r="Y1478" s="2" t="s">
        <v>256</v>
      </c>
    </row>
    <row r="1479" spans="2:25">
      <c r="B1479" s="1">
        <v>46168</v>
      </c>
      <c r="C1479" s="2">
        <v>1413</v>
      </c>
      <c r="D1479" s="2">
        <v>122</v>
      </c>
      <c r="E1479" s="2" t="s">
        <v>255</v>
      </c>
      <c r="V1479" s="3">
        <v>46007</v>
      </c>
      <c r="W1479" s="215">
        <v>94</v>
      </c>
      <c r="X1479" s="215">
        <v>250</v>
      </c>
      <c r="Y1479" s="2" t="s">
        <v>256</v>
      </c>
    </row>
    <row r="1480" spans="2:25">
      <c r="B1480" s="1">
        <v>46168</v>
      </c>
      <c r="C1480" s="2">
        <v>1385</v>
      </c>
      <c r="D1480" s="2">
        <v>122</v>
      </c>
      <c r="E1480" s="2" t="s">
        <v>255</v>
      </c>
      <c r="V1480" s="3">
        <v>46007</v>
      </c>
      <c r="W1480" s="215">
        <v>93</v>
      </c>
      <c r="X1480" s="215">
        <v>230</v>
      </c>
      <c r="Y1480" s="2" t="s">
        <v>256</v>
      </c>
    </row>
    <row r="1481" spans="2:25">
      <c r="B1481" s="1">
        <v>46168</v>
      </c>
      <c r="C1481" s="2">
        <v>1407</v>
      </c>
      <c r="D1481" s="2">
        <v>121</v>
      </c>
      <c r="E1481" s="2" t="s">
        <v>255</v>
      </c>
      <c r="V1481" s="3">
        <v>46007</v>
      </c>
      <c r="W1481" s="215">
        <v>92</v>
      </c>
      <c r="X1481" s="215">
        <v>254</v>
      </c>
      <c r="Y1481" s="2" t="s">
        <v>256</v>
      </c>
    </row>
    <row r="1482" spans="2:25">
      <c r="B1482" s="1">
        <v>46168</v>
      </c>
      <c r="C1482" s="2">
        <v>1403</v>
      </c>
      <c r="D1482" s="2">
        <v>121</v>
      </c>
      <c r="E1482" s="2" t="s">
        <v>255</v>
      </c>
      <c r="V1482" s="3">
        <v>46007</v>
      </c>
      <c r="W1482" s="215">
        <v>91</v>
      </c>
      <c r="X1482" s="215">
        <v>250</v>
      </c>
      <c r="Y1482" s="2" t="s">
        <v>256</v>
      </c>
    </row>
    <row r="1483" spans="2:25">
      <c r="B1483" s="1">
        <v>46168</v>
      </c>
      <c r="C1483" s="2">
        <v>1461</v>
      </c>
      <c r="D1483" s="2">
        <v>119</v>
      </c>
      <c r="E1483" s="2" t="s">
        <v>255</v>
      </c>
      <c r="V1483" s="3">
        <v>46007</v>
      </c>
      <c r="W1483" s="2">
        <v>90</v>
      </c>
      <c r="X1483" s="2">
        <v>291</v>
      </c>
      <c r="Y1483" s="2" t="s">
        <v>256</v>
      </c>
    </row>
    <row r="1484" spans="2:25">
      <c r="B1484" s="1">
        <v>46168</v>
      </c>
      <c r="C1484" s="2">
        <v>300</v>
      </c>
      <c r="D1484" s="2">
        <v>118</v>
      </c>
      <c r="E1484" s="2" t="s">
        <v>255</v>
      </c>
      <c r="V1484" s="3">
        <v>46007</v>
      </c>
      <c r="W1484" s="215">
        <v>89</v>
      </c>
      <c r="X1484" s="215">
        <v>254</v>
      </c>
      <c r="Y1484" s="2" t="s">
        <v>256</v>
      </c>
    </row>
    <row r="1485" spans="2:25">
      <c r="B1485" s="1">
        <v>46168</v>
      </c>
      <c r="C1485" s="2">
        <v>1459</v>
      </c>
      <c r="D1485" s="2">
        <v>117</v>
      </c>
      <c r="E1485" s="2" t="s">
        <v>255</v>
      </c>
      <c r="V1485" s="3">
        <v>46007</v>
      </c>
      <c r="W1485" s="215">
        <v>88</v>
      </c>
      <c r="X1485" s="215">
        <v>283</v>
      </c>
      <c r="Y1485" s="2" t="s">
        <v>256</v>
      </c>
    </row>
    <row r="1486" spans="2:25">
      <c r="B1486" s="1">
        <v>46168</v>
      </c>
      <c r="C1486" s="2">
        <v>1420</v>
      </c>
      <c r="D1486" s="2">
        <v>117</v>
      </c>
      <c r="E1486" s="2" t="s">
        <v>255</v>
      </c>
      <c r="V1486" s="3">
        <v>46007</v>
      </c>
      <c r="W1486" s="215">
        <v>87</v>
      </c>
      <c r="X1486" s="215">
        <v>213</v>
      </c>
      <c r="Y1486" s="2" t="s">
        <v>256</v>
      </c>
    </row>
    <row r="1487" spans="2:25">
      <c r="B1487" s="1">
        <v>46168</v>
      </c>
      <c r="C1487" s="2">
        <v>1365</v>
      </c>
      <c r="D1487" s="2">
        <v>117</v>
      </c>
      <c r="E1487" s="2" t="s">
        <v>255</v>
      </c>
      <c r="V1487" s="3">
        <v>46007</v>
      </c>
      <c r="W1487" s="215">
        <v>86</v>
      </c>
      <c r="X1487" s="215">
        <v>257</v>
      </c>
      <c r="Y1487" s="2" t="s">
        <v>256</v>
      </c>
    </row>
    <row r="1488" spans="2:25">
      <c r="B1488" s="1">
        <v>46168</v>
      </c>
      <c r="C1488" s="2">
        <v>1402</v>
      </c>
      <c r="D1488" s="2">
        <v>111</v>
      </c>
      <c r="E1488" s="2" t="s">
        <v>255</v>
      </c>
      <c r="V1488" s="3">
        <v>46007</v>
      </c>
      <c r="W1488" s="215">
        <v>84</v>
      </c>
      <c r="X1488" s="215">
        <v>299</v>
      </c>
      <c r="Y1488" s="2" t="s">
        <v>256</v>
      </c>
    </row>
    <row r="1489" spans="2:25">
      <c r="B1489" s="1">
        <v>46168</v>
      </c>
      <c r="C1489" s="2">
        <v>1412</v>
      </c>
      <c r="D1489" s="2">
        <v>81</v>
      </c>
      <c r="E1489" s="2" t="s">
        <v>255</v>
      </c>
      <c r="V1489" s="3">
        <v>46007</v>
      </c>
      <c r="W1489" s="215">
        <v>83</v>
      </c>
      <c r="X1489" s="215">
        <v>238</v>
      </c>
      <c r="Y1489" s="2" t="s">
        <v>256</v>
      </c>
    </row>
    <row r="1490" spans="2:25">
      <c r="C1490" s="2"/>
      <c r="D1490" s="2"/>
      <c r="V1490" s="3">
        <v>46007</v>
      </c>
      <c r="W1490" s="215">
        <v>82</v>
      </c>
      <c r="X1490" s="215">
        <v>243</v>
      </c>
      <c r="Y1490" s="2" t="s">
        <v>256</v>
      </c>
    </row>
    <row r="1491" spans="2:25">
      <c r="C1491" s="2"/>
      <c r="D1491" s="2"/>
      <c r="V1491" s="3">
        <v>46007</v>
      </c>
      <c r="W1491" s="215">
        <v>81</v>
      </c>
      <c r="X1491" s="215">
        <v>224</v>
      </c>
      <c r="Y1491" s="2" t="s">
        <v>256</v>
      </c>
    </row>
    <row r="1492" spans="2:25">
      <c r="C1492" s="2"/>
      <c r="D1492" s="2"/>
      <c r="V1492" s="3">
        <v>46007</v>
      </c>
      <c r="W1492" s="215">
        <v>80</v>
      </c>
      <c r="X1492" s="215">
        <v>202</v>
      </c>
      <c r="Y1492" s="2" t="s">
        <v>256</v>
      </c>
    </row>
    <row r="1493" spans="2:25">
      <c r="C1493" s="2"/>
      <c r="D1493" s="2"/>
      <c r="V1493" s="3">
        <v>46007</v>
      </c>
      <c r="W1493" s="215">
        <v>79</v>
      </c>
      <c r="X1493" s="215">
        <v>321</v>
      </c>
      <c r="Y1493" s="2" t="s">
        <v>256</v>
      </c>
    </row>
    <row r="1494" spans="2:25">
      <c r="C1494" s="2"/>
      <c r="D1494" s="2"/>
      <c r="V1494" s="3">
        <v>46007</v>
      </c>
      <c r="W1494" s="215">
        <v>78</v>
      </c>
      <c r="X1494" s="215">
        <v>239</v>
      </c>
      <c r="Y1494" s="2" t="s">
        <v>256</v>
      </c>
    </row>
    <row r="1495" spans="2:25">
      <c r="C1495" s="2"/>
      <c r="D1495" s="2"/>
      <c r="V1495" s="3">
        <v>46007</v>
      </c>
      <c r="W1495" s="215">
        <v>77</v>
      </c>
      <c r="X1495" s="215">
        <v>221</v>
      </c>
      <c r="Y1495" s="2" t="s">
        <v>256</v>
      </c>
    </row>
    <row r="1496" spans="2:25">
      <c r="C1496" s="2"/>
      <c r="D1496" s="2"/>
      <c r="V1496" s="3">
        <v>46007</v>
      </c>
      <c r="W1496" s="215">
        <v>76</v>
      </c>
      <c r="X1496" s="215">
        <v>295</v>
      </c>
      <c r="Y1496" s="2" t="s">
        <v>256</v>
      </c>
    </row>
    <row r="1497" spans="2:25">
      <c r="C1497" s="2"/>
      <c r="D1497" s="2"/>
      <c r="V1497" s="3">
        <v>46007</v>
      </c>
      <c r="W1497" s="215">
        <v>75</v>
      </c>
      <c r="X1497" s="215">
        <v>306</v>
      </c>
      <c r="Y1497" s="2" t="s">
        <v>256</v>
      </c>
    </row>
    <row r="1498" spans="2:25">
      <c r="C1498" s="2"/>
      <c r="D1498" s="2"/>
      <c r="V1498" s="3">
        <v>46007</v>
      </c>
      <c r="W1498" s="215">
        <v>74</v>
      </c>
      <c r="X1498" s="215">
        <v>244</v>
      </c>
      <c r="Y1498" s="2" t="s">
        <v>256</v>
      </c>
    </row>
    <row r="1499" spans="2:25">
      <c r="C1499" s="2"/>
      <c r="D1499" s="2"/>
      <c r="V1499" s="3">
        <v>46007</v>
      </c>
      <c r="W1499" s="215">
        <v>73</v>
      </c>
      <c r="X1499" s="215">
        <v>214</v>
      </c>
      <c r="Y1499" s="2" t="s">
        <v>256</v>
      </c>
    </row>
    <row r="1500" spans="2:25">
      <c r="C1500" s="2"/>
      <c r="D1500" s="2"/>
      <c r="V1500" s="3">
        <v>46007</v>
      </c>
      <c r="W1500" s="215">
        <v>72</v>
      </c>
      <c r="X1500" s="215">
        <v>220</v>
      </c>
      <c r="Y1500" s="2" t="s">
        <v>256</v>
      </c>
    </row>
    <row r="1501" spans="2:25">
      <c r="C1501" s="2"/>
      <c r="D1501" s="2"/>
      <c r="V1501" s="3">
        <v>46007</v>
      </c>
      <c r="W1501" s="215">
        <v>71</v>
      </c>
      <c r="X1501" s="215">
        <v>261</v>
      </c>
      <c r="Y1501" s="2" t="s">
        <v>256</v>
      </c>
    </row>
    <row r="1502" spans="2:25">
      <c r="C1502" s="2"/>
      <c r="D1502" s="2"/>
      <c r="V1502" s="3">
        <v>46007</v>
      </c>
      <c r="W1502" s="215">
        <v>70</v>
      </c>
      <c r="X1502" s="215">
        <v>243</v>
      </c>
      <c r="Y1502" s="2" t="s">
        <v>256</v>
      </c>
    </row>
    <row r="1503" spans="2:25">
      <c r="C1503" s="2"/>
      <c r="D1503" s="2"/>
      <c r="V1503" s="3">
        <v>46007</v>
      </c>
      <c r="W1503" s="215">
        <v>69</v>
      </c>
      <c r="X1503" s="215">
        <v>248</v>
      </c>
      <c r="Y1503" s="2" t="s">
        <v>256</v>
      </c>
    </row>
    <row r="1504" spans="2:25">
      <c r="C1504" s="2"/>
      <c r="D1504" s="2"/>
      <c r="V1504" s="3">
        <v>46007</v>
      </c>
      <c r="W1504" s="215">
        <v>68</v>
      </c>
      <c r="X1504" s="215">
        <v>245</v>
      </c>
      <c r="Y1504" s="2" t="s">
        <v>256</v>
      </c>
    </row>
    <row r="1505" spans="3:25">
      <c r="C1505" s="2"/>
      <c r="D1505" s="2"/>
      <c r="V1505" s="3">
        <v>46007</v>
      </c>
      <c r="W1505" s="215">
        <v>67</v>
      </c>
      <c r="X1505" s="215">
        <v>243</v>
      </c>
      <c r="Y1505" s="2" t="s">
        <v>256</v>
      </c>
    </row>
    <row r="1506" spans="3:25">
      <c r="C1506" s="2"/>
      <c r="D1506" s="2"/>
      <c r="V1506" s="3">
        <v>46007</v>
      </c>
      <c r="W1506" s="215">
        <v>65</v>
      </c>
      <c r="X1506" s="215">
        <v>274</v>
      </c>
      <c r="Y1506" s="2" t="s">
        <v>256</v>
      </c>
    </row>
    <row r="1507" spans="3:25">
      <c r="C1507" s="2"/>
      <c r="D1507" s="2"/>
      <c r="V1507" s="3">
        <v>46007</v>
      </c>
      <c r="W1507" s="215">
        <v>64</v>
      </c>
      <c r="X1507" s="215">
        <v>289</v>
      </c>
      <c r="Y1507" s="2" t="s">
        <v>256</v>
      </c>
    </row>
    <row r="1508" spans="3:25">
      <c r="C1508" s="2"/>
      <c r="D1508" s="2"/>
      <c r="V1508" s="3">
        <v>46007</v>
      </c>
      <c r="W1508" s="215">
        <v>63</v>
      </c>
      <c r="X1508" s="215">
        <v>255</v>
      </c>
      <c r="Y1508" s="2" t="s">
        <v>256</v>
      </c>
    </row>
    <row r="1509" spans="3:25">
      <c r="C1509" s="2"/>
      <c r="D1509" s="2"/>
      <c r="V1509" s="3">
        <v>46007</v>
      </c>
      <c r="W1509" s="215">
        <v>62</v>
      </c>
      <c r="X1509" s="215">
        <v>252</v>
      </c>
      <c r="Y1509" s="2" t="s">
        <v>256</v>
      </c>
    </row>
    <row r="1510" spans="3:25">
      <c r="C1510" s="2"/>
      <c r="D1510" s="2"/>
      <c r="V1510" s="3">
        <v>46007</v>
      </c>
      <c r="W1510" s="215">
        <v>61</v>
      </c>
      <c r="X1510" s="215">
        <v>241</v>
      </c>
      <c r="Y1510" s="2" t="s">
        <v>256</v>
      </c>
    </row>
    <row r="1511" spans="3:25">
      <c r="C1511" s="2"/>
      <c r="D1511" s="2"/>
      <c r="V1511" s="3">
        <v>46007</v>
      </c>
      <c r="W1511" s="215">
        <v>60</v>
      </c>
      <c r="X1511" s="215">
        <v>204</v>
      </c>
      <c r="Y1511" s="2" t="s">
        <v>256</v>
      </c>
    </row>
    <row r="1512" spans="3:25">
      <c r="C1512" s="2"/>
      <c r="D1512" s="2"/>
      <c r="V1512" s="3">
        <v>46007</v>
      </c>
      <c r="W1512" s="215">
        <v>59</v>
      </c>
      <c r="X1512" s="215">
        <v>199</v>
      </c>
      <c r="Y1512" s="2" t="s">
        <v>256</v>
      </c>
    </row>
    <row r="1513" spans="3:25">
      <c r="C1513" s="2"/>
      <c r="D1513" s="2"/>
      <c r="V1513" s="3">
        <v>46007</v>
      </c>
      <c r="W1513" s="215">
        <v>57</v>
      </c>
      <c r="X1513" s="215">
        <v>225</v>
      </c>
      <c r="Y1513" s="2" t="s">
        <v>256</v>
      </c>
    </row>
    <row r="1514" spans="3:25">
      <c r="C1514" s="2"/>
      <c r="D1514" s="2"/>
      <c r="V1514" s="3">
        <v>46007</v>
      </c>
      <c r="W1514" s="215">
        <v>56</v>
      </c>
      <c r="X1514" s="215">
        <v>230</v>
      </c>
      <c r="Y1514" s="2" t="s">
        <v>256</v>
      </c>
    </row>
    <row r="1515" spans="3:25">
      <c r="C1515" s="2"/>
      <c r="D1515" s="2"/>
      <c r="V1515" s="3">
        <v>46007</v>
      </c>
      <c r="W1515" s="2">
        <v>55</v>
      </c>
      <c r="X1515" s="2">
        <v>257</v>
      </c>
      <c r="Y1515" s="2" t="s">
        <v>256</v>
      </c>
    </row>
    <row r="1516" spans="3:25">
      <c r="C1516" s="2"/>
      <c r="D1516" s="2"/>
      <c r="V1516" s="3">
        <v>46007</v>
      </c>
      <c r="W1516" s="215">
        <v>54</v>
      </c>
      <c r="X1516" s="215">
        <v>303</v>
      </c>
      <c r="Y1516" s="2" t="s">
        <v>256</v>
      </c>
    </row>
    <row r="1517" spans="3:25">
      <c r="C1517" s="2"/>
      <c r="D1517" s="2"/>
      <c r="V1517" s="3">
        <v>46007</v>
      </c>
      <c r="W1517" s="215">
        <v>53</v>
      </c>
      <c r="X1517" s="215">
        <v>212</v>
      </c>
      <c r="Y1517" s="2" t="s">
        <v>256</v>
      </c>
    </row>
    <row r="1518" spans="3:25">
      <c r="C1518" s="2"/>
      <c r="D1518" s="2"/>
      <c r="V1518" s="3">
        <v>46007</v>
      </c>
      <c r="W1518" s="215">
        <v>52</v>
      </c>
      <c r="X1518" s="215">
        <v>227</v>
      </c>
      <c r="Y1518" s="2" t="s">
        <v>256</v>
      </c>
    </row>
    <row r="1519" spans="3:25">
      <c r="C1519" s="2"/>
      <c r="D1519" s="2"/>
      <c r="V1519" s="3">
        <v>46007</v>
      </c>
      <c r="W1519" s="215">
        <v>51</v>
      </c>
      <c r="X1519" s="215">
        <v>284</v>
      </c>
      <c r="Y1519" s="2" t="s">
        <v>256</v>
      </c>
    </row>
    <row r="1520" spans="3:25">
      <c r="C1520" s="2"/>
      <c r="D1520" s="2"/>
      <c r="V1520" s="3">
        <v>46007</v>
      </c>
      <c r="W1520" s="215">
        <v>50</v>
      </c>
      <c r="X1520" s="215">
        <v>222</v>
      </c>
      <c r="Y1520" s="2" t="s">
        <v>256</v>
      </c>
    </row>
    <row r="1521" spans="3:25">
      <c r="C1521" s="2"/>
      <c r="D1521" s="2"/>
      <c r="V1521" s="3">
        <v>46007</v>
      </c>
      <c r="W1521" s="215">
        <v>48</v>
      </c>
      <c r="X1521" s="215">
        <v>209</v>
      </c>
      <c r="Y1521" s="2" t="s">
        <v>256</v>
      </c>
    </row>
    <row r="1522" spans="3:25">
      <c r="C1522" s="2"/>
      <c r="D1522" s="2"/>
      <c r="V1522" s="3">
        <v>46007</v>
      </c>
      <c r="W1522" s="215">
        <v>47</v>
      </c>
      <c r="X1522" s="215">
        <v>264</v>
      </c>
      <c r="Y1522" s="2" t="s">
        <v>256</v>
      </c>
    </row>
    <row r="1523" spans="3:25">
      <c r="C1523" s="2"/>
      <c r="D1523" s="2"/>
      <c r="V1523" s="3">
        <v>46007</v>
      </c>
      <c r="W1523" s="215">
        <v>46</v>
      </c>
      <c r="X1523" s="215">
        <v>248</v>
      </c>
      <c r="Y1523" s="2" t="s">
        <v>256</v>
      </c>
    </row>
    <row r="1524" spans="3:25">
      <c r="C1524" s="2"/>
      <c r="D1524" s="2"/>
      <c r="V1524" s="3">
        <v>46007</v>
      </c>
      <c r="W1524" s="215">
        <v>45</v>
      </c>
      <c r="X1524" s="215">
        <v>252</v>
      </c>
      <c r="Y1524" s="2" t="s">
        <v>256</v>
      </c>
    </row>
    <row r="1525" spans="3:25">
      <c r="C1525" s="2"/>
      <c r="D1525" s="2"/>
      <c r="V1525" s="3">
        <v>46007</v>
      </c>
      <c r="W1525" s="215">
        <v>44</v>
      </c>
      <c r="X1525" s="215">
        <v>294</v>
      </c>
      <c r="Y1525" s="2" t="s">
        <v>256</v>
      </c>
    </row>
    <row r="1526" spans="3:25">
      <c r="C1526" s="2"/>
      <c r="D1526" s="2"/>
      <c r="V1526" s="3">
        <v>46007</v>
      </c>
      <c r="W1526" s="215">
        <v>43</v>
      </c>
      <c r="X1526" s="215">
        <v>250</v>
      </c>
      <c r="Y1526" s="2" t="s">
        <v>256</v>
      </c>
    </row>
    <row r="1527" spans="3:25">
      <c r="C1527" s="2"/>
      <c r="D1527" s="2"/>
      <c r="V1527" s="3">
        <v>46007</v>
      </c>
      <c r="W1527" s="215">
        <v>42</v>
      </c>
      <c r="X1527" s="215">
        <v>226</v>
      </c>
      <c r="Y1527" s="2" t="s">
        <v>256</v>
      </c>
    </row>
    <row r="1528" spans="3:25">
      <c r="C1528" s="2"/>
      <c r="D1528" s="2"/>
      <c r="V1528" s="3">
        <v>46007</v>
      </c>
      <c r="W1528" s="215">
        <v>41</v>
      </c>
      <c r="X1528" s="215">
        <v>312</v>
      </c>
      <c r="Y1528" s="2" t="s">
        <v>256</v>
      </c>
    </row>
    <row r="1529" spans="3:25">
      <c r="C1529" s="2"/>
      <c r="D1529" s="2"/>
      <c r="V1529" s="3">
        <v>46007</v>
      </c>
      <c r="W1529" s="215">
        <v>40</v>
      </c>
      <c r="X1529" s="215">
        <v>235</v>
      </c>
      <c r="Y1529" s="2" t="s">
        <v>256</v>
      </c>
    </row>
    <row r="1530" spans="3:25">
      <c r="C1530" s="2"/>
      <c r="D1530" s="2"/>
      <c r="V1530" s="3">
        <v>46007</v>
      </c>
      <c r="W1530" s="215">
        <v>39</v>
      </c>
      <c r="X1530" s="215">
        <v>212</v>
      </c>
      <c r="Y1530" s="2" t="s">
        <v>256</v>
      </c>
    </row>
    <row r="1531" spans="3:25">
      <c r="C1531" s="2"/>
      <c r="D1531" s="2"/>
      <c r="V1531" s="3">
        <v>46007</v>
      </c>
      <c r="W1531" s="215">
        <v>38</v>
      </c>
      <c r="X1531" s="215">
        <v>257</v>
      </c>
      <c r="Y1531" s="2" t="s">
        <v>256</v>
      </c>
    </row>
    <row r="1532" spans="3:25">
      <c r="C1532" s="2"/>
      <c r="D1532" s="2"/>
      <c r="V1532" s="3">
        <v>46007</v>
      </c>
      <c r="W1532" s="215">
        <v>37</v>
      </c>
      <c r="X1532" s="215">
        <v>227</v>
      </c>
      <c r="Y1532" s="2" t="s">
        <v>256</v>
      </c>
    </row>
    <row r="1533" spans="3:25">
      <c r="C1533" s="2"/>
      <c r="D1533" s="2"/>
      <c r="V1533" s="3">
        <v>46007</v>
      </c>
      <c r="W1533" s="215">
        <v>36</v>
      </c>
      <c r="X1533" s="215">
        <v>236</v>
      </c>
      <c r="Y1533" s="2" t="s">
        <v>256</v>
      </c>
    </row>
    <row r="1534" spans="3:25">
      <c r="C1534" s="2"/>
      <c r="D1534" s="2"/>
      <c r="V1534" s="3">
        <v>46007</v>
      </c>
      <c r="W1534" s="215">
        <v>35</v>
      </c>
      <c r="X1534" s="215">
        <v>215</v>
      </c>
      <c r="Y1534" s="2" t="s">
        <v>256</v>
      </c>
    </row>
    <row r="1535" spans="3:25">
      <c r="C1535" s="2"/>
      <c r="D1535" s="2"/>
      <c r="V1535" s="3">
        <v>46007</v>
      </c>
      <c r="W1535" s="215">
        <v>34</v>
      </c>
      <c r="X1535" s="215">
        <v>240</v>
      </c>
      <c r="Y1535" s="2" t="s">
        <v>256</v>
      </c>
    </row>
    <row r="1536" spans="3:25">
      <c r="C1536" s="2"/>
      <c r="D1536" s="2"/>
      <c r="V1536" s="3">
        <v>46007</v>
      </c>
      <c r="W1536" s="215">
        <v>33</v>
      </c>
      <c r="X1536" s="215">
        <v>217</v>
      </c>
      <c r="Y1536" s="2" t="s">
        <v>256</v>
      </c>
    </row>
    <row r="1537" spans="3:25">
      <c r="C1537" s="2"/>
      <c r="D1537" s="2"/>
      <c r="V1537" s="3">
        <v>46007</v>
      </c>
      <c r="W1537" s="215">
        <v>32</v>
      </c>
      <c r="X1537" s="215">
        <v>275</v>
      </c>
      <c r="Y1537" s="2" t="s">
        <v>256</v>
      </c>
    </row>
    <row r="1538" spans="3:25">
      <c r="C1538" s="2"/>
      <c r="D1538" s="2"/>
      <c r="V1538" s="3">
        <v>46007</v>
      </c>
      <c r="W1538" s="215">
        <v>31</v>
      </c>
      <c r="X1538" s="215">
        <v>229</v>
      </c>
      <c r="Y1538" s="2" t="s">
        <v>256</v>
      </c>
    </row>
    <row r="1539" spans="3:25">
      <c r="C1539" s="2"/>
      <c r="D1539" s="2"/>
      <c r="V1539" s="3">
        <v>46007</v>
      </c>
      <c r="W1539" s="215">
        <v>30</v>
      </c>
      <c r="X1539" s="215">
        <v>262</v>
      </c>
      <c r="Y1539" s="2" t="s">
        <v>256</v>
      </c>
    </row>
    <row r="1540" spans="3:25">
      <c r="C1540" s="2"/>
      <c r="D1540" s="2"/>
      <c r="V1540" s="3">
        <v>46007</v>
      </c>
      <c r="W1540" s="215">
        <v>28</v>
      </c>
      <c r="X1540" s="215">
        <v>213</v>
      </c>
      <c r="Y1540" s="2" t="s">
        <v>256</v>
      </c>
    </row>
    <row r="1541" spans="3:25">
      <c r="C1541" s="2"/>
      <c r="D1541" s="2"/>
      <c r="V1541" s="3">
        <v>46007</v>
      </c>
      <c r="W1541" s="215">
        <v>27</v>
      </c>
      <c r="X1541" s="215">
        <v>223</v>
      </c>
      <c r="Y1541" s="2" t="s">
        <v>256</v>
      </c>
    </row>
    <row r="1542" spans="3:25">
      <c r="C1542" s="2"/>
      <c r="D1542" s="2"/>
      <c r="V1542" s="3">
        <v>46007</v>
      </c>
      <c r="W1542" s="215">
        <v>26</v>
      </c>
      <c r="X1542" s="215">
        <v>253</v>
      </c>
      <c r="Y1542" s="2" t="s">
        <v>256</v>
      </c>
    </row>
    <row r="1543" spans="3:25">
      <c r="C1543" s="2"/>
      <c r="D1543" s="2"/>
      <c r="V1543" s="3">
        <v>46007</v>
      </c>
      <c r="W1543" s="215">
        <v>25</v>
      </c>
      <c r="X1543" s="215">
        <v>215</v>
      </c>
      <c r="Y1543" s="2" t="s">
        <v>256</v>
      </c>
    </row>
    <row r="1544" spans="3:25">
      <c r="C1544" s="2"/>
      <c r="D1544" s="2"/>
      <c r="V1544" s="3">
        <v>46007</v>
      </c>
      <c r="W1544" s="215">
        <v>24</v>
      </c>
      <c r="X1544" s="215">
        <v>235</v>
      </c>
      <c r="Y1544" s="2" t="s">
        <v>256</v>
      </c>
    </row>
    <row r="1545" spans="3:25">
      <c r="C1545" s="2"/>
      <c r="D1545" s="2"/>
      <c r="V1545" s="3">
        <v>46007</v>
      </c>
      <c r="W1545" s="215">
        <v>22</v>
      </c>
      <c r="X1545" s="215">
        <v>302</v>
      </c>
      <c r="Y1545" s="2" t="s">
        <v>256</v>
      </c>
    </row>
    <row r="1546" spans="3:25">
      <c r="C1546" s="2"/>
      <c r="D1546" s="2"/>
      <c r="V1546" s="3">
        <v>46007</v>
      </c>
      <c r="W1546" s="215">
        <v>21</v>
      </c>
      <c r="X1546" s="215">
        <v>305</v>
      </c>
      <c r="Y1546" s="2" t="s">
        <v>256</v>
      </c>
    </row>
    <row r="1547" spans="3:25">
      <c r="C1547" s="2"/>
      <c r="D1547" s="2"/>
      <c r="V1547" s="3">
        <v>46007</v>
      </c>
      <c r="W1547" s="215">
        <v>20</v>
      </c>
      <c r="X1547" s="215">
        <v>240</v>
      </c>
      <c r="Y1547" s="2" t="s">
        <v>256</v>
      </c>
    </row>
    <row r="1548" spans="3:25">
      <c r="C1548" s="2"/>
      <c r="D1548" s="2"/>
      <c r="V1548" s="3">
        <v>46007</v>
      </c>
      <c r="W1548" s="215">
        <v>19</v>
      </c>
      <c r="X1548" s="215">
        <v>200</v>
      </c>
      <c r="Y1548" s="2" t="s">
        <v>256</v>
      </c>
    </row>
    <row r="1549" spans="3:25">
      <c r="C1549" s="2"/>
      <c r="D1549" s="2"/>
      <c r="V1549" s="3">
        <v>46007</v>
      </c>
      <c r="W1549" s="215">
        <v>18</v>
      </c>
      <c r="X1549" s="215">
        <v>306</v>
      </c>
      <c r="Y1549" s="2" t="s">
        <v>256</v>
      </c>
    </row>
    <row r="1550" spans="3:25">
      <c r="C1550" s="2"/>
      <c r="D1550" s="2"/>
      <c r="V1550" s="3">
        <v>46007</v>
      </c>
      <c r="W1550" s="215">
        <v>17</v>
      </c>
      <c r="X1550" s="215">
        <v>237</v>
      </c>
      <c r="Y1550" s="2" t="s">
        <v>256</v>
      </c>
    </row>
    <row r="1551" spans="3:25">
      <c r="C1551" s="2"/>
      <c r="D1551" s="2"/>
      <c r="V1551" s="3">
        <v>46007</v>
      </c>
      <c r="W1551" s="215">
        <v>16</v>
      </c>
      <c r="X1551" s="215">
        <v>295</v>
      </c>
      <c r="Y1551" s="2" t="s">
        <v>256</v>
      </c>
    </row>
    <row r="1552" spans="3:25">
      <c r="C1552" s="2"/>
      <c r="D1552" s="2"/>
      <c r="V1552" s="3">
        <v>46007</v>
      </c>
      <c r="W1552" s="215">
        <v>14</v>
      </c>
      <c r="X1552" s="215">
        <v>229</v>
      </c>
      <c r="Y1552" s="2" t="s">
        <v>256</v>
      </c>
    </row>
    <row r="1553" spans="3:25">
      <c r="C1553" s="2"/>
      <c r="D1553" s="2"/>
      <c r="V1553" s="3">
        <v>46007</v>
      </c>
      <c r="W1553" s="215">
        <v>13</v>
      </c>
      <c r="X1553" s="215">
        <v>249</v>
      </c>
      <c r="Y1553" s="2" t="s">
        <v>256</v>
      </c>
    </row>
    <row r="1554" spans="3:25">
      <c r="C1554" s="2"/>
      <c r="D1554" s="2"/>
      <c r="V1554" s="3">
        <v>46007</v>
      </c>
      <c r="W1554" s="215">
        <v>12</v>
      </c>
      <c r="X1554" s="215">
        <v>284</v>
      </c>
      <c r="Y1554" s="2" t="s">
        <v>256</v>
      </c>
    </row>
    <row r="1555" spans="3:25">
      <c r="C1555" s="2"/>
      <c r="D1555" s="2"/>
      <c r="V1555" s="3">
        <v>46007</v>
      </c>
      <c r="W1555" s="215">
        <v>11</v>
      </c>
      <c r="X1555" s="215">
        <v>293</v>
      </c>
      <c r="Y1555" s="2" t="s">
        <v>256</v>
      </c>
    </row>
    <row r="1556" spans="3:25">
      <c r="C1556" s="2"/>
      <c r="D1556" s="2"/>
      <c r="V1556" s="3">
        <v>46007</v>
      </c>
      <c r="W1556" s="215">
        <v>10</v>
      </c>
      <c r="X1556" s="215">
        <v>247</v>
      </c>
      <c r="Y1556" s="2" t="s">
        <v>256</v>
      </c>
    </row>
    <row r="1557" spans="3:25">
      <c r="C1557" s="2"/>
      <c r="D1557" s="2"/>
      <c r="V1557" s="3">
        <v>46007</v>
      </c>
      <c r="W1557" s="215">
        <v>9</v>
      </c>
      <c r="X1557" s="215">
        <v>244</v>
      </c>
      <c r="Y1557" s="2" t="s">
        <v>256</v>
      </c>
    </row>
    <row r="1558" spans="3:25">
      <c r="C1558" s="2"/>
      <c r="D1558" s="2"/>
      <c r="V1558" s="3">
        <v>46007</v>
      </c>
      <c r="W1558" s="215">
        <v>8</v>
      </c>
      <c r="X1558" s="215">
        <v>219</v>
      </c>
      <c r="Y1558" s="2" t="s">
        <v>256</v>
      </c>
    </row>
    <row r="1559" spans="3:25">
      <c r="C1559" s="2"/>
      <c r="D1559" s="2"/>
      <c r="V1559" s="3">
        <v>46007</v>
      </c>
      <c r="W1559" s="215">
        <v>7</v>
      </c>
      <c r="X1559" s="215">
        <v>222</v>
      </c>
      <c r="Y1559" s="2" t="s">
        <v>256</v>
      </c>
    </row>
    <row r="1560" spans="3:25">
      <c r="C1560" s="2"/>
      <c r="D1560" s="2"/>
      <c r="V1560" s="3">
        <v>46007</v>
      </c>
      <c r="W1560" s="215">
        <v>6</v>
      </c>
      <c r="X1560" s="215">
        <v>289</v>
      </c>
      <c r="Y1560" s="2" t="s">
        <v>256</v>
      </c>
    </row>
    <row r="1561" spans="3:25">
      <c r="C1561" s="2"/>
      <c r="D1561" s="2"/>
      <c r="V1561" s="3">
        <v>46007</v>
      </c>
      <c r="W1561" s="215">
        <v>5</v>
      </c>
      <c r="X1561" s="215">
        <v>282</v>
      </c>
      <c r="Y1561" s="2" t="s">
        <v>256</v>
      </c>
    </row>
    <row r="1562" spans="3:25">
      <c r="C1562" s="2"/>
      <c r="D1562" s="2"/>
      <c r="V1562" s="3">
        <v>46007</v>
      </c>
      <c r="W1562" s="215">
        <v>3</v>
      </c>
      <c r="X1562" s="215">
        <v>254</v>
      </c>
      <c r="Y1562" s="2" t="s">
        <v>256</v>
      </c>
    </row>
    <row r="1563" spans="3:25">
      <c r="C1563" s="2"/>
      <c r="D1563" s="2"/>
      <c r="V1563" s="3">
        <v>46007</v>
      </c>
      <c r="W1563" s="215">
        <v>2</v>
      </c>
      <c r="X1563" s="215">
        <v>278</v>
      </c>
      <c r="Y1563" s="2" t="s">
        <v>256</v>
      </c>
    </row>
    <row r="1564" spans="3:25">
      <c r="C1564" s="2"/>
      <c r="D1564" s="2"/>
      <c r="V1564" s="3">
        <v>46007</v>
      </c>
      <c r="W1564" s="215">
        <v>1</v>
      </c>
      <c r="X1564" s="215">
        <v>278</v>
      </c>
      <c r="Y1564" s="2" t="s">
        <v>256</v>
      </c>
    </row>
    <row r="1565" spans="3:25">
      <c r="C1565" s="2"/>
      <c r="D1565" s="2"/>
    </row>
    <row r="1566" spans="3:25">
      <c r="C1566" s="2"/>
      <c r="D1566" s="2"/>
    </row>
    <row r="1567" spans="3:25">
      <c r="C1567" s="2"/>
      <c r="D1567" s="2"/>
    </row>
    <row r="1568" spans="3:25">
      <c r="C1568" s="2"/>
      <c r="D1568" s="2"/>
    </row>
    <row r="1569" spans="3:4">
      <c r="C1569" s="2"/>
      <c r="D1569" s="2"/>
    </row>
    <row r="1570" spans="3:4">
      <c r="C1570" s="2"/>
      <c r="D1570" s="2"/>
    </row>
    <row r="1571" spans="3:4">
      <c r="C1571" s="2"/>
      <c r="D1571" s="2"/>
    </row>
    <row r="1572" spans="3:4">
      <c r="C1572" s="2"/>
      <c r="D1572" s="2"/>
    </row>
    <row r="1573" spans="3:4">
      <c r="C1573" s="2"/>
      <c r="D1573" s="2"/>
    </row>
    <row r="1574" spans="3:4">
      <c r="C1574" s="2"/>
      <c r="D1574" s="2"/>
    </row>
    <row r="1575" spans="3:4">
      <c r="C1575" s="2"/>
      <c r="D1575" s="2"/>
    </row>
    <row r="1576" spans="3:4">
      <c r="C1576" s="2"/>
      <c r="D1576" s="2"/>
    </row>
    <row r="1577" spans="3:4">
      <c r="C1577" s="2"/>
      <c r="D1577" s="2"/>
    </row>
    <row r="1578" spans="3:4">
      <c r="C1578" s="2"/>
      <c r="D1578" s="2"/>
    </row>
    <row r="1579" spans="3:4">
      <c r="C1579" s="2"/>
      <c r="D1579" s="2"/>
    </row>
    <row r="1580" spans="3:4">
      <c r="C1580" s="2"/>
      <c r="D1580" s="2"/>
    </row>
    <row r="1581" spans="3:4">
      <c r="C1581" s="2"/>
      <c r="D1581" s="2"/>
    </row>
    <row r="1582" spans="3:4">
      <c r="C1582" s="2"/>
      <c r="D1582" s="2"/>
    </row>
    <row r="1583" spans="3:4">
      <c r="C1583" s="2"/>
      <c r="D1583" s="2"/>
    </row>
    <row r="1584" spans="3:4">
      <c r="C1584" s="2"/>
      <c r="D1584" s="2"/>
    </row>
    <row r="1585" spans="3:4">
      <c r="C1585" s="2"/>
      <c r="D1585" s="2"/>
    </row>
    <row r="1586" spans="3:4">
      <c r="C1586" s="2"/>
      <c r="D1586" s="2"/>
    </row>
    <row r="1587" spans="3:4">
      <c r="C1587" s="2"/>
      <c r="D1587" s="2"/>
    </row>
    <row r="1588" spans="3:4">
      <c r="C1588" s="2"/>
      <c r="D1588" s="2"/>
    </row>
    <row r="1589" spans="3:4">
      <c r="C1589" s="2"/>
      <c r="D1589" s="2"/>
    </row>
    <row r="1590" spans="3:4">
      <c r="C1590" s="2"/>
      <c r="D1590" s="2"/>
    </row>
    <row r="1591" spans="3:4">
      <c r="C1591" s="2"/>
      <c r="D1591" s="2"/>
    </row>
    <row r="1592" spans="3:4">
      <c r="C1592" s="2"/>
      <c r="D1592" s="2"/>
    </row>
    <row r="1593" spans="3:4">
      <c r="C1593" s="2"/>
      <c r="D1593" s="2"/>
    </row>
    <row r="1594" spans="3:4">
      <c r="C1594" s="2"/>
      <c r="D1594" s="2"/>
    </row>
    <row r="1595" spans="3:4">
      <c r="C1595" s="2"/>
      <c r="D1595" s="2"/>
    </row>
    <row r="1596" spans="3:4">
      <c r="C1596" s="2"/>
      <c r="D1596" s="2"/>
    </row>
    <row r="1597" spans="3:4">
      <c r="C1597" s="2"/>
      <c r="D1597" s="2"/>
    </row>
    <row r="1598" spans="3:4">
      <c r="C1598" s="2"/>
      <c r="D1598" s="2"/>
    </row>
    <row r="1599" spans="3:4">
      <c r="C1599" s="2"/>
      <c r="D1599" s="2"/>
    </row>
    <row r="1600" spans="3:4">
      <c r="C1600" s="2"/>
      <c r="D1600" s="2"/>
    </row>
    <row r="1601" spans="3:4">
      <c r="C1601" s="2"/>
      <c r="D1601" s="2"/>
    </row>
    <row r="1602" spans="3:4">
      <c r="C1602" s="2"/>
      <c r="D1602" s="2"/>
    </row>
    <row r="1603" spans="3:4">
      <c r="C1603" s="2"/>
      <c r="D1603" s="2"/>
    </row>
    <row r="1604" spans="3:4">
      <c r="C1604" s="2"/>
      <c r="D1604" s="2"/>
    </row>
    <row r="1605" spans="3:4">
      <c r="C1605" s="2"/>
      <c r="D1605" s="2"/>
    </row>
    <row r="1606" spans="3:4">
      <c r="C1606" s="2"/>
      <c r="D1606" s="2"/>
    </row>
    <row r="1607" spans="3:4">
      <c r="C1607" s="2"/>
      <c r="D1607" s="2"/>
    </row>
    <row r="1608" spans="3:4">
      <c r="C1608" s="2"/>
      <c r="D1608" s="2"/>
    </row>
    <row r="1609" spans="3:4">
      <c r="C1609" s="2"/>
      <c r="D1609" s="2"/>
    </row>
    <row r="1610" spans="3:4">
      <c r="C1610" s="2"/>
      <c r="D1610" s="2"/>
    </row>
    <row r="1611" spans="3:4">
      <c r="C1611" s="2"/>
      <c r="D1611" s="2"/>
    </row>
    <row r="1612" spans="3:4">
      <c r="C1612" s="2"/>
      <c r="D1612" s="2"/>
    </row>
    <row r="1613" spans="3:4">
      <c r="C1613" s="2"/>
      <c r="D1613" s="2"/>
    </row>
    <row r="1614" spans="3:4">
      <c r="C1614" s="2"/>
      <c r="D1614" s="2"/>
    </row>
    <row r="1615" spans="3:4">
      <c r="C1615" s="2"/>
      <c r="D1615" s="2"/>
    </row>
    <row r="1616" spans="3:4">
      <c r="C1616" s="2"/>
      <c r="D1616" s="2"/>
    </row>
    <row r="1617" spans="3:4">
      <c r="C1617" s="2"/>
      <c r="D1617" s="2"/>
    </row>
    <row r="1618" spans="3:4">
      <c r="C1618" s="2"/>
      <c r="D1618" s="2"/>
    </row>
    <row r="1619" spans="3:4">
      <c r="C1619" s="2"/>
      <c r="D1619" s="2"/>
    </row>
    <row r="1620" spans="3:4">
      <c r="C1620" s="2"/>
      <c r="D1620" s="2"/>
    </row>
    <row r="1621" spans="3:4">
      <c r="C1621" s="2"/>
      <c r="D1621" s="2"/>
    </row>
    <row r="1622" spans="3:4">
      <c r="C1622" s="2"/>
      <c r="D1622" s="2"/>
    </row>
    <row r="1623" spans="3:4">
      <c r="C1623" s="2"/>
      <c r="D1623" s="2"/>
    </row>
    <row r="1624" spans="3:4">
      <c r="C1624" s="2"/>
      <c r="D1624" s="2"/>
    </row>
    <row r="1625" spans="3:4">
      <c r="C1625" s="2"/>
      <c r="D1625" s="2"/>
    </row>
    <row r="1626" spans="3:4">
      <c r="C1626" s="2"/>
      <c r="D1626" s="2"/>
    </row>
    <row r="1627" spans="3:4">
      <c r="C1627" s="2"/>
      <c r="D1627" s="2"/>
    </row>
    <row r="1628" spans="3:4">
      <c r="C1628" s="2"/>
      <c r="D1628" s="2"/>
    </row>
    <row r="1629" spans="3:4">
      <c r="C1629" s="2"/>
      <c r="D1629" s="2"/>
    </row>
    <row r="1630" spans="3:4">
      <c r="C1630" s="2"/>
      <c r="D1630" s="2"/>
    </row>
    <row r="1631" spans="3:4">
      <c r="C1631" s="2"/>
      <c r="D1631" s="2"/>
    </row>
    <row r="1632" spans="3:4">
      <c r="C1632" s="2"/>
      <c r="D1632" s="2"/>
    </row>
    <row r="1633" spans="3:4">
      <c r="C1633" s="2"/>
      <c r="D1633" s="2"/>
    </row>
    <row r="1634" spans="3:4">
      <c r="C1634" s="2"/>
      <c r="D1634" s="2"/>
    </row>
    <row r="1635" spans="3:4">
      <c r="C1635" s="2"/>
      <c r="D1635" s="2"/>
    </row>
    <row r="1636" spans="3:4">
      <c r="C1636" s="2"/>
      <c r="D1636" s="2"/>
    </row>
    <row r="1637" spans="3:4">
      <c r="C1637" s="2"/>
      <c r="D1637" s="2"/>
    </row>
    <row r="1638" spans="3:4">
      <c r="C1638" s="2"/>
      <c r="D1638" s="2"/>
    </row>
    <row r="1639" spans="3:4">
      <c r="C1639" s="2"/>
      <c r="D1639" s="2"/>
    </row>
    <row r="1640" spans="3:4">
      <c r="C1640" s="2"/>
      <c r="D1640" s="2"/>
    </row>
    <row r="1641" spans="3:4">
      <c r="C1641" s="2"/>
      <c r="D1641" s="2"/>
    </row>
    <row r="1642" spans="3:4">
      <c r="C1642" s="2"/>
      <c r="D1642" s="2"/>
    </row>
    <row r="1643" spans="3:4">
      <c r="C1643" s="2"/>
      <c r="D1643" s="2"/>
    </row>
    <row r="1644" spans="3:4">
      <c r="C1644" s="2"/>
      <c r="D1644" s="2"/>
    </row>
    <row r="1645" spans="3:4">
      <c r="C1645" s="2"/>
      <c r="D1645" s="2"/>
    </row>
    <row r="1646" spans="3:4">
      <c r="C1646" s="2"/>
      <c r="D1646" s="2"/>
    </row>
    <row r="1647" spans="3:4">
      <c r="C1647" s="2"/>
      <c r="D1647" s="2"/>
    </row>
    <row r="1648" spans="3:4">
      <c r="C1648" s="2"/>
      <c r="D1648" s="2"/>
    </row>
    <row r="1649" spans="3:4">
      <c r="C1649" s="2"/>
      <c r="D1649" s="2"/>
    </row>
    <row r="1650" spans="3:4">
      <c r="C1650" s="2"/>
      <c r="D1650" s="2"/>
    </row>
    <row r="1651" spans="3:4">
      <c r="C1651" s="2"/>
      <c r="D1651" s="2"/>
    </row>
    <row r="1652" spans="3:4">
      <c r="C1652" s="2"/>
      <c r="D1652" s="2"/>
    </row>
    <row r="1653" spans="3:4">
      <c r="C1653" s="2"/>
      <c r="D1653" s="2"/>
    </row>
    <row r="1654" spans="3:4">
      <c r="C1654" s="2"/>
      <c r="D1654" s="2"/>
    </row>
    <row r="1655" spans="3:4">
      <c r="C1655" s="2"/>
      <c r="D1655" s="2"/>
    </row>
    <row r="1656" spans="3:4">
      <c r="C1656" s="2"/>
      <c r="D1656" s="2"/>
    </row>
    <row r="1657" spans="3:4">
      <c r="C1657" s="2"/>
      <c r="D1657" s="2"/>
    </row>
    <row r="1658" spans="3:4">
      <c r="C1658" s="2"/>
      <c r="D1658" s="2"/>
    </row>
    <row r="1659" spans="3:4">
      <c r="C1659" s="2"/>
      <c r="D1659" s="2"/>
    </row>
    <row r="1660" spans="3:4">
      <c r="C1660" s="2"/>
      <c r="D1660" s="2"/>
    </row>
    <row r="1661" spans="3:4">
      <c r="C1661" s="2"/>
      <c r="D1661" s="2"/>
    </row>
    <row r="1662" spans="3:4">
      <c r="C1662" s="2"/>
      <c r="D1662" s="2"/>
    </row>
    <row r="1663" spans="3:4">
      <c r="C1663" s="2"/>
      <c r="D1663" s="2"/>
    </row>
    <row r="1664" spans="3:4">
      <c r="C1664" s="2"/>
      <c r="D1664" s="2"/>
    </row>
    <row r="1665" spans="3:4">
      <c r="C1665" s="2"/>
      <c r="D1665" s="2"/>
    </row>
    <row r="1666" spans="3:4">
      <c r="C1666" s="2"/>
      <c r="D1666" s="2"/>
    </row>
    <row r="1667" spans="3:4">
      <c r="C1667" s="2"/>
      <c r="D1667" s="2"/>
    </row>
    <row r="1668" spans="3:4">
      <c r="C1668" s="2"/>
      <c r="D1668" s="2"/>
    </row>
    <row r="1669" spans="3:4">
      <c r="C1669" s="2"/>
      <c r="D1669" s="2"/>
    </row>
    <row r="1670" spans="3:4">
      <c r="C1670" s="2"/>
      <c r="D1670" s="2"/>
    </row>
    <row r="1671" spans="3:4">
      <c r="C1671" s="2"/>
      <c r="D1671" s="2"/>
    </row>
    <row r="1672" spans="3:4">
      <c r="C1672" s="2"/>
      <c r="D1672" s="2"/>
    </row>
    <row r="1673" spans="3:4">
      <c r="C1673" s="2"/>
      <c r="D1673" s="2"/>
    </row>
    <row r="1674" spans="3:4">
      <c r="C1674" s="2"/>
      <c r="D1674" s="2"/>
    </row>
    <row r="1675" spans="3:4">
      <c r="C1675" s="2"/>
      <c r="D1675" s="2"/>
    </row>
    <row r="1676" spans="3:4">
      <c r="C1676" s="2"/>
      <c r="D1676" s="2"/>
    </row>
    <row r="1677" spans="3:4">
      <c r="C1677" s="2"/>
      <c r="D1677" s="2"/>
    </row>
    <row r="1678" spans="3:4">
      <c r="C1678" s="2"/>
      <c r="D1678" s="2"/>
    </row>
    <row r="1679" spans="3:4">
      <c r="C1679" s="2"/>
      <c r="D1679" s="2"/>
    </row>
    <row r="1680" spans="3:4">
      <c r="C1680" s="2"/>
      <c r="D1680" s="2"/>
    </row>
    <row r="1681" spans="3:4">
      <c r="C1681" s="2"/>
      <c r="D1681" s="2"/>
    </row>
    <row r="1682" spans="3:4">
      <c r="C1682" s="2"/>
      <c r="D1682" s="2"/>
    </row>
    <row r="1683" spans="3:4">
      <c r="C1683" s="2"/>
      <c r="D1683" s="2"/>
    </row>
    <row r="1684" spans="3:4">
      <c r="C1684" s="2"/>
      <c r="D1684" s="2"/>
    </row>
    <row r="1685" spans="3:4">
      <c r="C1685" s="2"/>
      <c r="D1685" s="2"/>
    </row>
    <row r="1686" spans="3:4">
      <c r="C1686" s="2"/>
      <c r="D1686" s="2"/>
    </row>
    <row r="1687" spans="3:4">
      <c r="C1687" s="2"/>
      <c r="D1687" s="2"/>
    </row>
    <row r="1688" spans="3:4">
      <c r="C1688" s="2"/>
      <c r="D1688" s="2"/>
    </row>
    <row r="1689" spans="3:4">
      <c r="C1689" s="2"/>
      <c r="D1689" s="2"/>
    </row>
    <row r="1690" spans="3:4">
      <c r="C1690" s="2"/>
      <c r="D1690" s="2"/>
    </row>
    <row r="1691" spans="3:4">
      <c r="C1691" s="2"/>
      <c r="D1691" s="2"/>
    </row>
    <row r="1692" spans="3:4">
      <c r="C1692" s="2"/>
      <c r="D1692" s="2"/>
    </row>
    <row r="1693" spans="3:4">
      <c r="C1693" s="2"/>
      <c r="D1693" s="2"/>
    </row>
    <row r="1694" spans="3:4">
      <c r="C1694" s="2"/>
      <c r="D1694" s="2"/>
    </row>
    <row r="1695" spans="3:4">
      <c r="C1695" s="2"/>
      <c r="D1695" s="2"/>
    </row>
    <row r="1696" spans="3:4">
      <c r="C1696" s="2"/>
      <c r="D1696" s="2"/>
    </row>
    <row r="1697" spans="3:4">
      <c r="C1697" s="2"/>
      <c r="D1697" s="2"/>
    </row>
    <row r="1698" spans="3:4">
      <c r="C1698" s="2"/>
      <c r="D1698" s="2"/>
    </row>
    <row r="1699" spans="3:4">
      <c r="C1699" s="2"/>
      <c r="D1699" s="2"/>
    </row>
    <row r="1700" spans="3:4">
      <c r="C1700" s="2"/>
      <c r="D1700" s="2"/>
    </row>
    <row r="1701" spans="3:4">
      <c r="C1701" s="2"/>
      <c r="D1701" s="2"/>
    </row>
    <row r="1702" spans="3:4">
      <c r="C1702" s="2"/>
      <c r="D1702" s="2"/>
    </row>
    <row r="1703" spans="3:4">
      <c r="C1703" s="2"/>
      <c r="D1703" s="2"/>
    </row>
    <row r="1704" spans="3:4">
      <c r="C1704" s="2"/>
      <c r="D1704" s="2"/>
    </row>
    <row r="1705" spans="3:4">
      <c r="C1705" s="2"/>
      <c r="D1705" s="2"/>
    </row>
    <row r="1706" spans="3:4">
      <c r="C1706" s="2"/>
      <c r="D1706" s="2"/>
    </row>
    <row r="1707" spans="3:4">
      <c r="C1707" s="2"/>
      <c r="D1707" s="2"/>
    </row>
    <row r="1708" spans="3:4">
      <c r="C1708" s="2"/>
      <c r="D1708" s="2"/>
    </row>
    <row r="1709" spans="3:4">
      <c r="C1709" s="2"/>
      <c r="D1709" s="2"/>
    </row>
    <row r="1710" spans="3:4">
      <c r="C1710" s="2"/>
      <c r="D1710" s="2"/>
    </row>
    <row r="1711" spans="3:4">
      <c r="C1711" s="2"/>
      <c r="D1711" s="2"/>
    </row>
    <row r="1712" spans="3:4">
      <c r="C1712" s="2"/>
      <c r="D1712" s="2"/>
    </row>
    <row r="1713" spans="3:4">
      <c r="C1713" s="2"/>
      <c r="D1713" s="2"/>
    </row>
    <row r="1714" spans="3:4">
      <c r="C1714" s="2"/>
      <c r="D1714" s="2"/>
    </row>
    <row r="1715" spans="3:4">
      <c r="C1715" s="2"/>
      <c r="D1715" s="2"/>
    </row>
    <row r="1716" spans="3:4">
      <c r="C1716" s="2"/>
      <c r="D1716" s="2"/>
    </row>
    <row r="1717" spans="3:4">
      <c r="C1717" s="2"/>
      <c r="D1717" s="2"/>
    </row>
    <row r="1718" spans="3:4">
      <c r="C1718" s="2"/>
      <c r="D1718" s="2"/>
    </row>
    <row r="1719" spans="3:4">
      <c r="C1719" s="2"/>
      <c r="D1719" s="2"/>
    </row>
    <row r="1720" spans="3:4">
      <c r="C1720" s="2"/>
      <c r="D1720" s="2"/>
    </row>
    <row r="1721" spans="3:4">
      <c r="C1721" s="2"/>
      <c r="D1721" s="2"/>
    </row>
    <row r="1722" spans="3:4">
      <c r="C1722" s="2"/>
      <c r="D1722" s="2"/>
    </row>
    <row r="1723" spans="3:4">
      <c r="C1723" s="2"/>
      <c r="D1723" s="2"/>
    </row>
    <row r="1724" spans="3:4">
      <c r="C1724" s="2"/>
      <c r="D1724" s="2"/>
    </row>
    <row r="1725" spans="3:4">
      <c r="C1725" s="2"/>
      <c r="D1725" s="2"/>
    </row>
    <row r="1726" spans="3:4">
      <c r="C1726" s="2"/>
      <c r="D1726" s="2"/>
    </row>
    <row r="1727" spans="3:4">
      <c r="C1727" s="2"/>
      <c r="D1727" s="2"/>
    </row>
    <row r="1728" spans="3:4">
      <c r="C1728" s="2"/>
      <c r="D1728" s="2"/>
    </row>
    <row r="1729" spans="3:4">
      <c r="C1729" s="2"/>
      <c r="D1729" s="2"/>
    </row>
    <row r="1730" spans="3:4">
      <c r="C1730" s="2"/>
      <c r="D1730" s="2"/>
    </row>
    <row r="1731" spans="3:4">
      <c r="C1731" s="2"/>
      <c r="D1731" s="2"/>
    </row>
    <row r="1732" spans="3:4">
      <c r="C1732" s="2"/>
      <c r="D1732" s="2"/>
    </row>
    <row r="1733" spans="3:4">
      <c r="C1733" s="2"/>
      <c r="D1733" s="2"/>
    </row>
    <row r="1734" spans="3:4">
      <c r="C1734" s="2"/>
      <c r="D1734" s="2"/>
    </row>
    <row r="1735" spans="3:4">
      <c r="C1735" s="2"/>
      <c r="D1735" s="2"/>
    </row>
    <row r="1736" spans="3:4">
      <c r="C1736" s="2"/>
      <c r="D1736" s="2"/>
    </row>
    <row r="1737" spans="3:4">
      <c r="C1737" s="2"/>
      <c r="D1737" s="2"/>
    </row>
    <row r="1738" spans="3:4">
      <c r="C1738" s="2"/>
      <c r="D1738" s="2"/>
    </row>
    <row r="1739" spans="3:4">
      <c r="C1739" s="2"/>
      <c r="D1739" s="2"/>
    </row>
    <row r="1740" spans="3:4">
      <c r="C1740" s="2"/>
      <c r="D1740" s="2"/>
    </row>
    <row r="1741" spans="3:4">
      <c r="C1741" s="2"/>
      <c r="D1741" s="2"/>
    </row>
    <row r="1742" spans="3:4">
      <c r="C1742" s="2"/>
      <c r="D1742" s="2"/>
    </row>
    <row r="1743" spans="3:4">
      <c r="C1743" s="2"/>
      <c r="D1743" s="2"/>
    </row>
    <row r="1744" spans="3:4">
      <c r="C1744" s="2"/>
      <c r="D1744" s="2"/>
    </row>
    <row r="1745" spans="3:4">
      <c r="C1745" s="2"/>
      <c r="D1745" s="2"/>
    </row>
    <row r="1746" spans="3:4">
      <c r="C1746" s="2"/>
      <c r="D1746" s="2"/>
    </row>
    <row r="1747" spans="3:4">
      <c r="C1747" s="2"/>
      <c r="D1747" s="2"/>
    </row>
    <row r="1748" spans="3:4">
      <c r="C1748" s="2"/>
      <c r="D1748" s="2"/>
    </row>
    <row r="1749" spans="3:4">
      <c r="C1749" s="2"/>
      <c r="D1749" s="2"/>
    </row>
    <row r="1750" spans="3:4">
      <c r="C1750" s="2"/>
      <c r="D1750" s="2"/>
    </row>
    <row r="1751" spans="3:4">
      <c r="C1751" s="2"/>
      <c r="D1751" s="2"/>
    </row>
    <row r="1752" spans="3:4">
      <c r="C1752" s="2"/>
      <c r="D1752" s="2"/>
    </row>
    <row r="1753" spans="3:4">
      <c r="C1753" s="2"/>
      <c r="D1753" s="2"/>
    </row>
    <row r="1754" spans="3:4">
      <c r="C1754" s="2"/>
      <c r="D1754" s="2"/>
    </row>
    <row r="1755" spans="3:4">
      <c r="C1755" s="2"/>
      <c r="D1755" s="2"/>
    </row>
    <row r="1756" spans="3:4">
      <c r="C1756" s="2"/>
      <c r="D1756" s="2"/>
    </row>
    <row r="1757" spans="3:4">
      <c r="C1757" s="2"/>
      <c r="D1757" s="2"/>
    </row>
    <row r="1758" spans="3:4">
      <c r="C1758" s="2"/>
      <c r="D1758" s="2"/>
    </row>
    <row r="1759" spans="3:4">
      <c r="C1759" s="2"/>
      <c r="D1759" s="2"/>
    </row>
    <row r="1760" spans="3:4">
      <c r="C1760" s="2"/>
      <c r="D1760" s="2"/>
    </row>
    <row r="1761" spans="3:4">
      <c r="C1761" s="2"/>
      <c r="D1761" s="2"/>
    </row>
    <row r="1762" spans="3:4">
      <c r="C1762" s="2"/>
      <c r="D1762" s="2"/>
    </row>
    <row r="1763" spans="3:4">
      <c r="C1763" s="2"/>
      <c r="D1763" s="2"/>
    </row>
    <row r="1764" spans="3:4">
      <c r="C1764" s="2"/>
      <c r="D1764" s="2"/>
    </row>
    <row r="1765" spans="3:4">
      <c r="C1765" s="2"/>
      <c r="D1765" s="2"/>
    </row>
    <row r="1766" spans="3:4">
      <c r="C1766" s="2"/>
      <c r="D1766" s="2"/>
    </row>
    <row r="1767" spans="3:4">
      <c r="C1767" s="2"/>
      <c r="D1767" s="2"/>
    </row>
    <row r="1768" spans="3:4">
      <c r="C1768" s="2"/>
      <c r="D1768" s="2"/>
    </row>
    <row r="1769" spans="3:4">
      <c r="C1769" s="2"/>
      <c r="D1769" s="2"/>
    </row>
    <row r="1770" spans="3:4">
      <c r="C1770" s="2"/>
      <c r="D1770" s="2"/>
    </row>
    <row r="1771" spans="3:4">
      <c r="C1771" s="2"/>
      <c r="D1771" s="2"/>
    </row>
    <row r="1772" spans="3:4">
      <c r="C1772" s="2"/>
      <c r="D1772" s="2"/>
    </row>
    <row r="1773" spans="3:4">
      <c r="C1773" s="2"/>
      <c r="D1773" s="2"/>
    </row>
    <row r="1774" spans="3:4">
      <c r="C1774" s="2"/>
      <c r="D1774" s="2"/>
    </row>
    <row r="1775" spans="3:4">
      <c r="C1775" s="2"/>
      <c r="D1775" s="2"/>
    </row>
    <row r="1776" spans="3:4">
      <c r="C1776" s="2"/>
      <c r="D1776" s="2"/>
    </row>
    <row r="1777" spans="3:4">
      <c r="C1777" s="2"/>
      <c r="D1777" s="2"/>
    </row>
    <row r="1778" spans="3:4">
      <c r="C1778" s="2"/>
      <c r="D1778" s="2"/>
    </row>
    <row r="1779" spans="3:4">
      <c r="C1779" s="2"/>
      <c r="D1779" s="2"/>
    </row>
    <row r="1780" spans="3:4">
      <c r="C1780" s="2"/>
      <c r="D1780" s="2"/>
    </row>
    <row r="1781" spans="3:4">
      <c r="C1781" s="2"/>
      <c r="D1781" s="2"/>
    </row>
    <row r="1782" spans="3:4">
      <c r="C1782" s="2"/>
      <c r="D1782" s="2"/>
    </row>
    <row r="1783" spans="3:4">
      <c r="C1783" s="2"/>
      <c r="D1783" s="2"/>
    </row>
    <row r="1784" spans="3:4">
      <c r="C1784" s="2"/>
      <c r="D1784" s="2"/>
    </row>
    <row r="1785" spans="3:4">
      <c r="C1785" s="2"/>
      <c r="D1785" s="2"/>
    </row>
    <row r="1786" spans="3:4">
      <c r="C1786" s="2"/>
      <c r="D1786" s="2"/>
    </row>
    <row r="1787" spans="3:4">
      <c r="C1787" s="2"/>
      <c r="D1787" s="2"/>
    </row>
    <row r="1788" spans="3:4">
      <c r="C1788" s="2"/>
      <c r="D1788" s="2"/>
    </row>
    <row r="1789" spans="3:4">
      <c r="C1789" s="2"/>
      <c r="D1789" s="2"/>
    </row>
    <row r="1790" spans="3:4">
      <c r="C1790" s="2"/>
      <c r="D1790" s="2"/>
    </row>
    <row r="1791" spans="3:4">
      <c r="C1791" s="2"/>
      <c r="D1791" s="2"/>
    </row>
    <row r="1792" spans="3:4">
      <c r="C1792" s="2"/>
      <c r="D1792" s="2"/>
    </row>
    <row r="1793" spans="3:4">
      <c r="C1793" s="2"/>
      <c r="D1793" s="2"/>
    </row>
    <row r="1794" spans="3:4">
      <c r="C1794" s="2"/>
      <c r="D1794" s="2"/>
    </row>
    <row r="1795" spans="3:4">
      <c r="C1795" s="2"/>
      <c r="D1795" s="2"/>
    </row>
    <row r="1796" spans="3:4">
      <c r="C1796" s="2"/>
      <c r="D1796" s="2"/>
    </row>
    <row r="1797" spans="3:4">
      <c r="C1797" s="2"/>
      <c r="D1797" s="2"/>
    </row>
    <row r="1798" spans="3:4">
      <c r="C1798" s="2"/>
      <c r="D1798" s="2"/>
    </row>
    <row r="1799" spans="3:4">
      <c r="C1799" s="2"/>
      <c r="D1799" s="2"/>
    </row>
    <row r="1800" spans="3:4">
      <c r="C1800" s="2"/>
      <c r="D1800" s="2"/>
    </row>
    <row r="1801" spans="3:4">
      <c r="C1801" s="2"/>
      <c r="D1801" s="2"/>
    </row>
    <row r="1802" spans="3:4">
      <c r="C1802" s="2"/>
      <c r="D1802" s="2"/>
    </row>
    <row r="1803" spans="3:4">
      <c r="C1803" s="2"/>
      <c r="D1803" s="2"/>
    </row>
    <row r="1804" spans="3:4">
      <c r="C1804" s="2"/>
      <c r="D1804" s="2"/>
    </row>
    <row r="1805" spans="3:4">
      <c r="C1805" s="2"/>
      <c r="D1805" s="2"/>
    </row>
    <row r="1806" spans="3:4">
      <c r="C1806" s="2"/>
      <c r="D1806" s="2"/>
    </row>
    <row r="1807" spans="3:4">
      <c r="C1807" s="2"/>
      <c r="D1807" s="2"/>
    </row>
    <row r="1808" spans="3:4">
      <c r="C1808" s="2"/>
      <c r="D1808" s="2"/>
    </row>
    <row r="1809" spans="3:4">
      <c r="C1809" s="2"/>
      <c r="D1809" s="2"/>
    </row>
    <row r="1810" spans="3:4">
      <c r="C1810" s="2"/>
      <c r="D1810" s="2"/>
    </row>
    <row r="1811" spans="3:4">
      <c r="C1811" s="2"/>
      <c r="D1811" s="2"/>
    </row>
    <row r="1812" spans="3:4">
      <c r="C1812" s="2"/>
      <c r="D1812" s="2"/>
    </row>
    <row r="1813" spans="3:4">
      <c r="C1813" s="2"/>
      <c r="D1813" s="2"/>
    </row>
    <row r="1814" spans="3:4">
      <c r="C1814" s="2"/>
      <c r="D1814" s="2"/>
    </row>
    <row r="1815" spans="3:4">
      <c r="C1815" s="2"/>
      <c r="D1815" s="2"/>
    </row>
    <row r="1816" spans="3:4">
      <c r="C1816" s="2"/>
      <c r="D1816" s="2"/>
    </row>
    <row r="1817" spans="3:4">
      <c r="C1817" s="2"/>
      <c r="D1817" s="2"/>
    </row>
    <row r="1818" spans="3:4">
      <c r="C1818" s="2"/>
      <c r="D1818" s="2"/>
    </row>
    <row r="1819" spans="3:4">
      <c r="C1819" s="2"/>
      <c r="D1819" s="2"/>
    </row>
    <row r="1820" spans="3:4">
      <c r="C1820" s="2"/>
      <c r="D1820" s="2"/>
    </row>
    <row r="1821" spans="3:4">
      <c r="C1821" s="2"/>
      <c r="D1821" s="2"/>
    </row>
    <row r="1822" spans="3:4">
      <c r="C1822" s="2"/>
      <c r="D1822" s="2"/>
    </row>
    <row r="1823" spans="3:4">
      <c r="C1823" s="2"/>
      <c r="D1823" s="2"/>
    </row>
    <row r="1824" spans="3:4">
      <c r="C1824" s="2"/>
      <c r="D1824" s="2"/>
    </row>
    <row r="1825" spans="3:4">
      <c r="C1825" s="2"/>
      <c r="D1825" s="2"/>
    </row>
    <row r="1826" spans="3:4">
      <c r="C1826" s="2"/>
      <c r="D1826" s="2"/>
    </row>
    <row r="1827" spans="3:4">
      <c r="C1827" s="2"/>
      <c r="D1827" s="2"/>
    </row>
    <row r="1828" spans="3:4">
      <c r="C1828" s="2"/>
      <c r="D1828" s="2"/>
    </row>
    <row r="1829" spans="3:4">
      <c r="C1829" s="2"/>
      <c r="D1829" s="2"/>
    </row>
    <row r="1830" spans="3:4">
      <c r="C1830" s="2"/>
      <c r="D1830" s="2"/>
    </row>
    <row r="1831" spans="3:4">
      <c r="C1831" s="2"/>
      <c r="D1831" s="2"/>
    </row>
    <row r="1832" spans="3:4">
      <c r="C1832" s="2"/>
      <c r="D1832" s="2"/>
    </row>
    <row r="1833" spans="3:4">
      <c r="C1833" s="2"/>
      <c r="D1833" s="2"/>
    </row>
    <row r="1834" spans="3:4">
      <c r="C1834" s="2"/>
      <c r="D1834" s="2"/>
    </row>
    <row r="1835" spans="3:4">
      <c r="C1835" s="2"/>
      <c r="D1835" s="2"/>
    </row>
    <row r="1836" spans="3:4">
      <c r="C1836" s="2"/>
      <c r="D1836" s="2"/>
    </row>
    <row r="1837" spans="3:4">
      <c r="C1837" s="2"/>
      <c r="D1837" s="2"/>
    </row>
    <row r="1838" spans="3:4">
      <c r="C1838" s="2"/>
      <c r="D1838" s="2"/>
    </row>
    <row r="1839" spans="3:4">
      <c r="C1839" s="2"/>
      <c r="D1839" s="2"/>
    </row>
    <row r="1840" spans="3:4">
      <c r="C1840" s="2"/>
      <c r="D1840" s="2"/>
    </row>
    <row r="1841" spans="3:4">
      <c r="C1841" s="2"/>
      <c r="D1841" s="2"/>
    </row>
    <row r="1842" spans="3:4">
      <c r="C1842" s="2"/>
      <c r="D1842" s="2"/>
    </row>
    <row r="1843" spans="3:4">
      <c r="C1843" s="2"/>
      <c r="D1843" s="2"/>
    </row>
    <row r="1844" spans="3:4">
      <c r="C1844" s="2"/>
      <c r="D1844" s="2"/>
    </row>
    <row r="1845" spans="3:4">
      <c r="C1845" s="2"/>
      <c r="D1845" s="2"/>
    </row>
    <row r="1846" spans="3:4">
      <c r="C1846" s="2"/>
      <c r="D1846" s="2"/>
    </row>
    <row r="1847" spans="3:4">
      <c r="C1847" s="2"/>
      <c r="D1847" s="2"/>
    </row>
  </sheetData>
  <sortState xmlns:xlrd2="http://schemas.microsoft.com/office/spreadsheetml/2017/richdata2" ref="W3:X1564">
    <sortCondition descending="1" ref="W3:W1564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8"/>
  <dimension ref="B2:I22"/>
  <sheetViews>
    <sheetView zoomScale="40" zoomScaleNormal="40" workbookViewId="0">
      <selection activeCell="I16" sqref="I16"/>
    </sheetView>
  </sheetViews>
  <sheetFormatPr defaultColWidth="9" defaultRowHeight="14.4"/>
  <cols>
    <col min="2" max="2" width="10.6640625" customWidth="1"/>
  </cols>
  <sheetData>
    <row r="2" spans="2:9">
      <c r="B2" s="1">
        <v>45499</v>
      </c>
      <c r="C2">
        <v>48</v>
      </c>
      <c r="F2">
        <v>1</v>
      </c>
      <c r="G2" t="s">
        <v>258</v>
      </c>
    </row>
    <row r="3" spans="2:9">
      <c r="C3">
        <v>54</v>
      </c>
      <c r="F3">
        <v>2</v>
      </c>
      <c r="G3" t="s">
        <v>259</v>
      </c>
    </row>
    <row r="4" spans="2:9">
      <c r="C4">
        <v>54</v>
      </c>
      <c r="I4">
        <v>59</v>
      </c>
    </row>
    <row r="5" spans="2:9">
      <c r="C5">
        <v>54</v>
      </c>
      <c r="I5">
        <v>110</v>
      </c>
    </row>
    <row r="6" spans="2:9">
      <c r="C6">
        <v>50</v>
      </c>
      <c r="I6">
        <v>55</v>
      </c>
    </row>
    <row r="7" spans="2:9">
      <c r="C7">
        <v>51</v>
      </c>
      <c r="I7">
        <v>137</v>
      </c>
    </row>
    <row r="8" spans="2:9">
      <c r="C8">
        <v>52</v>
      </c>
      <c r="I8">
        <v>52</v>
      </c>
    </row>
    <row r="9" spans="2:9">
      <c r="C9">
        <v>50</v>
      </c>
      <c r="I9">
        <v>1</v>
      </c>
    </row>
    <row r="10" spans="2:9">
      <c r="C10">
        <v>50</v>
      </c>
      <c r="I10">
        <v>67</v>
      </c>
    </row>
    <row r="11" spans="2:9">
      <c r="C11">
        <v>52</v>
      </c>
      <c r="I11">
        <v>49</v>
      </c>
    </row>
    <row r="12" spans="2:9">
      <c r="C12">
        <v>52</v>
      </c>
      <c r="I12">
        <v>80</v>
      </c>
    </row>
    <row r="13" spans="2:9">
      <c r="C13">
        <v>52</v>
      </c>
      <c r="I13">
        <v>110</v>
      </c>
    </row>
    <row r="14" spans="2:9">
      <c r="C14">
        <v>54</v>
      </c>
    </row>
    <row r="15" spans="2:9">
      <c r="C15">
        <v>54</v>
      </c>
    </row>
    <row r="16" spans="2:9">
      <c r="C16">
        <v>50</v>
      </c>
    </row>
    <row r="17" spans="3:4">
      <c r="C17">
        <v>52</v>
      </c>
    </row>
    <row r="18" spans="3:4">
      <c r="C18">
        <v>50</v>
      </c>
    </row>
    <row r="19" spans="3:4">
      <c r="C19">
        <v>52</v>
      </c>
    </row>
    <row r="20" spans="3:4">
      <c r="C20">
        <v>52</v>
      </c>
    </row>
    <row r="21" spans="3:4">
      <c r="C21">
        <v>17</v>
      </c>
    </row>
    <row r="22" spans="3:4">
      <c r="C22">
        <v>11</v>
      </c>
      <c r="D22" t="s">
        <v>260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12</vt:i4>
      </vt:variant>
    </vt:vector>
  </HeadingPairs>
  <TitlesOfParts>
    <vt:vector size="29" baseType="lpstr">
      <vt:lpstr>PAINEL ENTRADA</vt:lpstr>
      <vt:lpstr>SÃO FRANCISCO</vt:lpstr>
      <vt:lpstr>GOIANO</vt:lpstr>
      <vt:lpstr>BAIXÃO</vt:lpstr>
      <vt:lpstr>MORADA DO BOI</vt:lpstr>
      <vt:lpstr>SAO JOSE DO GROTAO</vt:lpstr>
      <vt:lpstr>GERAL</vt:lpstr>
      <vt:lpstr>COMPRA DE GADO</vt:lpstr>
      <vt:lpstr>CUSTOS</vt:lpstr>
      <vt:lpstr>VENDAS</vt:lpstr>
      <vt:lpstr>DASH VENDAS</vt:lpstr>
      <vt:lpstr>DASH COMPRAS</vt:lpstr>
      <vt:lpstr>DASH FINANCEIRO</vt:lpstr>
      <vt:lpstr>DASH CAIXA</vt:lpstr>
      <vt:lpstr>ADF E COMPRAS</vt:lpstr>
      <vt:lpstr>PESAGENS E CONFERENCIA</vt:lpstr>
      <vt:lpstr>Planilha9</vt:lpstr>
      <vt:lpstr>'ADF E COMPRAS'!Area_de_impressao</vt:lpstr>
      <vt:lpstr>BAIXÃO!Area_de_impressao</vt:lpstr>
      <vt:lpstr>'COMPRA DE GADO'!Area_de_impressao</vt:lpstr>
      <vt:lpstr>'DASH CAIXA'!Area_de_impressao</vt:lpstr>
      <vt:lpstr>'DASH COMPRAS'!Area_de_impressao</vt:lpstr>
      <vt:lpstr>'DASH FINANCEIRO'!Area_de_impressao</vt:lpstr>
      <vt:lpstr>'DASH VENDAS'!Area_de_impressao</vt:lpstr>
      <vt:lpstr>GERAL!Area_de_impressao</vt:lpstr>
      <vt:lpstr>GOIANO!Area_de_impressao</vt:lpstr>
      <vt:lpstr>'MORADA DO BOI'!Area_de_impressao</vt:lpstr>
      <vt:lpstr>'SÃO FRANCISCO'!Area_de_impressao</vt:lpstr>
      <vt:lpstr>'SAO JOSE DO GROTAO'!Area_de_impressao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Jefeson Souza</cp:lastModifiedBy>
  <cp:lastPrinted>2026-04-25T10:55:32Z</cp:lastPrinted>
  <dcterms:created xsi:type="dcterms:W3CDTF">2024-06-28T10:34:00Z</dcterms:created>
  <dcterms:modified xsi:type="dcterms:W3CDTF">2026-09-29T23:55:48Z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ED6FA1AA28984E2B86E066616EEB154B_12</vt:lpwstr>
  </property>
</Properties>
</file>